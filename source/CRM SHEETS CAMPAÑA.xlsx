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hidden" name="Hoja 4" sheetId="2" r:id="rId6"/>
    <sheet state="hidden" name="Hoja 3" sheetId="3" r:id="rId7"/>
    <sheet state="visible" name="comparacion de publicos" sheetId="4" r:id="rId8"/>
  </sheets>
  <definedNames>
    <definedName hidden="1" localSheetId="0" name="_xlnm._FilterDatabase">'Hoja 1'!$A$1:$X$610</definedName>
  </definedNames>
  <calcPr/>
</workbook>
</file>

<file path=xl/sharedStrings.xml><?xml version="1.0" encoding="utf-8"?>
<sst xmlns="http://schemas.openxmlformats.org/spreadsheetml/2006/main" count="14718" uniqueCount="2998">
  <si>
    <t>ralta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</si>
  <si>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</si>
  <si>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</si>
  <si>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</si>
  <si>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</si>
  <si>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</si>
  <si>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</si>
  <si>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</si>
  <si>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</si>
  <si>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</si>
  <si>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</si>
  <si>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</si>
  <si>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Se ha presentado a exámen?</t>
  </si>
  <si>
    <t xml:space="preserve">Punto de Dolor </t>
  </si>
  <si>
    <t>Etapa de preparación</t>
  </si>
  <si>
    <t>Especialidad soñada</t>
  </si>
  <si>
    <t>Compromiso 1 -10</t>
  </si>
  <si>
    <t>Horario de llamada</t>
  </si>
  <si>
    <t>Nombre completo</t>
  </si>
  <si>
    <t>phone</t>
  </si>
  <si>
    <t>País</t>
  </si>
  <si>
    <t>is_qualified</t>
  </si>
  <si>
    <t>is_quality</t>
  </si>
  <si>
    <t>is_converted</t>
  </si>
  <si>
    <t>value</t>
  </si>
  <si>
    <t>Contacto 1</t>
  </si>
  <si>
    <t>Contacto 2</t>
  </si>
  <si>
    <t>Contacto 3</t>
  </si>
  <si>
    <t>Contacto 4</t>
  </si>
  <si>
    <t>Contacto 5</t>
  </si>
  <si>
    <t>Contacto 6</t>
  </si>
  <si>
    <t>Contacto 7</t>
  </si>
  <si>
    <t>Contacto 8</t>
  </si>
  <si>
    <t>Agenda</t>
  </si>
  <si>
    <t>Seguimiento</t>
  </si>
  <si>
    <t>Especialidad</t>
  </si>
  <si>
    <t>Universidad 1</t>
  </si>
  <si>
    <t>Universidad 2</t>
  </si>
  <si>
    <t>Universidad 3</t>
  </si>
  <si>
    <t>Universidad 4</t>
  </si>
  <si>
    <t>Punto dolor</t>
  </si>
  <si>
    <t>Anotaciones</t>
  </si>
  <si>
    <t>l:1298120804491345</t>
  </si>
  <si>
    <t>2024-08-29T11:08:57-05:00</t>
  </si>
  <si>
    <t>ag:120212311299820277</t>
  </si>
  <si>
    <t>Pregrado + estudia y 2+2</t>
  </si>
  <si>
    <t>as:120212311299810277</t>
  </si>
  <si>
    <t>Nuevo conjunto de anuncios de Clientes potenciales</t>
  </si>
  <si>
    <t>c:120212311299800277</t>
  </si>
  <si>
    <t>CLIENTES POTENCIALES PRUEBA AGOSTO A/B D - Copia</t>
  </si>
  <si>
    <t>f:7578829715554485</t>
  </si>
  <si>
    <t>Clientes con intención diferencia interno</t>
  </si>
  <si>
    <t>false</t>
  </si>
  <si>
    <t>ig</t>
  </si>
  <si>
    <t>aún_no</t>
  </si>
  <si>
    <t>no_tengo_organización_en_el_estudio</t>
  </si>
  <si>
    <t>soy_estudiante_de_medicina.</t>
  </si>
  <si>
    <t>Ortopedia</t>
  </si>
  <si>
    <t>7</t>
  </si>
  <si>
    <t>Después de 7pm hora Colombia</t>
  </si>
  <si>
    <t>Tomas Reyes Osorio</t>
  </si>
  <si>
    <t>Colombia</t>
  </si>
  <si>
    <t>0.5</t>
  </si>
  <si>
    <t>l:1072296497795778</t>
  </si>
  <si>
    <t>2024-08-29T11:44:11-05:00</t>
  </si>
  <si>
    <t>ag:120212311299840277</t>
  </si>
  <si>
    <t>No es el que mas estudia</t>
  </si>
  <si>
    <t>as:120212311299830277</t>
  </si>
  <si>
    <t>Prueba: Nuevo conjunto de anuncios de Clientes potenciales</t>
  </si>
  <si>
    <t>si</t>
  </si>
  <si>
    <t>soy_médico_graduado.</t>
  </si>
  <si>
    <t>Anestesiólogia</t>
  </si>
  <si>
    <t>5</t>
  </si>
  <si>
    <t>Noche</t>
  </si>
  <si>
    <t>Jhasbleidy Cobos Rodriguez</t>
  </si>
  <si>
    <t>CO</t>
  </si>
  <si>
    <t>l:1019946809930928</t>
  </si>
  <si>
    <t>2024-08-29T14:07:08-05:00</t>
  </si>
  <si>
    <t>ANESTESIOLOGÍA</t>
  </si>
  <si>
    <t>5pm</t>
  </si>
  <si>
    <t>Junior Barreto</t>
  </si>
  <si>
    <t>COLOMBIA</t>
  </si>
  <si>
    <t>l:1163885774724400</t>
  </si>
  <si>
    <t>2024-08-29T16:21:26-05:00</t>
  </si>
  <si>
    <t>fb</t>
  </si>
  <si>
    <t>conocimiento_de_medicina</t>
  </si>
  <si>
    <t>soy_interno/rural.</t>
  </si>
  <si>
    <t>UROLOGIA Y RADIOLOGIA</t>
  </si>
  <si>
    <t>8/10</t>
  </si>
  <si>
    <t>Por mensaje inicialmente</t>
  </si>
  <si>
    <t>Esteban Cardenas</t>
  </si>
  <si>
    <t>l:1645582989349664</t>
  </si>
  <si>
    <t>2024-08-29T19:38:04-05:00</t>
  </si>
  <si>
    <t>DERMATOLOGÍA</t>
  </si>
  <si>
    <t>8</t>
  </si>
  <si>
    <t>9-12 de la tarde</t>
  </si>
  <si>
    <t>Jessica Moreno</t>
  </si>
  <si>
    <t>l:1024378642682852</t>
  </si>
  <si>
    <t>2024-08-29T22:13:09-05:00</t>
  </si>
  <si>
    <t>Neurología</t>
  </si>
  <si>
    <t>3 pm</t>
  </si>
  <si>
    <t>Margui</t>
  </si>
  <si>
    <t>l:1478226429503342</t>
  </si>
  <si>
    <t>2024-08-30T00:14:47-05:00</t>
  </si>
  <si>
    <t>Anestesiologia</t>
  </si>
  <si>
    <t>6</t>
  </si>
  <si>
    <t>a las 3 pm</t>
  </si>
  <si>
    <t>Edwin Montoya Muñoz</t>
  </si>
  <si>
    <t>l:1050111180227446</t>
  </si>
  <si>
    <t>2024-08-30T11:32:44-05:00</t>
  </si>
  <si>
    <t>Urologia</t>
  </si>
  <si>
    <t>10</t>
  </si>
  <si>
    <t>8am a 11am</t>
  </si>
  <si>
    <t>Ana Ortíz</t>
  </si>
  <si>
    <t>l:502691342490870</t>
  </si>
  <si>
    <t>2024-08-30T15:35:56-05:00</t>
  </si>
  <si>
    <t>Medicina Interna</t>
  </si>
  <si>
    <t>6pm</t>
  </si>
  <si>
    <t>Fredy Arcos Cerón</t>
  </si>
  <si>
    <t>l:868737328102882</t>
  </si>
  <si>
    <t>2024-08-30T19:59:45-05:00</t>
  </si>
  <si>
    <t>Medicina Deportiva</t>
  </si>
  <si>
    <t>9</t>
  </si>
  <si>
    <t>mañana</t>
  </si>
  <si>
    <t>Pedro Morales</t>
  </si>
  <si>
    <t>l:297732526752054</t>
  </si>
  <si>
    <t>2024-08-30T20:36:03-05:00</t>
  </si>
  <si>
    <t>Psiquiatría</t>
  </si>
  <si>
    <t>Solo wpp</t>
  </si>
  <si>
    <t>Robert Solar Taboada</t>
  </si>
  <si>
    <t>l:822584413295303</t>
  </si>
  <si>
    <t>2024-08-30T23:02:54-05:00</t>
  </si>
  <si>
    <t>Cirugía general</t>
  </si>
  <si>
    <t>Mejor por chat pero si es necesario la llamada en la tarde</t>
  </si>
  <si>
    <t>Karolyn Lopez</t>
  </si>
  <si>
    <t>l:963418865541812</t>
  </si>
  <si>
    <t>2024-08-31T13:50:19-05:00</t>
  </si>
  <si>
    <t>no_tengo_motivación_para_estudiar</t>
  </si>
  <si>
    <t>Ana Gómez</t>
  </si>
  <si>
    <t>l:1029343868502486</t>
  </si>
  <si>
    <t>2024-08-31T14:54:32-05:00</t>
  </si>
  <si>
    <t>Medicina interna</t>
  </si>
  <si>
    <t>8 pm</t>
  </si>
  <si>
    <t>Mirdalys Esther Tatis Agua</t>
  </si>
  <si>
    <t>l:1558575988869284</t>
  </si>
  <si>
    <t>2024-08-31T16:22:03-05:00</t>
  </si>
  <si>
    <t>Neurología o Dermatología</t>
  </si>
  <si>
    <t>3</t>
  </si>
  <si>
    <t>6 pm</t>
  </si>
  <si>
    <t>Afith Albor Mejía</t>
  </si>
  <si>
    <t>l:481598828040332</t>
  </si>
  <si>
    <t>2024-08-31T19:44:05-05:00</t>
  </si>
  <si>
    <t>Ortopedia y traumatología</t>
  </si>
  <si>
    <t>Muy comprometido</t>
  </si>
  <si>
    <t>En la tarde</t>
  </si>
  <si>
    <t>Ludy monsalve</t>
  </si>
  <si>
    <t>l:536994615648555</t>
  </si>
  <si>
    <t>2024-08-31T20:20:06-05:00</t>
  </si>
  <si>
    <t>9 am</t>
  </si>
  <si>
    <t>Sara Vergara Gutierrez</t>
  </si>
  <si>
    <t>l:997983232010373</t>
  </si>
  <si>
    <t>2024-08-31T21:40:10-05:00</t>
  </si>
  <si>
    <t>dermatología</t>
  </si>
  <si>
    <t>14</t>
  </si>
  <si>
    <t>Paola</t>
  </si>
  <si>
    <t>l:1009154347356834</t>
  </si>
  <si>
    <t>2024-09-01T09:52:41-05:00</t>
  </si>
  <si>
    <t>Ginecobstetricia</t>
  </si>
  <si>
    <t>10 am</t>
  </si>
  <si>
    <t>Diana Echavarría</t>
  </si>
  <si>
    <t>l:2117494295317764</t>
  </si>
  <si>
    <t>2024-09-01T10:23:07-05:00</t>
  </si>
  <si>
    <t>Ortopedia y Traumatología / emergenciologia</t>
  </si>
  <si>
    <t>Tarde</t>
  </si>
  <si>
    <t>Santiago Matiz Manrique</t>
  </si>
  <si>
    <t>l:1651442515703101</t>
  </si>
  <si>
    <t>2024-09-01T11:30:59-05:00</t>
  </si>
  <si>
    <t>medico internista</t>
  </si>
  <si>
    <t>8. pm</t>
  </si>
  <si>
    <t>laura castro</t>
  </si>
  <si>
    <t>l:803786148502473</t>
  </si>
  <si>
    <t>2024-09-01T11:44:58-05:00</t>
  </si>
  <si>
    <t>Cirugía plástica</t>
  </si>
  <si>
    <t>4</t>
  </si>
  <si>
    <t>8 am</t>
  </si>
  <si>
    <t>DeShow By Cindy Arrieta</t>
  </si>
  <si>
    <t>l:857320586346394</t>
  </si>
  <si>
    <t>2024-09-01T13:44:59-05:00</t>
  </si>
  <si>
    <t>Fisiatria</t>
  </si>
  <si>
    <t>4 pm</t>
  </si>
  <si>
    <t>Alejandra Hernandez Arenas</t>
  </si>
  <si>
    <t>l:2221046234971825</t>
  </si>
  <si>
    <t>2024-09-01T14:29:48-05:00</t>
  </si>
  <si>
    <t>Tarde de  5-7</t>
  </si>
  <si>
    <t>Geovanny Daza</t>
  </si>
  <si>
    <t>l:1473741373331707</t>
  </si>
  <si>
    <t>2024-09-01T15:05:33-05:00</t>
  </si>
  <si>
    <t>Gine</t>
  </si>
  <si>
    <t>7 pm</t>
  </si>
  <si>
    <t>carlo santana</t>
  </si>
  <si>
    <t>l:519423830628223</t>
  </si>
  <si>
    <t>2024-09-01T15:56:48-05:00</t>
  </si>
  <si>
    <t>6:00 pm hora Colombia</t>
  </si>
  <si>
    <t>𝗝𝗨𝗔𝗡𝗞 𝗢𝗥𝗢𝗭𝗖𝗢</t>
  </si>
  <si>
    <t>l:862552992469127</t>
  </si>
  <si>
    <t>2024-09-01T17:00:13-05:00</t>
  </si>
  <si>
    <t>GINECOOBSTETRICIA</t>
  </si>
  <si>
    <t>Mañana</t>
  </si>
  <si>
    <t>Valentina Montenegro Franco</t>
  </si>
  <si>
    <t>l:1925898027880000</t>
  </si>
  <si>
    <t>2024-09-01T20:23:48-05:00</t>
  </si>
  <si>
    <t>Dermatología</t>
  </si>
  <si>
    <t>1:30PM</t>
  </si>
  <si>
    <t>mariale</t>
  </si>
  <si>
    <t>l:829839622653405</t>
  </si>
  <si>
    <t>2024-09-01T20:35:58-05:00</t>
  </si>
  <si>
    <t>Elizabeth Mendoza Humanez</t>
  </si>
  <si>
    <t>l:903931624917020</t>
  </si>
  <si>
    <t>2024-09-01T22:41:00-05:00</t>
  </si>
  <si>
    <t>Silvia Patricia Benavides</t>
  </si>
  <si>
    <t>l:1184565339489761</t>
  </si>
  <si>
    <t>2024-09-01T22:53:15-05:00</t>
  </si>
  <si>
    <t>Otorrinolaringólogo</t>
  </si>
  <si>
    <t>7pm</t>
  </si>
  <si>
    <t>Daniela Claros Paiva</t>
  </si>
  <si>
    <t>Estados Unidos</t>
  </si>
  <si>
    <t>l:499060469727147</t>
  </si>
  <si>
    <t>2024-09-02T05:46:19-05:00</t>
  </si>
  <si>
    <t>Cualquier hora</t>
  </si>
  <si>
    <t>Roberto Diaz Taborda</t>
  </si>
  <si>
    <t>l:1569157837358212</t>
  </si>
  <si>
    <t>2024-09-02T07:16:32-05:00</t>
  </si>
  <si>
    <t>Anestesia</t>
  </si>
  <si>
    <t>rogerefe</t>
  </si>
  <si>
    <t>l:3439306806372858</t>
  </si>
  <si>
    <t>2024-09-02T13:18:27-05:00</t>
  </si>
  <si>
    <t>2pm Colombia</t>
  </si>
  <si>
    <t>Jgutierrez</t>
  </si>
  <si>
    <t>(302) 374-9803</t>
  </si>
  <si>
    <t>l:834124752193293</t>
  </si>
  <si>
    <t>2024-09-02T14:41:52-05:00</t>
  </si>
  <si>
    <t>Pediatria o anestesiologia</t>
  </si>
  <si>
    <t>Por WhatsApp</t>
  </si>
  <si>
    <t>Javier Nobles</t>
  </si>
  <si>
    <t>l:1080394380756038</t>
  </si>
  <si>
    <t>2024-09-02T20:12:50-05:00</t>
  </si>
  <si>
    <t>Dermatología - Cirugía Plastica</t>
  </si>
  <si>
    <t>10, el inconveniente son los compromisos que tengo.</t>
  </si>
  <si>
    <t>Mejor por whats app y voy respondiendo, ya que trabajo en una carcel y no tengo acceso al celular todo el tiempo.</t>
  </si>
  <si>
    <t>Sebastian Leyva Gutierrez</t>
  </si>
  <si>
    <t>l:965037948725532</t>
  </si>
  <si>
    <t>2024-09-02T21:04:59-05:00</t>
  </si>
  <si>
    <t>Sandra Villalobos</t>
  </si>
  <si>
    <t>l:866088425163436</t>
  </si>
  <si>
    <t>2024-09-02T21:24:08-05:00</t>
  </si>
  <si>
    <t>Toxicología</t>
  </si>
  <si>
    <t>Día</t>
  </si>
  <si>
    <t>Cristian Guardo</t>
  </si>
  <si>
    <t>l:523624096724655</t>
  </si>
  <si>
    <t>2024-09-02T22:08:31-05:00</t>
  </si>
  <si>
    <t>Endocrinólogia</t>
  </si>
  <si>
    <t>5:30pm</t>
  </si>
  <si>
    <t>Dra Sandra Milena Negrete Contreras</t>
  </si>
  <si>
    <t>l:1296292248009857</t>
  </si>
  <si>
    <t>2024-09-03T01:57:31-05:00</t>
  </si>
  <si>
    <t>Josefina Bedoya</t>
  </si>
  <si>
    <t>l:1076962397327635</t>
  </si>
  <si>
    <t>2024-09-03T06:12:33-05:00</t>
  </si>
  <si>
    <t>Dra. Maria Clara Mejia F.</t>
  </si>
  <si>
    <t>l:480662698263288</t>
  </si>
  <si>
    <t>2024-09-03T07:10:59-05:00</t>
  </si>
  <si>
    <t>Radiología. Pero anestesia también</t>
  </si>
  <si>
    <t>10am</t>
  </si>
  <si>
    <t>Nelson Granda Tabares</t>
  </si>
  <si>
    <t>l:1150025086102292</t>
  </si>
  <si>
    <t>2024-09-03T08:45:20-05:00</t>
  </si>
  <si>
    <t>CLIENTES POTENCIALES PRUEBA SEPTIEMBRE</t>
  </si>
  <si>
    <t>Pediatria</t>
  </si>
  <si>
    <t>4pm</t>
  </si>
  <si>
    <t>Alejandro Chaves</t>
  </si>
  <si>
    <t>l:527405286435797</t>
  </si>
  <si>
    <t>2024-09-03T10:02:53-05:00</t>
  </si>
  <si>
    <t>Pediatría</t>
  </si>
  <si>
    <t>Por las tardes</t>
  </si>
  <si>
    <t>Luisa María Walteros.</t>
  </si>
  <si>
    <t>l:1436870757002007</t>
  </si>
  <si>
    <t>2024-09-03T10:42:56-05:00</t>
  </si>
  <si>
    <t>Ortopedia y Traumatología</t>
  </si>
  <si>
    <t>No</t>
  </si>
  <si>
    <t>Cristobal Massa Díaz</t>
  </si>
  <si>
    <t>l:1881638952361735</t>
  </si>
  <si>
    <t>2024-09-03T20:11:28-05:00</t>
  </si>
  <si>
    <t>ag:120212341518770277</t>
  </si>
  <si>
    <t>El que pasa vs el que NO PASA</t>
  </si>
  <si>
    <t>as:120212341518780277</t>
  </si>
  <si>
    <t>CONJUNTO C</t>
  </si>
  <si>
    <t>7 PM</t>
  </si>
  <si>
    <t>𝒜𝓁𝓋𝒶𝓇𝑜_𝒫𝒞</t>
  </si>
  <si>
    <t>l:1449584829087419</t>
  </si>
  <si>
    <t>2024-09-03T21:42:24-05:00</t>
  </si>
  <si>
    <t>Lunes a miercoles antes de medio día y jueves y viernes después de la 1 pm colombia</t>
  </si>
  <si>
    <t>Julian David Castañeda</t>
  </si>
  <si>
    <t>l:923120432925034</t>
  </si>
  <si>
    <t>2024-09-03T21:59:15-05:00</t>
  </si>
  <si>
    <t>En la mañana</t>
  </si>
  <si>
    <t>Daniel Pinzon</t>
  </si>
  <si>
    <t>l:1649023972337222</t>
  </si>
  <si>
    <t>2024-09-04T00:38:24-05:00</t>
  </si>
  <si>
    <t>Radiología</t>
  </si>
  <si>
    <t>Dani Eraso</t>
  </si>
  <si>
    <t>l:3815520098770117</t>
  </si>
  <si>
    <t>2024-09-04T12:58:36-05:00</t>
  </si>
  <si>
    <t>100</t>
  </si>
  <si>
    <t>3:30</t>
  </si>
  <si>
    <t>Juan Pablo López</t>
  </si>
  <si>
    <t>l:1709564776467565</t>
  </si>
  <si>
    <t>2024-09-04T13:04:35-05:00</t>
  </si>
  <si>
    <t>Anestesiología</t>
  </si>
  <si>
    <t>Desde las 2 de la tarde</t>
  </si>
  <si>
    <t>Jesus Alberto Troaquero Arteaga</t>
  </si>
  <si>
    <t>l:1734203980718314</t>
  </si>
  <si>
    <t>2024-09-04T17:21:12-05:00</t>
  </si>
  <si>
    <t>Plástica</t>
  </si>
  <si>
    <t>11</t>
  </si>
  <si>
    <t>Tatiana Ochoa Tafurt</t>
  </si>
  <si>
    <t>l:1058307355635723</t>
  </si>
  <si>
    <t>2024-09-04T18:17:17-05:00</t>
  </si>
  <si>
    <t>9:30 am</t>
  </si>
  <si>
    <t>Jenniffer Diaz</t>
  </si>
  <si>
    <t>l:484308311175085</t>
  </si>
  <si>
    <t>2024-09-05T01:33:57-05:00</t>
  </si>
  <si>
    <t>No lo sé</t>
  </si>
  <si>
    <t>Noches</t>
  </si>
  <si>
    <t>Vanessa Moreno</t>
  </si>
  <si>
    <t>l:1560877241178815</t>
  </si>
  <si>
    <t>2024-09-05T06:37:44-05:00</t>
  </si>
  <si>
    <t>Cirujía de tórax</t>
  </si>
  <si>
    <t>Noche 10pm</t>
  </si>
  <si>
    <t>Oskar Owen</t>
  </si>
  <si>
    <t>l:1716118868792469</t>
  </si>
  <si>
    <t>2024-09-05T20:56:10-05:00</t>
  </si>
  <si>
    <t>ag:120212481198700277</t>
  </si>
  <si>
    <t>as:120212481198800277</t>
  </si>
  <si>
    <t>c:120212481198760277</t>
  </si>
  <si>
    <t>CLIENTES POTENCIALES  CONJUNTO C PRUEBA SEPTIEMBRE</t>
  </si>
  <si>
    <t>Ela Santana</t>
  </si>
  <si>
    <t>l:453564140976470</t>
  </si>
  <si>
    <t>2024-09-05T21:34:17-05:00</t>
  </si>
  <si>
    <t>ag:120212481198780277</t>
  </si>
  <si>
    <t>as:120212481198810277</t>
  </si>
  <si>
    <t>c:120212481198740277</t>
  </si>
  <si>
    <t>CLIENTES POTENCIALES 2+2 PRUEBA SEPTIEMBRE</t>
  </si>
  <si>
    <t>Cardiologia</t>
  </si>
  <si>
    <t>6pm - 10pm</t>
  </si>
  <si>
    <t>Jhon Jairo Criado Contreras</t>
  </si>
  <si>
    <t>l:535861012226645</t>
  </si>
  <si>
    <t>2024-09-06T07:28:18-05:00</t>
  </si>
  <si>
    <t>ag:120212481171590277</t>
  </si>
  <si>
    <t>as:120212481171600277</t>
  </si>
  <si>
    <t>c:120212481171610277</t>
  </si>
  <si>
    <t>CLIENTES POTENCIALES No es el que masPRUEBA SEPTIEMBRE - Copia</t>
  </si>
  <si>
    <t>Pareciera que la salud familiar lo fuese siempre</t>
  </si>
  <si>
    <t>24-7 principalmente en las tardes entre la 1 a 7 pm</t>
  </si>
  <si>
    <t>Camilo Bayona Reyes</t>
  </si>
  <si>
    <t>l:1484230362236943</t>
  </si>
  <si>
    <t>2024-09-06T09:41:50-05:00</t>
  </si>
  <si>
    <t>Dolor y cuidados paliativos</t>
  </si>
  <si>
    <t>Daniela Banda</t>
  </si>
  <si>
    <t>l:1056556605838671</t>
  </si>
  <si>
    <t>2024-09-06T11:50:03-05:00</t>
  </si>
  <si>
    <t>Tarde noche 5-7pm</t>
  </si>
  <si>
    <t>Pablo</t>
  </si>
  <si>
    <t>l:509973325062220</t>
  </si>
  <si>
    <t>2024-09-06T16:43:56-05:00</t>
  </si>
  <si>
    <t>Lunes a viernes 10-12</t>
  </si>
  <si>
    <t>Olarte Ángel</t>
  </si>
  <si>
    <t>l:1226070582064881</t>
  </si>
  <si>
    <t>2024-09-06T17:52:45-05:00</t>
  </si>
  <si>
    <t>Dave Trillos</t>
  </si>
  <si>
    <t>l:1017375950175796</t>
  </si>
  <si>
    <t>2024-09-06T17:59:43-05:00</t>
  </si>
  <si>
    <t>Ginecóloga</t>
  </si>
  <si>
    <t>No me llames, escríbeme</t>
  </si>
  <si>
    <t>Daniela Guzmán Geliz</t>
  </si>
  <si>
    <t>l:500090655982340</t>
  </si>
  <si>
    <t>2024-09-06T19:28:46-05:00</t>
  </si>
  <si>
    <t>Patología</t>
  </si>
  <si>
    <t>Ale villa</t>
  </si>
  <si>
    <t>l:835110092094587</t>
  </si>
  <si>
    <t>2024-09-06T21:18:35-05:00</t>
  </si>
  <si>
    <t>Andrea Hernandez Perez</t>
  </si>
  <si>
    <t>l:1187407959135895</t>
  </si>
  <si>
    <t>2024-09-06T21:45:40-05:00</t>
  </si>
  <si>
    <t>Ginecólogo y obstetricia</t>
  </si>
  <si>
    <t>26:00</t>
  </si>
  <si>
    <t>Johan Quintero</t>
  </si>
  <si>
    <t>l:1239549240512566</t>
  </si>
  <si>
    <t>2024-09-07T00:55:00-05:00</t>
  </si>
  <si>
    <t>Cirujano plástico</t>
  </si>
  <si>
    <t>alina hoyos</t>
  </si>
  <si>
    <t>l:1934838853697608</t>
  </si>
  <si>
    <t>2024-09-07T07:28:33-05:00</t>
  </si>
  <si>
    <t>En las noches</t>
  </si>
  <si>
    <t>Isabel Muñoz</t>
  </si>
  <si>
    <t>l:1035758504445285</t>
  </si>
  <si>
    <t>2024-09-07T08:03:03-05:00</t>
  </si>
  <si>
    <t>William Rodelo Barrios</t>
  </si>
  <si>
    <t>l:1067209331795082</t>
  </si>
  <si>
    <t>2024-09-07T08:29:25-05:00</t>
  </si>
  <si>
    <t>Otorrinolaringólogo o cirugía plástica</t>
  </si>
  <si>
    <t>Hoy a las 11 am</t>
  </si>
  <si>
    <t>Juliana López</t>
  </si>
  <si>
    <t>l:399594783159459</t>
  </si>
  <si>
    <t>2024-09-07T10:54:22-05:00</t>
  </si>
  <si>
    <t>Ya</t>
  </si>
  <si>
    <t>Idaly De la Hoz</t>
  </si>
  <si>
    <t>l:521664660250269</t>
  </si>
  <si>
    <t>2024-09-07T15:55:14-05:00</t>
  </si>
  <si>
    <t>Dermatólogia/Ginecología</t>
  </si>
  <si>
    <t>Tarde/noche</t>
  </si>
  <si>
    <t>𝑫𝒊𝒂𝒏𝒂 𝑪𝒂𝒕𝒂𝒍𝒊𝒏𝒂 𝑷𝒂𝒓𝒓𝒂 𝑹𝒂𝒎𝒐𝒔</t>
  </si>
  <si>
    <t>l:1591053881508939</t>
  </si>
  <si>
    <t>2024-09-07T16:41:56-05:00</t>
  </si>
  <si>
    <t>Paula Vanegas</t>
  </si>
  <si>
    <t>l:1234761724634371</t>
  </si>
  <si>
    <t>2024-09-07T18:37:30-05:00</t>
  </si>
  <si>
    <t>Neurosurgery</t>
  </si>
  <si>
    <t>Mohamed Argüello Manrique</t>
  </si>
  <si>
    <t>l:1251675226277959</t>
  </si>
  <si>
    <t>2024-09-07T19:11:14-05:00</t>
  </si>
  <si>
    <t>Adriana Carolina</t>
  </si>
  <si>
    <t>l:826950712858231</t>
  </si>
  <si>
    <t>2024-09-07T21:25:33-05:00</t>
  </si>
  <si>
    <t>Cirugía</t>
  </si>
  <si>
    <t>Edward Villota</t>
  </si>
  <si>
    <t>l:861901105888201</t>
  </si>
  <si>
    <t>2024-09-08T07:41:26-05:00</t>
  </si>
  <si>
    <t>Pm</t>
  </si>
  <si>
    <t>Ladys Aranza Burgos</t>
  </si>
  <si>
    <t>l:1564571974441634</t>
  </si>
  <si>
    <t>2024-09-08T08:14:28-05:00</t>
  </si>
  <si>
    <t>Por WhatsApp ‪+57 323 5117208‬</t>
  </si>
  <si>
    <t>Mary Quinto</t>
  </si>
  <si>
    <t>l:1061924745650527</t>
  </si>
  <si>
    <t>2024-09-08T10:09:57-05:00</t>
  </si>
  <si>
    <t>Oftalmologia</t>
  </si>
  <si>
    <t>Dennis Alberto Martinez Contreras</t>
  </si>
  <si>
    <t>l:367289289650921</t>
  </si>
  <si>
    <t>2024-09-08T12:28:57-05:00</t>
  </si>
  <si>
    <t>Medicina crítica</t>
  </si>
  <si>
    <t>Julio Bustamante</t>
  </si>
  <si>
    <t>l:1549174496027544</t>
  </si>
  <si>
    <t>2024-09-08T12:32:20-05:00</t>
  </si>
  <si>
    <t>Anestesiología y Reanimación</t>
  </si>
  <si>
    <t>En la noche</t>
  </si>
  <si>
    <t>Daniela Martínez Atanay</t>
  </si>
  <si>
    <t>l:1446179366772838</t>
  </si>
  <si>
    <t>2024-09-08T14:52:09-05:00</t>
  </si>
  <si>
    <t>Tardes</t>
  </si>
  <si>
    <t>Javier Castrillón</t>
  </si>
  <si>
    <t>l:1065549531606112</t>
  </si>
  <si>
    <t>2024-09-08T15:30:01-05:00</t>
  </si>
  <si>
    <t>Anestesio - ginecología</t>
  </si>
  <si>
    <t>Nathalia</t>
  </si>
  <si>
    <t>l:548473100943231</t>
  </si>
  <si>
    <t>2024-09-08T17:57:10-05:00</t>
  </si>
  <si>
    <t>5 pm</t>
  </si>
  <si>
    <t>Luis Diego Lopez Manjarres</t>
  </si>
  <si>
    <t>l:391897853943957</t>
  </si>
  <si>
    <t>2024-09-08T18:15:31-05:00</t>
  </si>
  <si>
    <t>Cirugía cardiovascular</t>
  </si>
  <si>
    <t>Jeyder Pérez</t>
  </si>
  <si>
    <t>l:865225842220521</t>
  </si>
  <si>
    <t>2024-09-08T20:10:08-05:00</t>
  </si>
  <si>
    <t>Radiologia</t>
  </si>
  <si>
    <t>Despues de 5 pm</t>
  </si>
  <si>
    <t>Luis Daniel Cañon</t>
  </si>
  <si>
    <t>l:1185309392586746</t>
  </si>
  <si>
    <t>2024-09-08T20:33:41-05:00</t>
  </si>
  <si>
    <t>medicina interna</t>
  </si>
  <si>
    <t>después de ñas 2 pm</t>
  </si>
  <si>
    <t>Martha Isabel Orjuela Sosa</t>
  </si>
  <si>
    <t>l:1051391109813652</t>
  </si>
  <si>
    <t>2024-09-08T21:16:13-05:00</t>
  </si>
  <si>
    <t>Gustavo Suarez</t>
  </si>
  <si>
    <t>l:3942890402606730</t>
  </si>
  <si>
    <t>2024-09-08T21:18:19-05:00</t>
  </si>
  <si>
    <t>1</t>
  </si>
  <si>
    <t>Camila Jimenez Ropain</t>
  </si>
  <si>
    <t>310 530 0569</t>
  </si>
  <si>
    <t>l:714203650883304</t>
  </si>
  <si>
    <t>2024-09-08T21:30:09-05:00</t>
  </si>
  <si>
    <t>Después de las 7 pm</t>
  </si>
  <si>
    <t>Christian Romero</t>
  </si>
  <si>
    <t>l:310842575422892</t>
  </si>
  <si>
    <t>2024-09-09T07:15:18-05:00</t>
  </si>
  <si>
    <t>10 pm</t>
  </si>
  <si>
    <t>Camilo Ortega</t>
  </si>
  <si>
    <t>l:859054279510336</t>
  </si>
  <si>
    <t>2024-09-09T11:16:38-05:00</t>
  </si>
  <si>
    <t>Dermatologia</t>
  </si>
  <si>
    <t>4:00 pm</t>
  </si>
  <si>
    <t>Luis Carlos Diaz</t>
  </si>
  <si>
    <t>l:1057012999337621</t>
  </si>
  <si>
    <t>2024-09-09T12:29:51-05:00</t>
  </si>
  <si>
    <t>Luis Eduardo Delgado Torres</t>
  </si>
  <si>
    <t>l:3759495364291724</t>
  </si>
  <si>
    <t>2024-09-09T14:09:59-05:00</t>
  </si>
  <si>
    <t>5 de la tarde</t>
  </si>
  <si>
    <t>Ilaintehr Florez Fernández</t>
  </si>
  <si>
    <t>l:1060684675092805</t>
  </si>
  <si>
    <t>2024-09-09T14:59:36-05:00</t>
  </si>
  <si>
    <t>2 pm</t>
  </si>
  <si>
    <t>Juan Pablo Sarria</t>
  </si>
  <si>
    <t>l:441446364949912</t>
  </si>
  <si>
    <t>2024-09-09T18:34:09-05:00</t>
  </si>
  <si>
    <t>Medicina de urgencias</t>
  </si>
  <si>
    <t>En el día</t>
  </si>
  <si>
    <t>Andres Peralta</t>
  </si>
  <si>
    <t>l:7956030351191521</t>
  </si>
  <si>
    <t>2024-09-09T21:09:02-05:00</t>
  </si>
  <si>
    <t>Urólogo</t>
  </si>
  <si>
    <t>7 am a 10 am</t>
  </si>
  <si>
    <t>Julio Mario Mendoza</t>
  </si>
  <si>
    <t>l:3249360225200857</t>
  </si>
  <si>
    <t>2024-09-09T22:39:05-05:00</t>
  </si>
  <si>
    <t>18:00 19:00</t>
  </si>
  <si>
    <t>Zoraya Gonzalez</t>
  </si>
  <si>
    <t>l:525360383305368</t>
  </si>
  <si>
    <t>2024-09-09T22:50:49-05:00</t>
  </si>
  <si>
    <t>19</t>
  </si>
  <si>
    <t>Luis D. Perafán</t>
  </si>
  <si>
    <t>l:1057678615870035</t>
  </si>
  <si>
    <t>2024-09-09T22:56:00-05:00</t>
  </si>
  <si>
    <t>Radiología intervencionista</t>
  </si>
  <si>
    <t>En la noche después de las 6 pm</t>
  </si>
  <si>
    <t>Karen Perdomo</t>
  </si>
  <si>
    <t>l:1030430428572264</t>
  </si>
  <si>
    <t>2024-09-09T23:34:31-05:00</t>
  </si>
  <si>
    <t>Martha Andrea Arrieta</t>
  </si>
  <si>
    <t>l:495995786552676</t>
  </si>
  <si>
    <t>2024-09-10T06:00:40-05:00</t>
  </si>
  <si>
    <t>Ortopedia y cx plástica</t>
  </si>
  <si>
    <t>Karen Galvis</t>
  </si>
  <si>
    <t>l:1047084190405400</t>
  </si>
  <si>
    <t>2024-09-10T09:41:26-05:00</t>
  </si>
  <si>
    <t>Oftalmología</t>
  </si>
  <si>
    <t>4-5pm</t>
  </si>
  <si>
    <t>Jaime Andres Realpe</t>
  </si>
  <si>
    <t>l:847571850847814</t>
  </si>
  <si>
    <t>2024-09-10T12:43:32-05:00</t>
  </si>
  <si>
    <t>NeuroPsiquiatría y medicina interna</t>
  </si>
  <si>
    <t>Escribirme por watsap</t>
  </si>
  <si>
    <t>Andres Lopez</t>
  </si>
  <si>
    <t>l:2092810487903561</t>
  </si>
  <si>
    <t>2024-09-10T13:18:34-05:00</t>
  </si>
  <si>
    <t>Neurología y cardiología</t>
  </si>
  <si>
    <t>En la tarde a las 2 de la tarde</t>
  </si>
  <si>
    <t>Stefanny Lazaro</t>
  </si>
  <si>
    <t>l:1235335974141890</t>
  </si>
  <si>
    <t>2024-09-10T13:25:13-05:00</t>
  </si>
  <si>
    <t>NEUROCIRUGÍA</t>
  </si>
  <si>
    <t>Entre 10am a 5 pm, de elección dejar la información vía mensaje WhatsApp o correo electrónico</t>
  </si>
  <si>
    <t>ESTIVEN GONZÁLEZ</t>
  </si>
  <si>
    <t>l:1078425750574753</t>
  </si>
  <si>
    <t>2024-09-10T15:09:50-05:00</t>
  </si>
  <si>
    <t>Jhoana Maya</t>
  </si>
  <si>
    <t>l:511224818161261</t>
  </si>
  <si>
    <t>2024-09-10T17:37:12-05:00</t>
  </si>
  <si>
    <t>4 a 7</t>
  </si>
  <si>
    <t>Anderson Granados</t>
  </si>
  <si>
    <t>l:1702127443894445</t>
  </si>
  <si>
    <t>2024-09-11T00:18:02-05:00</t>
  </si>
  <si>
    <t>Fisiatría</t>
  </si>
  <si>
    <t>celeste store</t>
  </si>
  <si>
    <t>l:917690603527017</t>
  </si>
  <si>
    <t>2024-09-11T01:07:45-05:00</t>
  </si>
  <si>
    <t>cirugía plástica</t>
  </si>
  <si>
    <t>después 18+00</t>
  </si>
  <si>
    <t>MARTHA LILIANA CUÉLLAR HERRERA</t>
  </si>
  <si>
    <t>l:1070120871176532</t>
  </si>
  <si>
    <t>2024-09-11T06:45:44-05:00</t>
  </si>
  <si>
    <t>9/10</t>
  </si>
  <si>
    <t>Jueves tarde</t>
  </si>
  <si>
    <t>Tere Carrillo</t>
  </si>
  <si>
    <t>l:8453062111412329</t>
  </si>
  <si>
    <t>2024-09-11T08:27:23-05:00</t>
  </si>
  <si>
    <t>12 pm</t>
  </si>
  <si>
    <t>laura</t>
  </si>
  <si>
    <t>l:491536693730183</t>
  </si>
  <si>
    <t>2024-09-11T09:08:34-05:00</t>
  </si>
  <si>
    <t>Neurologo</t>
  </si>
  <si>
    <t>7-8</t>
  </si>
  <si>
    <t>8-9pm</t>
  </si>
  <si>
    <t>Daniel Antonio Bocanegra Ochoa</t>
  </si>
  <si>
    <t>l:1608965546628867</t>
  </si>
  <si>
    <t>2024-09-11T12:57:09-05:00</t>
  </si>
  <si>
    <t>Mejor mensajes</t>
  </si>
  <si>
    <t>Juan Guerrero M.D.</t>
  </si>
  <si>
    <t>l:2934280360047713</t>
  </si>
  <si>
    <t>2024-09-11T13:21:38-05:00</t>
  </si>
  <si>
    <t>Md Teban Vargas</t>
  </si>
  <si>
    <t>l:1041573824227987</t>
  </si>
  <si>
    <t>2024-09-11T14:14:42-05:00</t>
  </si>
  <si>
    <t>8am</t>
  </si>
  <si>
    <t>yasser bueno</t>
  </si>
  <si>
    <t>l:868479028583075</t>
  </si>
  <si>
    <t>2024-09-11T17:31:08-05:00</t>
  </si>
  <si>
    <t>11 am</t>
  </si>
  <si>
    <t>FORROS PERSONALIZADOS, TAZAS,LLAVEROS,CUADROS,CASES</t>
  </si>
  <si>
    <t>l:1386689982305182</t>
  </si>
  <si>
    <t>2024-09-12T18:07:41-05:00</t>
  </si>
  <si>
    <t>Anetesiologia</t>
  </si>
  <si>
    <t>Medio dia</t>
  </si>
  <si>
    <t>Angie Nathaly Eraso Ojeda</t>
  </si>
  <si>
    <t>l:2199491720422783</t>
  </si>
  <si>
    <t>2024-09-12T18:57:00-05:00</t>
  </si>
  <si>
    <t>ag:120210204666680277</t>
  </si>
  <si>
    <t>MAYO 23 - MAYO 31</t>
  </si>
  <si>
    <t>as:120210204666670277</t>
  </si>
  <si>
    <t>CONJUNTO ANUNCIOS 1</t>
  </si>
  <si>
    <t>c:120210204666690277</t>
  </si>
  <si>
    <t>CAMPAÑA GANADORA CLIENTES POTENCIALES</t>
  </si>
  <si>
    <t>10 am a 5 pm</t>
  </si>
  <si>
    <t>Betty Romero</t>
  </si>
  <si>
    <t>l:1631621330732257</t>
  </si>
  <si>
    <t>2024-09-12T19:22:49-05:00</t>
  </si>
  <si>
    <t>Ginecología</t>
  </si>
  <si>
    <t>A cualquier hora</t>
  </si>
  <si>
    <t>Laura Elizabeth Berrio Duque</t>
  </si>
  <si>
    <t>l:527920859754969</t>
  </si>
  <si>
    <t>2024-09-12T19:49:15-05:00</t>
  </si>
  <si>
    <t>luis plata</t>
  </si>
  <si>
    <t>l:1908475539636778</t>
  </si>
  <si>
    <t>2024-09-12T20:30:08-05:00</t>
  </si>
  <si>
    <t>WhatsApp</t>
  </si>
  <si>
    <t>Shanny Mackenzie</t>
  </si>
  <si>
    <t>l:2482876158573687</t>
  </si>
  <si>
    <t>2024-09-12T22:07:25-05:00</t>
  </si>
  <si>
    <t>Pediatra</t>
  </si>
  <si>
    <t>De Mañana</t>
  </si>
  <si>
    <t>DM</t>
  </si>
  <si>
    <t>l:698705812472143</t>
  </si>
  <si>
    <t>2024-09-12T22:28:14-05:00</t>
  </si>
  <si>
    <t>ortopedia y traumatología</t>
  </si>
  <si>
    <t>en la mañana</t>
  </si>
  <si>
    <t>Arley David Betancourt Montoya</t>
  </si>
  <si>
    <t>l:1600621767157994</t>
  </si>
  <si>
    <t>2024-09-12T23:22:50-05:00</t>
  </si>
  <si>
    <t>ortopedia</t>
  </si>
  <si>
    <t>tarde</t>
  </si>
  <si>
    <t>Wilson Fernando Jimenez Giraldo</t>
  </si>
  <si>
    <t>l:520803443972394</t>
  </si>
  <si>
    <t>2024-09-13T00:51:56-05:00</t>
  </si>
  <si>
    <t>3013900163</t>
  </si>
  <si>
    <t>Carlos giraldo</t>
  </si>
  <si>
    <t>l:1222117889212226</t>
  </si>
  <si>
    <t>2024-09-13T01:25:27-05:00</t>
  </si>
  <si>
    <t>estética</t>
  </si>
  <si>
    <t>Giovanny Mendoza Leal</t>
  </si>
  <si>
    <t>l:1052914022878520</t>
  </si>
  <si>
    <t>2024-09-13T03:15:07-05:00</t>
  </si>
  <si>
    <t>1pm</t>
  </si>
  <si>
    <t>Stefania Petro Torres</t>
  </si>
  <si>
    <t>l:1054186072905511</t>
  </si>
  <si>
    <t>2024-09-13T07:10:47-05:00</t>
  </si>
  <si>
    <t>Ginecología y obstetricia</t>
  </si>
  <si>
    <t>3244386738</t>
  </si>
  <si>
    <t>Fabiola Salas</t>
  </si>
  <si>
    <t>l:1668783940633242</t>
  </si>
  <si>
    <t>2024-09-13T07:25:00-05:00</t>
  </si>
  <si>
    <t>Psquiatria</t>
  </si>
  <si>
    <t>Alejandra Carreño</t>
  </si>
  <si>
    <t>l:1967576673693875</t>
  </si>
  <si>
    <t>2024-09-13T08:31:28-05:00</t>
  </si>
  <si>
    <t>Dr Luz N Jaramillo</t>
  </si>
  <si>
    <t>l:2385698281822213</t>
  </si>
  <si>
    <t>2024-09-13T08:40:12-05:00</t>
  </si>
  <si>
    <t>Anestesio</t>
  </si>
  <si>
    <t>Tarde noche</t>
  </si>
  <si>
    <t>Paola Reyes</t>
  </si>
  <si>
    <t>US</t>
  </si>
  <si>
    <t>l:1226612105187079</t>
  </si>
  <si>
    <t>2024-09-13T08:45:57-05:00</t>
  </si>
  <si>
    <t>Lunes- martes 3pm</t>
  </si>
  <si>
    <t>Paulina</t>
  </si>
  <si>
    <t>l:392232197252753</t>
  </si>
  <si>
    <t>2024-09-13T13:43:21-05:00</t>
  </si>
  <si>
    <t>Tarde a las 3 pm</t>
  </si>
  <si>
    <t>Juleima Cárdenas</t>
  </si>
  <si>
    <t>l:833528452320449</t>
  </si>
  <si>
    <t>2024-09-13T16:41:33-05:00</t>
  </si>
  <si>
    <t>Cirugía plástica y re constructiva</t>
  </si>
  <si>
    <t>9pm</t>
  </si>
  <si>
    <t>Issabela Benjumea</t>
  </si>
  <si>
    <t>l:1056788262790349</t>
  </si>
  <si>
    <t>2024-09-13T17:07:31-05:00</t>
  </si>
  <si>
    <t>Después de 6pm</t>
  </si>
  <si>
    <t>María Elvira Arévalo</t>
  </si>
  <si>
    <t>l:1484717538913759</t>
  </si>
  <si>
    <t>2024-09-13T17:14:48-05:00</t>
  </si>
  <si>
    <t>Endocrinologia</t>
  </si>
  <si>
    <t>Fines de semana</t>
  </si>
  <si>
    <t>Sayuris Nayeth Henriquez Ortiz</t>
  </si>
  <si>
    <t>l:516639044424853</t>
  </si>
  <si>
    <t>2024-09-13T19:55:05-05:00</t>
  </si>
  <si>
    <t>Otorrinolaringología</t>
  </si>
  <si>
    <t>9.00 pm</t>
  </si>
  <si>
    <t>Salim Amashta</t>
  </si>
  <si>
    <t>l:2447425618779376</t>
  </si>
  <si>
    <t>2024-09-13T20:06:03-05:00</t>
  </si>
  <si>
    <t>12 - 2 pm</t>
  </si>
  <si>
    <t>Melbrum Agudelo Fernandez</t>
  </si>
  <si>
    <t>l:818421857170926</t>
  </si>
  <si>
    <t>2024-09-13T21:31:18-05:00</t>
  </si>
  <si>
    <t>12medio dia</t>
  </si>
  <si>
    <t>Alexander Patiño</t>
  </si>
  <si>
    <t>l:836135451628870</t>
  </si>
  <si>
    <t>2024-09-14T00:05:40-05:00</t>
  </si>
  <si>
    <t>Por la tarde 4:00</t>
  </si>
  <si>
    <t>Francisco A. Diaz Morales</t>
  </si>
  <si>
    <t>l:1057703968587662</t>
  </si>
  <si>
    <t>2024-09-14T08:12:27-05:00</t>
  </si>
  <si>
    <t>Urología</t>
  </si>
  <si>
    <t>En la tarde después de medio día</t>
  </si>
  <si>
    <t>Maria Juliana Cujar</t>
  </si>
  <si>
    <t>l:875237874128443</t>
  </si>
  <si>
    <t>2024-09-14T20:16:14-05:00</t>
  </si>
  <si>
    <t>anestesiología</t>
  </si>
  <si>
    <t>mucho</t>
  </si>
  <si>
    <t>Lunes 5 pm</t>
  </si>
  <si>
    <t>Andrés Rojas La Rotta</t>
  </si>
  <si>
    <t>l:452980951108811</t>
  </si>
  <si>
    <t>2024-09-14T21:25:16-05:00</t>
  </si>
  <si>
    <t>Cardiología</t>
  </si>
  <si>
    <t>2</t>
  </si>
  <si>
    <t>Wendy Rodríguez</t>
  </si>
  <si>
    <t>l:1517388052479418</t>
  </si>
  <si>
    <t>2024-09-15T04:55:14-05:00</t>
  </si>
  <si>
    <t>medicina familiar</t>
  </si>
  <si>
    <t>en la noche</t>
  </si>
  <si>
    <t>Sonia Cristina Davila Valencia</t>
  </si>
  <si>
    <t>l:1676254523218811</t>
  </si>
  <si>
    <t>2024-09-15T08:53:29-05:00</t>
  </si>
  <si>
    <t>3pm lunes a viernes</t>
  </si>
  <si>
    <t>Dani Martinez Forbes</t>
  </si>
  <si>
    <t>l:1081356009998804</t>
  </si>
  <si>
    <t>2024-09-15T10:23:37-05:00</t>
  </si>
  <si>
    <t>500 pm</t>
  </si>
  <si>
    <t>YADINA SAKER GARCIA</t>
  </si>
  <si>
    <t>l:941099911074263</t>
  </si>
  <si>
    <t>2024-09-15T12:40:55-05:00</t>
  </si>
  <si>
    <t>Cirugia Cardiovascular</t>
  </si>
  <si>
    <t>2pm y 6pm</t>
  </si>
  <si>
    <t>Pedro Luis Barreto</t>
  </si>
  <si>
    <t>l:419483320741351</t>
  </si>
  <si>
    <t>2024-09-15T13:58:10-05:00</t>
  </si>
  <si>
    <t>pediatría</t>
  </si>
  <si>
    <t>15 horas</t>
  </si>
  <si>
    <t>Monica Contreras de Diaz</t>
  </si>
  <si>
    <t>l:895117215823081</t>
  </si>
  <si>
    <t>2024-09-15T14:31:10-05:00</t>
  </si>
  <si>
    <t>Neurocirugia</t>
  </si>
  <si>
    <t>Jean Jiménez E&amp;uis</t>
  </si>
  <si>
    <t>l:1044815327367758</t>
  </si>
  <si>
    <t>2024-09-15T18:35:49-05:00</t>
  </si>
  <si>
    <t>Por Whatsapp contesto rápido.</t>
  </si>
  <si>
    <t>SSAO</t>
  </si>
  <si>
    <t>l:1671044963482759</t>
  </si>
  <si>
    <t>2024-09-15T19:00:23-05:00</t>
  </si>
  <si>
    <t>Neurocirugía</t>
  </si>
  <si>
    <t>Jornada de la tarde tipo 5pm</t>
  </si>
  <si>
    <t>Wilmer Lasso</t>
  </si>
  <si>
    <t>l:488434440669758</t>
  </si>
  <si>
    <t>2024-09-15T23:03:05-05:00</t>
  </si>
  <si>
    <t>Anestesiología o Cx Plástica</t>
  </si>
  <si>
    <t>Christian Hernández</t>
  </si>
  <si>
    <t>l:1035372247850952</t>
  </si>
  <si>
    <t>2024-09-16T07:01:03-05:00</t>
  </si>
  <si>
    <t>A las 12</t>
  </si>
  <si>
    <t>Laura Rojas</t>
  </si>
  <si>
    <t>l:1694567361384950</t>
  </si>
  <si>
    <t>2024-09-16T11:11:58-05:00</t>
  </si>
  <si>
    <t>Neurologia</t>
  </si>
  <si>
    <t>Despues de 3 pm</t>
  </si>
  <si>
    <t>Gigiliola</t>
  </si>
  <si>
    <t>l:1211358563408390</t>
  </si>
  <si>
    <t>2024-09-16T13:49:48-05:00</t>
  </si>
  <si>
    <t>ag:120210437668550277</t>
  </si>
  <si>
    <t>JUNIO 4 - JUNIO 13</t>
  </si>
  <si>
    <t>Radiología,oftalmologia</t>
  </si>
  <si>
    <t>Hoy en la tarde</t>
  </si>
  <si>
    <t>Felipe</t>
  </si>
  <si>
    <t>l:1241353336894170</t>
  </si>
  <si>
    <t>2024-09-16T15:09:18-05:00</t>
  </si>
  <si>
    <t>Todo el dia</t>
  </si>
  <si>
    <t>Sofia Lasso</t>
  </si>
  <si>
    <t>l:1079742847005201</t>
  </si>
  <si>
    <t>2024-09-16T17:07:47-05:00</t>
  </si>
  <si>
    <t>8 a 11 am</t>
  </si>
  <si>
    <t>Eduar Ordoñez Jiménez</t>
  </si>
  <si>
    <t>l:1367581454200021</t>
  </si>
  <si>
    <t>2024-09-16T17:11:26-05:00</t>
  </si>
  <si>
    <t>Thaly</t>
  </si>
  <si>
    <t>l:1215107809810914</t>
  </si>
  <si>
    <t>2024-09-16T18:10:39-05:00</t>
  </si>
  <si>
    <t>Ingrith Salas</t>
  </si>
  <si>
    <t>l:3789085884640992</t>
  </si>
  <si>
    <t>2024-09-16T20:08:05-05:00</t>
  </si>
  <si>
    <t>Ginecoobatetricia</t>
  </si>
  <si>
    <t>8am a 5 pm</t>
  </si>
  <si>
    <t>Keyla Patricia Chaverra Felizzola</t>
  </si>
  <si>
    <t>l:1734914814002359</t>
  </si>
  <si>
    <t>2024-09-16T22:01:57-05:00</t>
  </si>
  <si>
    <t>Cualquiera</t>
  </si>
  <si>
    <t>Schneider</t>
  </si>
  <si>
    <t>l:508427242131753</t>
  </si>
  <si>
    <t>2024-09-16T22:03:00-05:00</t>
  </si>
  <si>
    <t>Ginecoobstetricia</t>
  </si>
  <si>
    <t>16:30 a 18:00</t>
  </si>
  <si>
    <t>•SINISTERRA MERLYNG•</t>
  </si>
  <si>
    <t>l:8247403932014519</t>
  </si>
  <si>
    <t>2024-09-17T01:20:28-05:00</t>
  </si>
  <si>
    <t>Lau Torres Royero</t>
  </si>
  <si>
    <t>l:1185890555975051</t>
  </si>
  <si>
    <t>2024-09-17T06:10:14-05:00</t>
  </si>
  <si>
    <t>Medicina deportiva</t>
  </si>
  <si>
    <t>12: 30 pm</t>
  </si>
  <si>
    <t>Alexander Nossa Rodriguez.</t>
  </si>
  <si>
    <t>l:1419364022094398</t>
  </si>
  <si>
    <t>2024-09-17T09:39:29-05:00</t>
  </si>
  <si>
    <t>ꉔꋬꋪ꒒ꄲꇙ ꉔꋬ꒒ꏂꋪꄲ</t>
  </si>
  <si>
    <t>l:489133740655728</t>
  </si>
  <si>
    <t>2024-09-17T11:31:01-05:00</t>
  </si>
  <si>
    <t>Orl</t>
  </si>
  <si>
    <t>Steffanny Daniela</t>
  </si>
  <si>
    <t>l:1988560618230961</t>
  </si>
  <si>
    <t>2024-09-17T11:44:13-05:00</t>
  </si>
  <si>
    <t>Geriatría</t>
  </si>
  <si>
    <t>Juliana Vela</t>
  </si>
  <si>
    <t>l:1172767877149407</t>
  </si>
  <si>
    <t>2024-09-17T13:33:15-05:00</t>
  </si>
  <si>
    <t>Dr. WBH</t>
  </si>
  <si>
    <t>l:1665793847322486</t>
  </si>
  <si>
    <t>2024-09-17T18:03:05-05:00</t>
  </si>
  <si>
    <t>Kevin Cerra</t>
  </si>
  <si>
    <t>l:391633057131425</t>
  </si>
  <si>
    <t>2024-09-18T01:33:34-05:00</t>
  </si>
  <si>
    <t>Deisy Solarte</t>
  </si>
  <si>
    <t>l:434984529596076</t>
  </si>
  <si>
    <t>2024-09-18T06:51:52-05:00</t>
  </si>
  <si>
    <t>En la mañana preferiblemente 7 a 12</t>
  </si>
  <si>
    <t>GC Reyes</t>
  </si>
  <si>
    <t>l:540560158538040</t>
  </si>
  <si>
    <t>2024-09-18T13:06:20-05:00</t>
  </si>
  <si>
    <t>Tarde 4pm</t>
  </si>
  <si>
    <t>Ximena Cuellar Melo</t>
  </si>
  <si>
    <t>l:1334359437539978</t>
  </si>
  <si>
    <t>2024-09-18T15:06:53-05:00</t>
  </si>
  <si>
    <t>Ingry Ramos Vanegas</t>
  </si>
  <si>
    <t>l:1674682746708846</t>
  </si>
  <si>
    <t>2024-09-18T17:41:52-05:00</t>
  </si>
  <si>
    <t>William Alejandro Villa Henao</t>
  </si>
  <si>
    <t>l:1671152157009790</t>
  </si>
  <si>
    <t>2024-09-18T18:49:50-05:00</t>
  </si>
  <si>
    <t>Mañana en la mañana</t>
  </si>
  <si>
    <t>Jhon Rodriguez</t>
  </si>
  <si>
    <t>l:1048488706786438</t>
  </si>
  <si>
    <t>2024-09-19T07:33:54-05:00</t>
  </si>
  <si>
    <t>Jhon Alexander NiñoRodriguez</t>
  </si>
  <si>
    <t>l:890545133002670</t>
  </si>
  <si>
    <t>2024-09-19T07:41:29-05:00</t>
  </si>
  <si>
    <t>ag:120212771237960277</t>
  </si>
  <si>
    <t>as:120212771237970277</t>
  </si>
  <si>
    <t>Prueba: Prueba: Nuevo conjunto de anuncios de Clientes potenciales</t>
  </si>
  <si>
    <t>Manuela</t>
  </si>
  <si>
    <t>l:836510708466207</t>
  </si>
  <si>
    <t>2024-09-19T07:46:45-05:00</t>
  </si>
  <si>
    <t>cursos no sirven</t>
  </si>
  <si>
    <t>Jandres Nino</t>
  </si>
  <si>
    <t>l:869927881456014</t>
  </si>
  <si>
    <t>2024-09-19T14:20:07-05:00</t>
  </si>
  <si>
    <t>Jessica Nossa Farfán</t>
  </si>
  <si>
    <t>l:1055044249675583</t>
  </si>
  <si>
    <t>2024-09-19T14:44:25-05:00</t>
  </si>
  <si>
    <t>Whes97</t>
  </si>
  <si>
    <t>l:6907324576058636</t>
  </si>
  <si>
    <t>2024-09-19T14:44:26-05:00</t>
  </si>
  <si>
    <t>Sebastian Estrada</t>
  </si>
  <si>
    <t>l:522099800511416</t>
  </si>
  <si>
    <t>2024-09-19T15:05:10-05:00</t>
  </si>
  <si>
    <t>Fisitaria</t>
  </si>
  <si>
    <t>5 a 6 pm</t>
  </si>
  <si>
    <t>Angel Javier Serna Pinto</t>
  </si>
  <si>
    <t>l:2274684776231466</t>
  </si>
  <si>
    <t>2024-09-19T15:46:46-05:00</t>
  </si>
  <si>
    <t>Por las tardes. Preferiblemente por WhasApp.</t>
  </si>
  <si>
    <t>Ricardo Monroy</t>
  </si>
  <si>
    <t>l:2484262078446088</t>
  </si>
  <si>
    <t>2024-09-19T18:55:19-05:00</t>
  </si>
  <si>
    <t>Jainerth S. Anaya Espinoza</t>
  </si>
  <si>
    <t>l:547988174267101</t>
  </si>
  <si>
    <t>2024-09-19T19:34:25-05:00</t>
  </si>
  <si>
    <t>Familia</t>
  </si>
  <si>
    <t>.</t>
  </si>
  <si>
    <t>JUAN CARLOS VELEZ RAVE</t>
  </si>
  <si>
    <t>l:2176042712778152</t>
  </si>
  <si>
    <t>2024-09-19T19:40:30-05:00</t>
  </si>
  <si>
    <t>ginecóloga</t>
  </si>
  <si>
    <t>9am</t>
  </si>
  <si>
    <t>Luz Arellano</t>
  </si>
  <si>
    <t>l:8658334190868071</t>
  </si>
  <si>
    <t>2024-09-19T20:01:23-05:00</t>
  </si>
  <si>
    <t>Cx plastica</t>
  </si>
  <si>
    <t>Medio día</t>
  </si>
  <si>
    <t>Dr. Ervin Martínez Robles</t>
  </si>
  <si>
    <t>l:1073852000742773</t>
  </si>
  <si>
    <t>2024-09-19T20:48:13-05:00</t>
  </si>
  <si>
    <t>3pm</t>
  </si>
  <si>
    <t>Camila López Echeverri</t>
  </si>
  <si>
    <t>l:1175259710211197</t>
  </si>
  <si>
    <t>2024-09-19T21:45:42-05:00</t>
  </si>
  <si>
    <t>1 pm</t>
  </si>
  <si>
    <t>Nidiecita Gutierrez</t>
  </si>
  <si>
    <t>l:2651461838359166</t>
  </si>
  <si>
    <t>2024-09-20T00:13:53-05:00</t>
  </si>
  <si>
    <t>Nilson Romero</t>
  </si>
  <si>
    <t>l:1989025608194338</t>
  </si>
  <si>
    <t>2024-09-20T00:48:29-05:00</t>
  </si>
  <si>
    <t>Sary Guzman Vega</t>
  </si>
  <si>
    <t>l:1082045200160488</t>
  </si>
  <si>
    <t>2024-09-20T01:30:10-05:00</t>
  </si>
  <si>
    <t>Entre 7am a 12pm</t>
  </si>
  <si>
    <t>Danilo Muñoz</t>
  </si>
  <si>
    <t>l:872676818133765</t>
  </si>
  <si>
    <t>2024-09-20T02:09:37-05:00</t>
  </si>
  <si>
    <t>Ginecologia</t>
  </si>
  <si>
    <t>l:3794673380744205</t>
  </si>
  <si>
    <t>2024-09-20T02:50:01-05:00</t>
  </si>
  <si>
    <t>Nefrología</t>
  </si>
  <si>
    <t>Si</t>
  </si>
  <si>
    <t>Cristhian Ernesto Castaño</t>
  </si>
  <si>
    <t>l:496014726552379</t>
  </si>
  <si>
    <t>2024-09-20T05:28:37-05:00</t>
  </si>
  <si>
    <t>infectologia</t>
  </si>
  <si>
    <t>Abel Sanchez Sinning</t>
  </si>
  <si>
    <t>l:1727182994711666</t>
  </si>
  <si>
    <t>2024-09-20T05:59:22-05:00</t>
  </si>
  <si>
    <t>Cirugia</t>
  </si>
  <si>
    <t>Claudia Olarte</t>
  </si>
  <si>
    <t>l:1220541515669318</t>
  </si>
  <si>
    <t>2024-09-20T06:07:53-05:00</t>
  </si>
  <si>
    <t>Sofía Salazar</t>
  </si>
  <si>
    <t>l:1250874579682817</t>
  </si>
  <si>
    <t>2024-09-20T06:08:37-05:00</t>
  </si>
  <si>
    <t>Hoy 3 pm. Pero normalmente en las noches</t>
  </si>
  <si>
    <t>Carolina Cruz Tellez</t>
  </si>
  <si>
    <t>l:1564401414430136</t>
  </si>
  <si>
    <t>2024-09-20T07:58:02-05:00</t>
  </si>
  <si>
    <t>PM</t>
  </si>
  <si>
    <t>Jairo Rafa</t>
  </si>
  <si>
    <t>l:3660604177586491</t>
  </si>
  <si>
    <t>2024-09-20T11:59:50-05:00</t>
  </si>
  <si>
    <t>Cindy Lorena Motta</t>
  </si>
  <si>
    <t>l:972439014639885</t>
  </si>
  <si>
    <t>2024-09-20T12:21:09-05:00</t>
  </si>
  <si>
    <t>Dermatológia</t>
  </si>
  <si>
    <t>6:00 pm</t>
  </si>
  <si>
    <t>Marta Raquel Benitez Russo</t>
  </si>
  <si>
    <t>l:493957543538717</t>
  </si>
  <si>
    <t>2024-09-20T12:27:40-05:00</t>
  </si>
  <si>
    <t>Mañanas de 7am a 11am</t>
  </si>
  <si>
    <t>Nicolás Márquez</t>
  </si>
  <si>
    <t>l:846459674139679</t>
  </si>
  <si>
    <t>2024-09-20T13:23:43-05:00</t>
  </si>
  <si>
    <t>Maria Paula Miranda</t>
  </si>
  <si>
    <t>l:1777286569682435</t>
  </si>
  <si>
    <t>2024-09-20T14:11:09-05:00</t>
  </si>
  <si>
    <t>Cirugía plástica o urología</t>
  </si>
  <si>
    <t>Quiero empezar a prepararme</t>
  </si>
  <si>
    <t>Jesus Ladron De Guevara Gomez</t>
  </si>
  <si>
    <t>l:840026254981063</t>
  </si>
  <si>
    <t>2024-09-20T14:35:55-05:00</t>
  </si>
  <si>
    <t>ag:120212789384120277</t>
  </si>
  <si>
    <t>Nuevo anuncio</t>
  </si>
  <si>
    <t>as:120212789373050277</t>
  </si>
  <si>
    <t>c:120212789373030277</t>
  </si>
  <si>
    <t>CAMPAÑA RETARGET</t>
  </si>
  <si>
    <t>En la mañana, preferiblemente por whatsapp ya q no contesto números desconocidos</t>
  </si>
  <si>
    <t>Miguel Angel Martinez</t>
  </si>
  <si>
    <t>l:4529319627293079</t>
  </si>
  <si>
    <t>2024-09-20T15:21:57-05:00</t>
  </si>
  <si>
    <t>Medicina interna/cardiologia</t>
  </si>
  <si>
    <t>Dayana Cetina</t>
  </si>
  <si>
    <t>l:1187544712501178</t>
  </si>
  <si>
    <t>2024-09-20T16:03:06-05:00</t>
  </si>
  <si>
    <t>Otorrinolaringológia</t>
  </si>
  <si>
    <t>Wilmer Yesid Ortiz</t>
  </si>
  <si>
    <t>l:3595046417462753</t>
  </si>
  <si>
    <t>2024-09-20T17:12:00-05:00</t>
  </si>
  <si>
    <t>Vane Camacho</t>
  </si>
  <si>
    <t>l:1539219360037681</t>
  </si>
  <si>
    <t>2024-09-20T17:17:42-05:00</t>
  </si>
  <si>
    <t>Lunes de 1 a 2 pm</t>
  </si>
  <si>
    <t>Carlos González</t>
  </si>
  <si>
    <t>l:2796649333843653</t>
  </si>
  <si>
    <t>2024-09-20T17:42:55-05:00</t>
  </si>
  <si>
    <t>Anestesiogia</t>
  </si>
  <si>
    <t>Habib Lewis</t>
  </si>
  <si>
    <t>l:1058234829327750</t>
  </si>
  <si>
    <t>2024-09-20T19:02:29-05:00</t>
  </si>
  <si>
    <t>7:00pm</t>
  </si>
  <si>
    <t>Maria Camila</t>
  </si>
  <si>
    <t>l:1222794822291349</t>
  </si>
  <si>
    <t>2024-09-20T20:48:04-05:00</t>
  </si>
  <si>
    <t>En el día en semana</t>
  </si>
  <si>
    <t>Alejandro Gomez Alvarez</t>
  </si>
  <si>
    <t>l:548994577547653</t>
  </si>
  <si>
    <t>2024-09-20T21:10:16-05:00</t>
  </si>
  <si>
    <t>Marcejo3338</t>
  </si>
  <si>
    <t>l:765904435597473</t>
  </si>
  <si>
    <t>2024-09-20T21:34:54-05:00</t>
  </si>
  <si>
    <t>Cuidado intensivo</t>
  </si>
  <si>
    <t>Gabriel Ballestas</t>
  </si>
  <si>
    <t>l:984624050134383</t>
  </si>
  <si>
    <t>2024-09-20T21:38:44-05:00</t>
  </si>
  <si>
    <t>Tatiana Bohorquez</t>
  </si>
  <si>
    <t>l:489584600609007</t>
  </si>
  <si>
    <t>2024-09-20T22:17:09-05:00</t>
  </si>
  <si>
    <t>17:30</t>
  </si>
  <si>
    <t>Sylvie Burgos</t>
  </si>
  <si>
    <t>l:498001109710802</t>
  </si>
  <si>
    <t>2024-09-21T00:48:25-05:00</t>
  </si>
  <si>
    <t>Mates después de las 2 pm</t>
  </si>
  <si>
    <t>Juan Aza</t>
  </si>
  <si>
    <t>l:500937906055200</t>
  </si>
  <si>
    <t>2024-09-21T05:39:20-05:00</t>
  </si>
  <si>
    <t>dermatologia</t>
  </si>
  <si>
    <t>Jessica Castro Macias</t>
  </si>
  <si>
    <t>l:1222950038906666</t>
  </si>
  <si>
    <t>2024-09-21T05:55:16-05:00</t>
  </si>
  <si>
    <t>Fisiatra</t>
  </si>
  <si>
    <t>Full time</t>
  </si>
  <si>
    <t>Andres Abaunza</t>
  </si>
  <si>
    <t>l:841345984780466</t>
  </si>
  <si>
    <t>2024-09-21T06:13:37-05:00</t>
  </si>
  <si>
    <t>Dermatología 
Patología</t>
  </si>
  <si>
    <t>Susan Jackeline</t>
  </si>
  <si>
    <t>l:1295569704757819</t>
  </si>
  <si>
    <t>2024-09-21T06:23:53-05:00</t>
  </si>
  <si>
    <t>Otorrino</t>
  </si>
  <si>
    <t>12medio dii</t>
  </si>
  <si>
    <t>Laura Sanchez Z</t>
  </si>
  <si>
    <t>l:574488664904926</t>
  </si>
  <si>
    <t>2024-09-21T06:33:50-05:00</t>
  </si>
  <si>
    <t>4 a 6 pm</t>
  </si>
  <si>
    <t>Nataly Cortinez Bertel</t>
  </si>
  <si>
    <t>l:8196962220425202</t>
  </si>
  <si>
    <t>2024-09-21T07:00:35-05:00</t>
  </si>
  <si>
    <t>Karen Maria Fajardo Hernandez</t>
  </si>
  <si>
    <t>l:1083891559748445</t>
  </si>
  <si>
    <t>2024-09-21T07:26:37-05:00</t>
  </si>
  <si>
    <t>Nati Molina</t>
  </si>
  <si>
    <t>l:797622965914977</t>
  </si>
  <si>
    <t>2024-09-21T07:51:38-05:00</t>
  </si>
  <si>
    <t>Después de 7 pm</t>
  </si>
  <si>
    <t>DraDaisySierra</t>
  </si>
  <si>
    <t>l:1298068558283401</t>
  </si>
  <si>
    <t>2024-09-21T08:44:40-05:00</t>
  </si>
  <si>
    <t>Juliana Silva Valencia</t>
  </si>
  <si>
    <t>l:1070941741270869</t>
  </si>
  <si>
    <t>2024-09-21T08:50:12-05:00</t>
  </si>
  <si>
    <t>Anestesiologo</t>
  </si>
  <si>
    <t>Laura Gutierrez</t>
  </si>
  <si>
    <t>l:3911204632538261</t>
  </si>
  <si>
    <t>2024-09-21T09:14:19-05:00</t>
  </si>
  <si>
    <t>En las tardes</t>
  </si>
  <si>
    <t>Jessica Peña Montenegro</t>
  </si>
  <si>
    <t>l:1190189165607560</t>
  </si>
  <si>
    <t>2024-09-21T09:26:43-05:00</t>
  </si>
  <si>
    <t>retarget</t>
  </si>
  <si>
    <t>Maria Paula Murcia</t>
  </si>
  <si>
    <t>l:566632385840630</t>
  </si>
  <si>
    <t>2024-09-21T09:27:21-05:00</t>
  </si>
  <si>
    <t>Cirugia plástica</t>
  </si>
  <si>
    <t>Juan Manuel Piedrahita</t>
  </si>
  <si>
    <t>l:8344453105621359</t>
  </si>
  <si>
    <t>2024-09-21T15:33:35-05:00</t>
  </si>
  <si>
    <t>Hernan David Citeli Jurado</t>
  </si>
  <si>
    <t>l:420005444442342</t>
  </si>
  <si>
    <t>2024-09-21T15:51:27-05:00</t>
  </si>
  <si>
    <t>Angie</t>
  </si>
  <si>
    <t>l:1877143416112688</t>
  </si>
  <si>
    <t>2024-09-21T17:16:02-05:00</t>
  </si>
  <si>
    <t>Pedro Galvis</t>
  </si>
  <si>
    <t>l:1998094027300934</t>
  </si>
  <si>
    <t>2024-09-21T20:28:43-05:00</t>
  </si>
  <si>
    <t>0</t>
  </si>
  <si>
    <t>8-11 am</t>
  </si>
  <si>
    <t>Rafael Alejandro Camayo Concha | Fotógrafo</t>
  </si>
  <si>
    <t>l:1564889684442608</t>
  </si>
  <si>
    <t>2024-09-22T08:13:36-05:00</t>
  </si>
  <si>
    <t>Ciencias de la decisión</t>
  </si>
  <si>
    <t>12</t>
  </si>
  <si>
    <t>Valentina Ballesteros Nova</t>
  </si>
  <si>
    <t>l:833052419016005</t>
  </si>
  <si>
    <t>2024-09-22T08:33:48-05:00</t>
  </si>
  <si>
    <t>Horas de la tarde</t>
  </si>
  <si>
    <t>Vanessa Pelaez</t>
  </si>
  <si>
    <t>l:1075707804075722</t>
  </si>
  <si>
    <t>2024-09-22T08:47:28-05:00</t>
  </si>
  <si>
    <t>Laura Viviana Torres</t>
  </si>
  <si>
    <t>l:1271445630707767</t>
  </si>
  <si>
    <t>2024-09-22T09:19:33-05:00</t>
  </si>
  <si>
    <t>Eliana Paola Parada Duarte</t>
  </si>
  <si>
    <t>l:1071644657914692</t>
  </si>
  <si>
    <t>2024-09-22T11:40:40-05:00</t>
  </si>
  <si>
    <t>Despues de las 6pm</t>
  </si>
  <si>
    <t>Annitä Pinzön</t>
  </si>
  <si>
    <t>l:1600682913816998</t>
  </si>
  <si>
    <t>2024-09-22T12:31:53-05:00</t>
  </si>
  <si>
    <t>Ortopedia  Cirugía general</t>
  </si>
  <si>
    <t>Jorge Vega</t>
  </si>
  <si>
    <t>l:1185413229430168</t>
  </si>
  <si>
    <t>2024-09-22T13:22:40-05:00</t>
  </si>
  <si>
    <t>Juliana Zapata</t>
  </si>
  <si>
    <t>l:1798846630647965</t>
  </si>
  <si>
    <t>2024-09-22T13:28:06-05:00</t>
  </si>
  <si>
    <t>2pm</t>
  </si>
  <si>
    <t>Camila Sánchez</t>
  </si>
  <si>
    <t>l:1824454631296838</t>
  </si>
  <si>
    <t>2024-09-22T14:35:50-05:00</t>
  </si>
  <si>
    <t>Ginecólogia</t>
  </si>
  <si>
    <t>Mary Portilla</t>
  </si>
  <si>
    <t>l:1245844103501900</t>
  </si>
  <si>
    <t>2024-09-22T14:48:32-05:00</t>
  </si>
  <si>
    <t>Reumatologia</t>
  </si>
  <si>
    <t>En la noche después de las 8:00</t>
  </si>
  <si>
    <t>Sofia Quintero</t>
  </si>
  <si>
    <t>l:2961921143960511</t>
  </si>
  <si>
    <t>2024-09-22T15:11:33-05:00</t>
  </si>
  <si>
    <t>Aprender</t>
  </si>
  <si>
    <t>Uuuu</t>
  </si>
  <si>
    <t>Cristian</t>
  </si>
  <si>
    <t>l:1926377684451548</t>
  </si>
  <si>
    <t>2024-09-22T15:57:11-05:00</t>
  </si>
  <si>
    <t>Luego de las 4:30</t>
  </si>
  <si>
    <t>María Victoria Quevedo</t>
  </si>
  <si>
    <t>l:840029111614853</t>
  </si>
  <si>
    <t>2024-09-22T16:13:58-05:00</t>
  </si>
  <si>
    <t>Noris</t>
  </si>
  <si>
    <t>l:881061743605134</t>
  </si>
  <si>
    <t>2024-09-22T17:58:57-05:00</t>
  </si>
  <si>
    <t>6pm a 7pm</t>
  </si>
  <si>
    <t>Jessica Fory</t>
  </si>
  <si>
    <t>l:2009443169487867</t>
  </si>
  <si>
    <t>2024-09-22T18:00:33-05:00</t>
  </si>
  <si>
    <t>Radiología / Patología</t>
  </si>
  <si>
    <t>16 horas</t>
  </si>
  <si>
    <t>Paola Andrea Mora</t>
  </si>
  <si>
    <t>l:1940734446439976</t>
  </si>
  <si>
    <t>2024-09-22T18:16:20-05:00</t>
  </si>
  <si>
    <t>Am</t>
  </si>
  <si>
    <t>Federico Arango</t>
  </si>
  <si>
    <t>l:870526744744116</t>
  </si>
  <si>
    <t>2024-09-22T18:23:31-05:00</t>
  </si>
  <si>
    <t>Lunes en la mañana</t>
  </si>
  <si>
    <t>Valentina Serna</t>
  </si>
  <si>
    <t>l:1059936335313291</t>
  </si>
  <si>
    <t>2024-09-22T19:19:33-05:00</t>
  </si>
  <si>
    <t>Sebastián Enriquez</t>
  </si>
  <si>
    <t>l:8657926510913828</t>
  </si>
  <si>
    <t>2024-09-22T19:37:05-05:00</t>
  </si>
  <si>
    <t>William Muñoz</t>
  </si>
  <si>
    <t>l:397532270068055</t>
  </si>
  <si>
    <t>2024-09-22T20:16:21-05:00</t>
  </si>
  <si>
    <t>Después de las 3 pm</t>
  </si>
  <si>
    <t>Kevin Correa</t>
  </si>
  <si>
    <t>l:512155885089738</t>
  </si>
  <si>
    <t>2024-09-22T21:48:26-05:00</t>
  </si>
  <si>
    <t>Steven Sierra M</t>
  </si>
  <si>
    <t>l:501176052766564</t>
  </si>
  <si>
    <t>2024-09-22T22:02:22-05:00</t>
  </si>
  <si>
    <t>Maria Claudia Porto</t>
  </si>
  <si>
    <t>l:1098667091825165</t>
  </si>
  <si>
    <t>2024-09-22T22:26:23-05:00</t>
  </si>
  <si>
    <t>4 pm - 8 pm</t>
  </si>
  <si>
    <t>Karol Marrugo</t>
  </si>
  <si>
    <t>l:1062800418546752</t>
  </si>
  <si>
    <t>2024-09-22T22:44:29-05:00</t>
  </si>
  <si>
    <t>Lina Martinez</t>
  </si>
  <si>
    <t>l:882626909992320</t>
  </si>
  <si>
    <t>2024-09-22T22:53:08-05:00</t>
  </si>
  <si>
    <t>cirugia pediatríca</t>
  </si>
  <si>
    <t>Stefanny Trujillo</t>
  </si>
  <si>
    <t>l:430973342862405</t>
  </si>
  <si>
    <t>2024-09-23T10:59:03-05:00</t>
  </si>
  <si>
    <t>Geriatria</t>
  </si>
  <si>
    <t>Mañana antes.de.las 10</t>
  </si>
  <si>
    <t>Dorelly Alvarez  Gomez</t>
  </si>
  <si>
    <t>l:1053885749120158</t>
  </si>
  <si>
    <t>2024-09-23T19:14:51-05:00</t>
  </si>
  <si>
    <t>ag:120212879732560277</t>
  </si>
  <si>
    <t>Nuevo anuncio de Clientes potenciales</t>
  </si>
  <si>
    <t>as:120212879732540277</t>
  </si>
  <si>
    <t>c:120212879732520277</t>
  </si>
  <si>
    <t>campaña comercial 9</t>
  </si>
  <si>
    <t>Brindsrm ein formacion via whatsapp</t>
  </si>
  <si>
    <t>Carlos Espitia</t>
  </si>
  <si>
    <t>l:920902363192553</t>
  </si>
  <si>
    <t>2024-09-23T19:31:51-05:00</t>
  </si>
  <si>
    <t>En las mañanas</t>
  </si>
  <si>
    <t>Sergio Alejandro Sanchez diaz</t>
  </si>
  <si>
    <t>l:553303023943545</t>
  </si>
  <si>
    <t>2024-09-23T20:37:10-05:00</t>
  </si>
  <si>
    <t>Otorrinolaringologia</t>
  </si>
  <si>
    <t>De 10 11 am</t>
  </si>
  <si>
    <t>Fabian Esteban Tarazona Perdomo</t>
  </si>
  <si>
    <t>l:1461354964574517</t>
  </si>
  <si>
    <t>2024-09-23T21:25:55-05:00</t>
  </si>
  <si>
    <t>Mejor WhatsApp pm</t>
  </si>
  <si>
    <t>Alicia Guaracao</t>
  </si>
  <si>
    <t>l:1766623577463375</t>
  </si>
  <si>
    <t>2024-09-23T22:20:11-05:00</t>
  </si>
  <si>
    <t>Fisiatria / Medicina física y de rehabilitación</t>
  </si>
  <si>
    <t>18 hrs</t>
  </si>
  <si>
    <t>Tania Perez</t>
  </si>
  <si>
    <t>l:8355532914534506</t>
  </si>
  <si>
    <t>2024-09-23T22:27:24-05:00</t>
  </si>
  <si>
    <t>Maria Camila Peña Pineda</t>
  </si>
  <si>
    <t>l:1222986115454138</t>
  </si>
  <si>
    <t>2024-09-23T22:40:01-05:00</t>
  </si>
  <si>
    <t>Dermatología o radiología</t>
  </si>
  <si>
    <t>Mucho</t>
  </si>
  <si>
    <t>Betsy  Cabrera</t>
  </si>
  <si>
    <t>l:1040275627572832</t>
  </si>
  <si>
    <t>2024-09-23T23:12:48-05:00</t>
  </si>
  <si>
    <t>Disponible 24 horas</t>
  </si>
  <si>
    <t>Felipe Rojas</t>
  </si>
  <si>
    <t>l:542284058326101</t>
  </si>
  <si>
    <t>2024-09-23T23:19:58-05:00</t>
  </si>
  <si>
    <t>Enrique Luis Oñate Garcia</t>
  </si>
  <si>
    <t>l:2901713789990880</t>
  </si>
  <si>
    <t>2024-09-24T02:39:57-05:00</t>
  </si>
  <si>
    <t>Dermarologia</t>
  </si>
  <si>
    <t>klysman</t>
  </si>
  <si>
    <t>l:498300363096249</t>
  </si>
  <si>
    <t>2024-09-24T04:21:35-05:00</t>
  </si>
  <si>
    <t>Moni Cale</t>
  </si>
  <si>
    <t>l:547808621040308</t>
  </si>
  <si>
    <t>2024-09-24T05:00:08-05:00</t>
  </si>
  <si>
    <t>Después de las 6pm</t>
  </si>
  <si>
    <t>Juanita Mosquera</t>
  </si>
  <si>
    <t>l:452797464437583</t>
  </si>
  <si>
    <t>2024-09-24T05:43:09-05:00</t>
  </si>
  <si>
    <t>Oftalmo</t>
  </si>
  <si>
    <t>A las 7 pm</t>
  </si>
  <si>
    <t>Sara Garces</t>
  </si>
  <si>
    <t>l:877667414330349</t>
  </si>
  <si>
    <t>2024-09-24T05:48:46-05:00</t>
  </si>
  <si>
    <t>Plastica</t>
  </si>
  <si>
    <t>David Rodríguez</t>
  </si>
  <si>
    <t>l:893084365519847</t>
  </si>
  <si>
    <t>2024-09-24T06:55:55-05:00</t>
  </si>
  <si>
    <t>Por las noches</t>
  </si>
  <si>
    <t>Gredys Sarmiento</t>
  </si>
  <si>
    <t>l:1777500666424324</t>
  </si>
  <si>
    <t>2024-09-24T07:04:53-05:00</t>
  </si>
  <si>
    <t>Dermatología y/ootorrinolaringologia</t>
  </si>
  <si>
    <t>Mónica Chaves Galán</t>
  </si>
  <si>
    <t>l:870323591411321</t>
  </si>
  <si>
    <t>2024-09-24T07:41:32-05:00</t>
  </si>
  <si>
    <t>Dayis Lara</t>
  </si>
  <si>
    <t>l:511914164812929</t>
  </si>
  <si>
    <t>2024-09-24T07:55:38-05:00</t>
  </si>
  <si>
    <t>13:00</t>
  </si>
  <si>
    <t>Angela</t>
  </si>
  <si>
    <t>l:1040212124062777</t>
  </si>
  <si>
    <t>2024-09-24T10:47:30-05:00</t>
  </si>
  <si>
    <t>Ortopedia y traumatologia</t>
  </si>
  <si>
    <t>Luis Carlos Castro Sotaquira</t>
  </si>
  <si>
    <t>l:495778813449688</t>
  </si>
  <si>
    <t>2024-09-24T14:12:21-05:00</t>
  </si>
  <si>
    <t>medicina interna, ortopedia, cirugia plastica</t>
  </si>
  <si>
    <t>quiero que me escriban y me digan el precio</t>
  </si>
  <si>
    <t>David Miller</t>
  </si>
  <si>
    <t>l:392853527022037</t>
  </si>
  <si>
    <t>2024-09-24T14:16:07-05:00</t>
  </si>
  <si>
    <t>Juan Sebastián Rodríguez Quintero</t>
  </si>
  <si>
    <t>l:3766821056912342</t>
  </si>
  <si>
    <t>2024-09-24T16:00:43-05:00</t>
  </si>
  <si>
    <t>Feder Alexander Onofre Narvaez</t>
  </si>
  <si>
    <t>l:866630965184174</t>
  </si>
  <si>
    <t>2024-09-24T18:15:20-05:00</t>
  </si>
  <si>
    <t>cuidado intensivo</t>
  </si>
  <si>
    <t>3012089189</t>
  </si>
  <si>
    <t>Andres Zuluaga Mendez</t>
  </si>
  <si>
    <t>l:1819092881951102</t>
  </si>
  <si>
    <t>2024-09-24T18:44:06-05:00</t>
  </si>
  <si>
    <t>Cindy Orozco</t>
  </si>
  <si>
    <t>l:836312845351367</t>
  </si>
  <si>
    <t>2024-09-24T20:44:53-05:00</t>
  </si>
  <si>
    <t>10-am</t>
  </si>
  <si>
    <t>Dieney Luz</t>
  </si>
  <si>
    <t>l:1063716775250947</t>
  </si>
  <si>
    <t>2024-09-24T21:30:55-05:00</t>
  </si>
  <si>
    <t>Dra Michi Med</t>
  </si>
  <si>
    <t>l:1205330720520150</t>
  </si>
  <si>
    <t>2024-09-24T21:38:55-05:00</t>
  </si>
  <si>
    <t>A las 10 a.m</t>
  </si>
  <si>
    <t>Marco Reinel Diaz Caballero</t>
  </si>
  <si>
    <t>l:894398008782544</t>
  </si>
  <si>
    <t>2024-09-24T21:56:40-05:00</t>
  </si>
  <si>
    <t>Dermato</t>
  </si>
  <si>
    <t>Dra Natalia Zuluaga Médicina Estética y Funcional</t>
  </si>
  <si>
    <t>l:391926413795643</t>
  </si>
  <si>
    <t>2024-09-25T00:06:51-05:00</t>
  </si>
  <si>
    <t>anestesiólogia</t>
  </si>
  <si>
    <t>3 de la tarde</t>
  </si>
  <si>
    <t>Josser Jimenez Escobar</t>
  </si>
  <si>
    <t>l:1568221037413086</t>
  </si>
  <si>
    <t>2024-09-25T00:12:19-05:00</t>
  </si>
  <si>
    <t>8:50</t>
  </si>
  <si>
    <t>Valentina cervantes</t>
  </si>
  <si>
    <t>l:511821591474639</t>
  </si>
  <si>
    <t>2024-09-25T02:05:18-05:00</t>
  </si>
  <si>
    <t>Radiologia o cirugia plastica</t>
  </si>
  <si>
    <t>100000000000</t>
  </si>
  <si>
    <t>En el que sea</t>
  </si>
  <si>
    <t>Nicolas J. Nuñez</t>
  </si>
  <si>
    <t>l:1181765742920434</t>
  </si>
  <si>
    <t>2024-09-25T04:14:00-05:00</t>
  </si>
  <si>
    <t>Sábado am</t>
  </si>
  <si>
    <t>Steven Rodríguez Duque</t>
  </si>
  <si>
    <t>l:881268420227018</t>
  </si>
  <si>
    <t>2024-09-25T05:22:12-05:00</t>
  </si>
  <si>
    <t>- Dayana Meriño Torres</t>
  </si>
  <si>
    <t>l:1192699862011261</t>
  </si>
  <si>
    <t>2024-09-25T05:48:10-05:00</t>
  </si>
  <si>
    <t>Interna</t>
  </si>
  <si>
    <t>Jairo Rosas H</t>
  </si>
  <si>
    <t>l:407807272053197</t>
  </si>
  <si>
    <t>2024-09-25T06:24:14-05:00</t>
  </si>
  <si>
    <t>21:00</t>
  </si>
  <si>
    <t>Daniel Montes</t>
  </si>
  <si>
    <t>l:1300923144647663</t>
  </si>
  <si>
    <t>2024-09-25T06:48:35-05:00</t>
  </si>
  <si>
    <t>Lisa López</t>
  </si>
  <si>
    <t>l:1266849367839276</t>
  </si>
  <si>
    <t>2024-09-25T07:21:54-05:00</t>
  </si>
  <si>
    <t>Jefferson Casas</t>
  </si>
  <si>
    <t>l:1117764669940449</t>
  </si>
  <si>
    <t>2024-09-25T08:09:57-05:00</t>
  </si>
  <si>
    <t>Cirugía plastica</t>
  </si>
  <si>
    <t>Dra Andrea Alexandra Mayorga Borja</t>
  </si>
  <si>
    <t>l:884982066920949</t>
  </si>
  <si>
    <t>2024-09-25T08:10:44-05:00</t>
  </si>
  <si>
    <t>Vía wassap</t>
  </si>
  <si>
    <t>♡</t>
  </si>
  <si>
    <t>l:414492538339079</t>
  </si>
  <si>
    <t>2024-09-25T08:28:01-05:00</t>
  </si>
  <si>
    <t>7/10</t>
  </si>
  <si>
    <t>7am - 5 pm</t>
  </si>
  <si>
    <t>PiaGordillo</t>
  </si>
  <si>
    <t>l:3794958640750041</t>
  </si>
  <si>
    <t>2024-09-25T09:28:31-05:00</t>
  </si>
  <si>
    <t>ortodoncista</t>
  </si>
  <si>
    <t>Roberto Cardoza Barrios</t>
  </si>
  <si>
    <t>l:869703258444839</t>
  </si>
  <si>
    <t>2024-09-25T10:06:13-05:00</t>
  </si>
  <si>
    <t>Neurocirugia/cirugía general</t>
  </si>
  <si>
    <t>3-4 pm</t>
  </si>
  <si>
    <t>Pedro Luis Agudelo</t>
  </si>
  <si>
    <t>l:1016265256963933</t>
  </si>
  <si>
    <t>2024-09-25T13:26:12-05:00</t>
  </si>
  <si>
    <t>Vivian D. Bueno Nuñez</t>
  </si>
  <si>
    <t>l:877650254466644</t>
  </si>
  <si>
    <t>2024-09-25T15:01:20-05:00</t>
  </si>
  <si>
    <t>Andrés Sastoque</t>
  </si>
  <si>
    <t>l:1230530798190447</t>
  </si>
  <si>
    <t>2024-09-25T15:23:52-05:00</t>
  </si>
  <si>
    <t>July Ibrra</t>
  </si>
  <si>
    <t>l:3960354544196021</t>
  </si>
  <si>
    <t>2024-09-25T15:41:52-05:00</t>
  </si>
  <si>
    <t>7 pm a 10 pm</t>
  </si>
  <si>
    <t>Lore Heredia</t>
  </si>
  <si>
    <t>l:381345068364966</t>
  </si>
  <si>
    <t>2024-09-25T18:13:41-05:00</t>
  </si>
  <si>
    <t>Cirugia plastica u cieugia general</t>
  </si>
  <si>
    <t>Efren Alejandro Erazo Bolaños</t>
  </si>
  <si>
    <t>l:1429363824423872</t>
  </si>
  <si>
    <t>2024-09-25T18:44:27-05:00</t>
  </si>
  <si>
    <t>cirugía general</t>
  </si>
  <si>
    <t>cualquier hora</t>
  </si>
  <si>
    <t>Arnold</t>
  </si>
  <si>
    <t>l:1231282011415568</t>
  </si>
  <si>
    <t>2024-09-25T19:27:59-05:00</t>
  </si>
  <si>
    <t>16:00</t>
  </si>
  <si>
    <t>Luis Miguel Ramirez Burbano</t>
  </si>
  <si>
    <t>l:1493623074644582</t>
  </si>
  <si>
    <t>2024-09-25T20:04:50-05:00</t>
  </si>
  <si>
    <t>Jorge Mario Guzmán Gómez</t>
  </si>
  <si>
    <t>l:1105931437737132</t>
  </si>
  <si>
    <t>2024-09-25T20:38:37-05:00</t>
  </si>
  <si>
    <t>Juanita Ortiz Arias</t>
  </si>
  <si>
    <t>l:907169651273334</t>
  </si>
  <si>
    <t>2024-09-25T20:56:39-05:00</t>
  </si>
  <si>
    <t>Tarde de 14 a 20 hr</t>
  </si>
  <si>
    <t>Guillermo Fernández</t>
  </si>
  <si>
    <t>l:1905714069913821</t>
  </si>
  <si>
    <t>2024-09-25T21:35:10-05:00</t>
  </si>
  <si>
    <t>De 1 a 2 pm</t>
  </si>
  <si>
    <t>Juliana Franco.MD.</t>
  </si>
  <si>
    <t>l:437555272672708</t>
  </si>
  <si>
    <t>2024-09-25T22:16:19-05:00</t>
  </si>
  <si>
    <t>10 12 dia</t>
  </si>
  <si>
    <t>Johana Medina Jaime</t>
  </si>
  <si>
    <t>VE</t>
  </si>
  <si>
    <t>l:1563136847934527</t>
  </si>
  <si>
    <t>2024-09-25T22:19:58-05:00</t>
  </si>
  <si>
    <t>Dra. Lina Olivero Diaz</t>
  </si>
  <si>
    <t>l:436373256225926</t>
  </si>
  <si>
    <t>2024-09-25T23:01:48-05:00</t>
  </si>
  <si>
    <t>6 a 9</t>
  </si>
  <si>
    <t>Juliana Márquez</t>
  </si>
  <si>
    <t>l:507094065434142</t>
  </si>
  <si>
    <t>2024-09-25T23:07:17-05:00</t>
  </si>
  <si>
    <t>12 medio dia</t>
  </si>
  <si>
    <t>Juan Jose Castro</t>
  </si>
  <si>
    <t>l:1089751382672746</t>
  </si>
  <si>
    <t>2024-09-26T05:38:54-05:00</t>
  </si>
  <si>
    <t>Dia</t>
  </si>
  <si>
    <t>Julián Gil Negrete</t>
  </si>
  <si>
    <t>l:1427166257975968</t>
  </si>
  <si>
    <t>2024-09-26T15:52:31-05:00</t>
  </si>
  <si>
    <t>Cirugía pediátrica</t>
  </si>
  <si>
    <t>5.00 pm</t>
  </si>
  <si>
    <t>Cynthia sandoval siado</t>
  </si>
  <si>
    <t>l:897783248934858</t>
  </si>
  <si>
    <t>2024-09-26T17:36:38-05:00</t>
  </si>
  <si>
    <t>neurocirugía</t>
  </si>
  <si>
    <t>Oscar Ivan Montes Ortiz</t>
  </si>
  <si>
    <t>l:1423777421622983</t>
  </si>
  <si>
    <t>2024-09-26T18:03:42-05:00</t>
  </si>
  <si>
    <t>7 AM - 5 PM</t>
  </si>
  <si>
    <t>Dr. Ricardo L. Guido P.</t>
  </si>
  <si>
    <t>l:1083705183369298</t>
  </si>
  <si>
    <t>2024-09-26T18:23:48-05:00</t>
  </si>
  <si>
    <t>Ninguno</t>
  </si>
  <si>
    <t>Cesar Jimenez</t>
  </si>
  <si>
    <t>AF</t>
  </si>
  <si>
    <t>l:1221360239013031</t>
  </si>
  <si>
    <t>2024-09-26T18:59:18-05:00</t>
  </si>
  <si>
    <t>5 quiero estar 10</t>
  </si>
  <si>
    <t>am</t>
  </si>
  <si>
    <t>Dayana Barker</t>
  </si>
  <si>
    <t>l:312996448563103</t>
  </si>
  <si>
    <t>2024-09-26T19:18:25-05:00</t>
  </si>
  <si>
    <t>Endocrinología</t>
  </si>
  <si>
    <t>Mensaje de texto cualquier hora</t>
  </si>
  <si>
    <t>Javier Lenis</t>
  </si>
  <si>
    <t>l:907418251292221</t>
  </si>
  <si>
    <t>2024-09-26T21:27:52-05:00</t>
  </si>
  <si>
    <t>Rafael Daza</t>
  </si>
  <si>
    <t>l:567666689161584</t>
  </si>
  <si>
    <t>2024-09-26T21:28:39-05:00</t>
  </si>
  <si>
    <t>Oscar Jair Pantoja Perez</t>
  </si>
  <si>
    <t>l:1044736120446306</t>
  </si>
  <si>
    <t>2024-09-26T22:33:55-05:00</t>
  </si>
  <si>
    <t>Natali</t>
  </si>
  <si>
    <t>l:3914271338806003</t>
  </si>
  <si>
    <t>2024-09-26T23:00:07-05:00</t>
  </si>
  <si>
    <t>Juan Calle</t>
  </si>
  <si>
    <t>350 7982281</t>
  </si>
  <si>
    <t>l:1313620192934986</t>
  </si>
  <si>
    <t>2024-09-26T23:08:10-05:00</t>
  </si>
  <si>
    <t>Luisk Acevedo Aponte</t>
  </si>
  <si>
    <t>l:1302698404432259</t>
  </si>
  <si>
    <t>2024-09-26T23:41:17-05:00</t>
  </si>
  <si>
    <t>Anggie Caballero</t>
  </si>
  <si>
    <t>l:522766693674915</t>
  </si>
  <si>
    <t>2024-09-27T01:25:29-05:00</t>
  </si>
  <si>
    <t>Urgencias</t>
  </si>
  <si>
    <t>Carlos D</t>
  </si>
  <si>
    <t>l:1601736897408887</t>
  </si>
  <si>
    <t>2024-09-27T04:55:05-05:00</t>
  </si>
  <si>
    <t>En octubre</t>
  </si>
  <si>
    <t>Juan David Bonilla Esquivel</t>
  </si>
  <si>
    <t>l:402778995961977</t>
  </si>
  <si>
    <t>2024-09-27T06:27:09-05:00</t>
  </si>
  <si>
    <t>Espíes de la 1 pm y sábados</t>
  </si>
  <si>
    <t>Zaida Michel Caliz</t>
  </si>
  <si>
    <t>l:377677335413442</t>
  </si>
  <si>
    <t>2024-09-27T06:33:11-05:00</t>
  </si>
  <si>
    <t>No se</t>
  </si>
  <si>
    <t>Mejor WhatsApp</t>
  </si>
  <si>
    <t>Maria Alejandra</t>
  </si>
  <si>
    <t>l:1030713472182464</t>
  </si>
  <si>
    <t>2024-09-27T07:17:30-05:00</t>
  </si>
  <si>
    <t>11am</t>
  </si>
  <si>
    <t>Caro Ramirez</t>
  </si>
  <si>
    <t>l:1680625942788995</t>
  </si>
  <si>
    <t>2024-09-27T08:41:25-05:00</t>
  </si>
  <si>
    <t>Rafael Pajaro</t>
  </si>
  <si>
    <t>l:1059154275948527</t>
  </si>
  <si>
    <t>2024-09-27T09:26:02-05:00</t>
  </si>
  <si>
    <t>AM</t>
  </si>
  <si>
    <t>Leysdi Paola</t>
  </si>
  <si>
    <t>l:1822189121643702</t>
  </si>
  <si>
    <t>2024-09-27T09:35:01-05:00</t>
  </si>
  <si>
    <t>Cirugía plástica y reconstructiva</t>
  </si>
  <si>
    <t>Maria antonia</t>
  </si>
  <si>
    <t>l:1069287844803027</t>
  </si>
  <si>
    <t>2024-09-27T10:09:46-05:00</t>
  </si>
  <si>
    <t>En horas de la mañana</t>
  </si>
  <si>
    <t>eliana argote bolaño</t>
  </si>
  <si>
    <t>l:924812276334841</t>
  </si>
  <si>
    <t>2024-09-27T11:03:39-05:00</t>
  </si>
  <si>
    <t>juancamilosant</t>
  </si>
  <si>
    <t>l:540985505088754</t>
  </si>
  <si>
    <t>2024-09-27T11:03:53-05:00</t>
  </si>
  <si>
    <t>Mensajes por ws</t>
  </si>
  <si>
    <t>Dra Maria Julia Onate</t>
  </si>
  <si>
    <t>l:1805959936841248</t>
  </si>
  <si>
    <t>2024-09-27T12:57:42-05:00</t>
  </si>
  <si>
    <t>Maria Alejandra Perez Urzola</t>
  </si>
  <si>
    <t>l:351274171308926</t>
  </si>
  <si>
    <t>2024-09-27T13:41:42-05:00</t>
  </si>
  <si>
    <t>Medicina interna , Cardiologia</t>
  </si>
  <si>
    <t>Dra.Karen Lagos</t>
  </si>
  <si>
    <t>l:827653475879772</t>
  </si>
  <si>
    <t>2024-09-27T15:44:38-05:00</t>
  </si>
  <si>
    <t>En cualquier momento 
3155477072</t>
  </si>
  <si>
    <t>santana.</t>
  </si>
  <si>
    <t>l:1728180334681977</t>
  </si>
  <si>
    <t>2024-09-27T16:30:38-05:00</t>
  </si>
  <si>
    <t>4-5 pm</t>
  </si>
  <si>
    <t>Stephanie Moreno</t>
  </si>
  <si>
    <t>l:426606973785438</t>
  </si>
  <si>
    <t>2024-09-27T16:45:50-05:00</t>
  </si>
  <si>
    <t>Andrys Rojas Ahumada</t>
  </si>
  <si>
    <t>l:2306873286342765</t>
  </si>
  <si>
    <t>2024-09-27T17:02:40-05:00</t>
  </si>
  <si>
    <t>Med interna</t>
  </si>
  <si>
    <t>Juan Pablo Villalba</t>
  </si>
  <si>
    <t>l:544882877993551</t>
  </si>
  <si>
    <t>2024-09-27T17:04:13-05:00</t>
  </si>
  <si>
    <t>Cx plastica reconstructiva y estetica</t>
  </si>
  <si>
    <t>Omar Jaimes Quintero</t>
  </si>
  <si>
    <t>l:409830678523169</t>
  </si>
  <si>
    <t>2024-09-27T17:04:53-05:00</t>
  </si>
  <si>
    <t>2 a 3 pm</t>
  </si>
  <si>
    <t>Edwin Mulet</t>
  </si>
  <si>
    <t>l:553140263891811</t>
  </si>
  <si>
    <t>2024-09-27T17:29:32-05:00</t>
  </si>
  <si>
    <t>Psiquiatria</t>
  </si>
  <si>
    <t>Alejandra Meléndez</t>
  </si>
  <si>
    <t>l:1528940821075670</t>
  </si>
  <si>
    <t>2024-09-28T14:27:06-05:00</t>
  </si>
  <si>
    <t>Medicina familiar</t>
  </si>
  <si>
    <t>9:00am</t>
  </si>
  <si>
    <t>Angela Camila Rodriguez</t>
  </si>
  <si>
    <t>l:1037034207920978</t>
  </si>
  <si>
    <t>2024-09-28T14:45:06-05:00</t>
  </si>
  <si>
    <t>Anrstesiologia</t>
  </si>
  <si>
    <t>Martes y miércoles 9am a 5pm</t>
  </si>
  <si>
    <t>José Giordano Agelvis Rodríguez</t>
  </si>
  <si>
    <t>l:1049237953077416</t>
  </si>
  <si>
    <t>2024-09-28T15:45:58-05:00</t>
  </si>
  <si>
    <t>wenndy tatiana Bedoya hoyos</t>
  </si>
  <si>
    <t>l:1254433832403786</t>
  </si>
  <si>
    <t>2024-09-28T16:33:19-05:00</t>
  </si>
  <si>
    <t>20:00 horas</t>
  </si>
  <si>
    <t>Santiago Moreno Rios</t>
  </si>
  <si>
    <t>l:542145821524101</t>
  </si>
  <si>
    <t>2024-09-28T17:32:02-05:00</t>
  </si>
  <si>
    <t>Sergio Echeverria</t>
  </si>
  <si>
    <t>l:1045831470371106</t>
  </si>
  <si>
    <t>2024-09-28T18:11:16-05:00</t>
  </si>
  <si>
    <t>paola millan</t>
  </si>
  <si>
    <t>l:1222534608957548</t>
  </si>
  <si>
    <t>2024-09-28T19:00:09-05:00</t>
  </si>
  <si>
    <t>Enrique Rebolledo</t>
  </si>
  <si>
    <t>l:1083774633257932</t>
  </si>
  <si>
    <t>2024-09-28T20:04:39-05:00</t>
  </si>
  <si>
    <t>Daymcgordon</t>
  </si>
  <si>
    <t>l:515770507836535</t>
  </si>
  <si>
    <t>2024-09-28T20:15:49-05:00</t>
  </si>
  <si>
    <t>Lugo Lug</t>
  </si>
  <si>
    <t>l:1042884707141547</t>
  </si>
  <si>
    <t>2024-09-28T20:36:37-05:00</t>
  </si>
  <si>
    <t>Gustavo Meneses</t>
  </si>
  <si>
    <t>l:913805923991634</t>
  </si>
  <si>
    <t>2024-09-28T21:40:37-05:00</t>
  </si>
  <si>
    <t>Después de la 1 pm</t>
  </si>
  <si>
    <t>Karen Mena Rodríguez.</t>
  </si>
  <si>
    <t>l:1252020812399774</t>
  </si>
  <si>
    <t>2024-09-28T21:56:28-05:00</t>
  </si>
  <si>
    <t>12M</t>
  </si>
  <si>
    <t>Andrea Carolina Díaz</t>
  </si>
  <si>
    <t>l:554417070444048</t>
  </si>
  <si>
    <t>2024-09-28T22:17:46-05:00</t>
  </si>
  <si>
    <t>Anestesiologia o cirugía plástica y reconstrucción de la mano</t>
  </si>
  <si>
    <t>Angelott Alarcon</t>
  </si>
  <si>
    <t>l:1412419766813568</t>
  </si>
  <si>
    <t>2024-09-28T22:18:28-05:00</t>
  </si>
  <si>
    <t>Ana Lucia Hinestroza</t>
  </si>
  <si>
    <t>l:1233536657845416</t>
  </si>
  <si>
    <t>2024-09-29T00:13:22-05:00</t>
  </si>
  <si>
    <t>2-4pm</t>
  </si>
  <si>
    <t>Andrés Posso</t>
  </si>
  <si>
    <t>l:805774201492355</t>
  </si>
  <si>
    <t>2024-09-29T06:28:52-05:00</t>
  </si>
  <si>
    <t>Cirugia plastica y reconstructiva</t>
  </si>
  <si>
    <t>Lunes a vierbes de 10 a 12 am o 2 a 6 pm</t>
  </si>
  <si>
    <t>Ruben Dario Ramos Contreras</t>
  </si>
  <si>
    <t>l:1691084091738562</t>
  </si>
  <si>
    <t>2024-09-29T06:49:54-05:00</t>
  </si>
  <si>
    <t>Radiología e imágenes diagnosticas</t>
  </si>
  <si>
    <t>Juanka Gomez</t>
  </si>
  <si>
    <t>l:1574367856808547</t>
  </si>
  <si>
    <t>2024-09-29T08:00:48-05:00</t>
  </si>
  <si>
    <t>7 a 12</t>
  </si>
  <si>
    <t>Natalie Varela Garcia</t>
  </si>
  <si>
    <t>l:1277588083607138</t>
  </si>
  <si>
    <t>2024-09-29T09:00:58-05:00</t>
  </si>
  <si>
    <t>hematologia</t>
  </si>
  <si>
    <t>Jennifer solarte</t>
  </si>
  <si>
    <t>l:1664065117711687</t>
  </si>
  <si>
    <t>2024-09-29T09:03:18-05:00</t>
  </si>
  <si>
    <t>radiologia e imagenes diagnósticas</t>
  </si>
  <si>
    <t>en las mñanas</t>
  </si>
  <si>
    <t>Natalia Calderón</t>
  </si>
  <si>
    <t>l:1175200293539959</t>
  </si>
  <si>
    <t>2024-09-29T18:46:58-05:00</t>
  </si>
  <si>
    <t>Nelson Andres Cuevas Morales</t>
  </si>
  <si>
    <t>l:1586365038968885</t>
  </si>
  <si>
    <t>2024-09-29T21:14:13-05:00</t>
  </si>
  <si>
    <t>José Alberto Lara Mora</t>
  </si>
  <si>
    <t>l:4110076342611847</t>
  </si>
  <si>
    <t>2024-09-30T02:03:03-05:00</t>
  </si>
  <si>
    <t>Martes 10am</t>
  </si>
  <si>
    <t>Sara</t>
  </si>
  <si>
    <t>l:1403168667307763</t>
  </si>
  <si>
    <t>2024-09-30T02:44:25-05:00</t>
  </si>
  <si>
    <t>MEDICINA INTERNA</t>
  </si>
  <si>
    <t>Horario de la tarde</t>
  </si>
  <si>
    <t>Juan Camilo Garrido Merchan</t>
  </si>
  <si>
    <t>l:4066835070217195</t>
  </si>
  <si>
    <t>2024-09-30T07:01:19-05:00</t>
  </si>
  <si>
    <t>Camilo Herrera Jaramillo</t>
  </si>
  <si>
    <t>l:380311155018697</t>
  </si>
  <si>
    <t>2024-09-30T14:27:19-05:00</t>
  </si>
  <si>
    <t>Viviana Pava Restrepo</t>
  </si>
  <si>
    <t>l:1636758426938300</t>
  </si>
  <si>
    <t>2024-09-30T17:15:08-05:00</t>
  </si>
  <si>
    <t>Radio</t>
  </si>
  <si>
    <t>María Del Mar Benítez Vivas</t>
  </si>
  <si>
    <t>l:521076484060233</t>
  </si>
  <si>
    <t>2024-09-30T20:30:51-05:00</t>
  </si>
  <si>
    <t>Yuyi Pinto</t>
  </si>
  <si>
    <t>l:1252293095970155</t>
  </si>
  <si>
    <t>2024-09-30T20:42:47-05:00</t>
  </si>
  <si>
    <t>1.30</t>
  </si>
  <si>
    <t>Marce M. Gómez</t>
  </si>
  <si>
    <t>l:1193695488521602</t>
  </si>
  <si>
    <t>2024-09-30T22:08:39-05:00</t>
  </si>
  <si>
    <t>10 am.</t>
  </si>
  <si>
    <t>Efrain</t>
  </si>
  <si>
    <t>l:1195377414848062</t>
  </si>
  <si>
    <t>2024-10-01T00:51:58-05:00</t>
  </si>
  <si>
    <t>Carlos Cu'Ag</t>
  </si>
  <si>
    <t>l:8516808891706926</t>
  </si>
  <si>
    <t>2024-10-01T09:14:05-05:00</t>
  </si>
  <si>
    <t>300 8758867</t>
  </si>
  <si>
    <t>Dayana García</t>
  </si>
  <si>
    <t>l:1678855892846608</t>
  </si>
  <si>
    <t>2024-10-01T10:12:56-05:00</t>
  </si>
  <si>
    <t>Radiología - anestesiología</t>
  </si>
  <si>
    <t>12 m</t>
  </si>
  <si>
    <t>Laura Burgos</t>
  </si>
  <si>
    <t>l:345533018644237</t>
  </si>
  <si>
    <t>2024-10-01T14:49:41-05:00</t>
  </si>
  <si>
    <t>Sarita Patiño V</t>
  </si>
  <si>
    <t>l:498874599690482</t>
  </si>
  <si>
    <t>2024-10-01T16:57:53-05:00</t>
  </si>
  <si>
    <t>Medio día 12</t>
  </si>
  <si>
    <t>Yuled Montoya</t>
  </si>
  <si>
    <t>l:2603302993390967</t>
  </si>
  <si>
    <t>2024-10-01T17:20:54-05:00</t>
  </si>
  <si>
    <t>Fabian Jimenez</t>
  </si>
  <si>
    <t>l:1188020742496929</t>
  </si>
  <si>
    <t>2024-10-01T18:09:56-05:00</t>
  </si>
  <si>
    <t>Medicina Interna pero ahora Toxicologia</t>
  </si>
  <si>
    <t>Carmen Pizarro</t>
  </si>
  <si>
    <t>l:413506564888713</t>
  </si>
  <si>
    <t>2024-10-01T18:21:01-05:00</t>
  </si>
  <si>
    <t>Derma</t>
  </si>
  <si>
    <t>No sé</t>
  </si>
  <si>
    <t>Juan</t>
  </si>
  <si>
    <t>l:1771918693551674</t>
  </si>
  <si>
    <t>2024-10-01T19:03:12-05:00</t>
  </si>
  <si>
    <t>8:00 am</t>
  </si>
  <si>
    <t>Jesús Orlando Cardona V.</t>
  </si>
  <si>
    <t>l:2550041548523467</t>
  </si>
  <si>
    <t>2024-10-01T19:52:12-05:00</t>
  </si>
  <si>
    <t>María Paula Miele</t>
  </si>
  <si>
    <t>l:1040040777664594</t>
  </si>
  <si>
    <t>2024-10-01T20:35:30-05:00</t>
  </si>
  <si>
    <t>Jenny Murillo</t>
  </si>
  <si>
    <t>l:1270704074273945</t>
  </si>
  <si>
    <t>2024-10-01T21:36:43-05:00</t>
  </si>
  <si>
    <t>Noche, despues de las 8 pm hora Colombia</t>
  </si>
  <si>
    <t>Talentoso Garrido</t>
  </si>
  <si>
    <t>l:425455460176763</t>
  </si>
  <si>
    <t>2024-10-02T08:43:41-05:00</t>
  </si>
  <si>
    <t>Oftalmólogia</t>
  </si>
  <si>
    <t>Karina Arias Girón</t>
  </si>
  <si>
    <t>l:1233807584317250</t>
  </si>
  <si>
    <t>2024-10-02T11:24:27-05:00</t>
  </si>
  <si>
    <t>Neurología/orl</t>
  </si>
  <si>
    <t>Mañanas</t>
  </si>
  <si>
    <t>Carlos González Alfaro</t>
  </si>
  <si>
    <t>l:874411291302032</t>
  </si>
  <si>
    <t>2024-10-02T13:27:32-05:00</t>
  </si>
  <si>
    <t>Tarde tipo 5</t>
  </si>
  <si>
    <t>Laura Quesada Ortiz</t>
  </si>
  <si>
    <t>l:1716217289234180</t>
  </si>
  <si>
    <t>2024-10-02T19:08:21-05:00</t>
  </si>
  <si>
    <t>Solo Whatsapp</t>
  </si>
  <si>
    <t>Esteban Moreno</t>
  </si>
  <si>
    <t>l:327100067126663</t>
  </si>
  <si>
    <t>2024-10-02T21:11:49-05:00</t>
  </si>
  <si>
    <t>medicina legal y forense</t>
  </si>
  <si>
    <t>despues del medio dia</t>
  </si>
  <si>
    <t>Irina Guerrero</t>
  </si>
  <si>
    <t>l:895171422486158</t>
  </si>
  <si>
    <t>2024-10-02T22:20:08-05:00</t>
  </si>
  <si>
    <t>Ginecologia Oncologica</t>
  </si>
  <si>
    <t>Rodriguez Angie</t>
  </si>
  <si>
    <t>l:501551862693267</t>
  </si>
  <si>
    <t>2024-10-02T22:55:12-05:00</t>
  </si>
  <si>
    <t>urologia</t>
  </si>
  <si>
    <t>por WhatsApp o correo</t>
  </si>
  <si>
    <t>Julian Martinez Henao</t>
  </si>
  <si>
    <t>l:838401308374208</t>
  </si>
  <si>
    <t>2024-10-02T23:08:50-05:00</t>
  </si>
  <si>
    <t>cirugia platica</t>
  </si>
  <si>
    <t>3233039063</t>
  </si>
  <si>
    <t>jazmin torres</t>
  </si>
  <si>
    <t>l:1060151769021496</t>
  </si>
  <si>
    <t>2024-10-02T23:19:03-05:00</t>
  </si>
  <si>
    <t>Cirugía plástica o cirugía general</t>
  </si>
  <si>
    <t>Rafa Borre</t>
  </si>
  <si>
    <t>l:412471951895846</t>
  </si>
  <si>
    <t>2024-10-02T23:37:34-05:00</t>
  </si>
  <si>
    <t>escribir mejor</t>
  </si>
  <si>
    <t>Helen Pumarejo</t>
  </si>
  <si>
    <t>l:545333714711273</t>
  </si>
  <si>
    <t>2024-10-03T07:42:37-05:00</t>
  </si>
  <si>
    <t>John Carlos Chona Serrano</t>
  </si>
  <si>
    <t>l:853969670220593</t>
  </si>
  <si>
    <t>2024-10-03T07:57:37-05:00</t>
  </si>
  <si>
    <t>Cirugia maxilo facial</t>
  </si>
  <si>
    <t>Luis eduardo cujar</t>
  </si>
  <si>
    <t>l:548338264328164</t>
  </si>
  <si>
    <t>2024-10-03T13:17:56-05:00</t>
  </si>
  <si>
    <t>Astrid vargas</t>
  </si>
  <si>
    <t>l:880682697352535</t>
  </si>
  <si>
    <t>2024-10-03T15:16:47-05:00</t>
  </si>
  <si>
    <t>Mariana Peters Orrego</t>
  </si>
  <si>
    <t>l:527289543576687</t>
  </si>
  <si>
    <t>2024-10-03T15:28:00-05:00</t>
  </si>
  <si>
    <t>Juan Camilo Hernández</t>
  </si>
  <si>
    <t>l:1590440648172100</t>
  </si>
  <si>
    <t>2024-10-03T15:28:48-05:00</t>
  </si>
  <si>
    <t>Luis Daniel Manjarres Tamara</t>
  </si>
  <si>
    <t>l:541606788281329</t>
  </si>
  <si>
    <t>2024-10-03T17:28:07-05:00</t>
  </si>
  <si>
    <t>Mastaborda</t>
  </si>
  <si>
    <t>l:405320279278842</t>
  </si>
  <si>
    <t>2024-10-03T22:10:59-05:00</t>
  </si>
  <si>
    <t>Super</t>
  </si>
  <si>
    <t>14:00</t>
  </si>
  <si>
    <t>Ariel Delgado</t>
  </si>
  <si>
    <t>l:1025263329397100</t>
  </si>
  <si>
    <t>2024-10-03T23:02:38-05:00</t>
  </si>
  <si>
    <t>15+00</t>
  </si>
  <si>
    <t>Santiago Martinez</t>
  </si>
  <si>
    <t>l:1242506763422813</t>
  </si>
  <si>
    <t>2024-10-03T23:52:26-05:00</t>
  </si>
  <si>
    <t>Genética</t>
  </si>
  <si>
    <t>6-7pm</t>
  </si>
  <si>
    <t>Roxana Fabregas</t>
  </si>
  <si>
    <t>l:934855158688207</t>
  </si>
  <si>
    <t>2024-10-04T00:25:26-05:00</t>
  </si>
  <si>
    <t>Daniel Saenz Castro</t>
  </si>
  <si>
    <t>l:1285975302391943</t>
  </si>
  <si>
    <t>2024-10-04T00:40:52-05:00</t>
  </si>
  <si>
    <t>Luis Guillermo Zarate</t>
  </si>
  <si>
    <t>l:1084617373021022</t>
  </si>
  <si>
    <t>2024-10-04T06:51:18-05:00</t>
  </si>
  <si>
    <t>Elii Ceballos</t>
  </si>
  <si>
    <t>l:903381628514958</t>
  </si>
  <si>
    <t>2024-10-04T08:15:11-05:00</t>
  </si>
  <si>
    <t>Nelson Garcia Martinez</t>
  </si>
  <si>
    <t>l:1235167770963746</t>
  </si>
  <si>
    <t>2024-10-04T08:33:23-05:00</t>
  </si>
  <si>
    <t>anestesiologia</t>
  </si>
  <si>
    <t>Lucía.</t>
  </si>
  <si>
    <t>l:1245685306630977</t>
  </si>
  <si>
    <t>2024-10-04T08:33:43-05:00</t>
  </si>
  <si>
    <t>Cualquier momento del dia</t>
  </si>
  <si>
    <t>Esteban Osorio</t>
  </si>
  <si>
    <t>l:2055983431487486</t>
  </si>
  <si>
    <t>2024-10-04T08:45:01-05:00</t>
  </si>
  <si>
    <t>CX PLASTICA RADIOLOGIA</t>
  </si>
  <si>
    <t>SABADOS DESPUES DE LA 1</t>
  </si>
  <si>
    <t>Cesar Botero</t>
  </si>
  <si>
    <t>l:1911552329373827</t>
  </si>
  <si>
    <t>2024-10-04T09:03:34-05:00</t>
  </si>
  <si>
    <t>Nicolás Alemán</t>
  </si>
  <si>
    <t>l:2096891710708727</t>
  </si>
  <si>
    <t>2024-10-04T10:30:55-05:00</t>
  </si>
  <si>
    <t>Santiago Andrade</t>
  </si>
  <si>
    <t>l:1191687191888404</t>
  </si>
  <si>
    <t>2024-10-04T10:42:27-05:00</t>
  </si>
  <si>
    <t>2000</t>
  </si>
  <si>
    <t>Santiago</t>
  </si>
  <si>
    <t>l:1709732339873184</t>
  </si>
  <si>
    <t>2024-10-04T11:55:05-05:00</t>
  </si>
  <si>
    <t>Angie Katherine Cardona</t>
  </si>
  <si>
    <t>l:2344487392549499</t>
  </si>
  <si>
    <t>2024-10-04T13:05:15-05:00</t>
  </si>
  <si>
    <t>Angie Paz! ♡</t>
  </si>
  <si>
    <t>l:532931606103596</t>
  </si>
  <si>
    <t>2024-10-04T13:22:08-05:00</t>
  </si>
  <si>
    <t>2-5 pm</t>
  </si>
  <si>
    <t>Viviana Plazas</t>
  </si>
  <si>
    <t>Colômbia</t>
  </si>
  <si>
    <t>l:854038010148711</t>
  </si>
  <si>
    <t>2024-10-04T13:42:34-05:00</t>
  </si>
  <si>
    <t>Terapia intensiva</t>
  </si>
  <si>
    <t>9:30</t>
  </si>
  <si>
    <t>Nelson Perdigon</t>
  </si>
  <si>
    <t>CU</t>
  </si>
  <si>
    <t>l:8840252919347540</t>
  </si>
  <si>
    <t>2024-10-04T18:56:53-05:00</t>
  </si>
  <si>
    <t>Anestesiología o neurologia</t>
  </si>
  <si>
    <t>Carolina Garcia Alzate</t>
  </si>
  <si>
    <t>l:876570147473472</t>
  </si>
  <si>
    <t>2024-10-04T21:05:33-05:00</t>
  </si>
  <si>
    <t>Elizabeth Taron Barrios</t>
  </si>
  <si>
    <t>l:1090030749378627</t>
  </si>
  <si>
    <t>2024-10-04T21:41:02-05:00</t>
  </si>
  <si>
    <t>Dermatóloga</t>
  </si>
  <si>
    <t>Vane Guevara</t>
  </si>
  <si>
    <t>l:561225226348749</t>
  </si>
  <si>
    <t>2024-10-05T02:11:37-05:00</t>
  </si>
  <si>
    <t>Dolor y cuidados Paliativos</t>
  </si>
  <si>
    <t>Yilder Andrés Menco Barrera</t>
  </si>
  <si>
    <t>l:2010947089374239</t>
  </si>
  <si>
    <t>2024-10-05T05:25:42-05:00</t>
  </si>
  <si>
    <t>Md Laura Lopez P</t>
  </si>
  <si>
    <t>l:1751499182355857</t>
  </si>
  <si>
    <t>2024-10-05T07:47:20-05:00</t>
  </si>
  <si>
    <t>2:00</t>
  </si>
  <si>
    <t>Karol</t>
  </si>
  <si>
    <t>l:1518632972094138</t>
  </si>
  <si>
    <t>2024-10-05T09:01:11-05:00</t>
  </si>
  <si>
    <t>Mejor por  chat</t>
  </si>
  <si>
    <t>Karen Barazeta.</t>
  </si>
  <si>
    <t>l:3397290577070093</t>
  </si>
  <si>
    <t>2024-10-05T10:06:07-05:00</t>
  </si>
  <si>
    <t>𝑹𝒂𝒎𝒊 𝑨</t>
  </si>
  <si>
    <t>l:2489408671251175</t>
  </si>
  <si>
    <t>2024-10-05T12:30:14-05:00</t>
  </si>
  <si>
    <t>Ortopedia o anestesiologia</t>
  </si>
  <si>
    <t>Lunes en la tarde 4 pm</t>
  </si>
  <si>
    <t>Victor Danilo Obregon Sierra</t>
  </si>
  <si>
    <t>l:1530046321721909</t>
  </si>
  <si>
    <t>2024-10-05T13:10:04-05:00</t>
  </si>
  <si>
    <t>Pinillos Juan</t>
  </si>
  <si>
    <t>l:2611860542319097</t>
  </si>
  <si>
    <t>2024-10-05T14:25:30-05:00</t>
  </si>
  <si>
    <t>Adriana Munive R.</t>
  </si>
  <si>
    <t>l:1128291371972650</t>
  </si>
  <si>
    <t>2024-10-05T19:12:05-05:00</t>
  </si>
  <si>
    <t>Belenis Florian De Avila</t>
  </si>
  <si>
    <t>l:842125591330161</t>
  </si>
  <si>
    <t>2024-10-05T22:19:09-05:00</t>
  </si>
  <si>
    <t>Rafael Rodríguez</t>
  </si>
  <si>
    <t>l:789133423251123</t>
  </si>
  <si>
    <t>2024-10-05T22:26:40-05:00</t>
  </si>
  <si>
    <t>Medicina deportiva en la u de a</t>
  </si>
  <si>
    <t>Nicolas Jaramillo Avila</t>
  </si>
  <si>
    <t>l:499923386208143</t>
  </si>
  <si>
    <t>2024-10-06T12:29:37-05:00</t>
  </si>
  <si>
    <t>Nerly Quiiroz Fiino</t>
  </si>
  <si>
    <t>l:495088853531967</t>
  </si>
  <si>
    <t>2024-10-06T13:35:25-05:00</t>
  </si>
  <si>
    <t>Maestría en Fisiología</t>
  </si>
  <si>
    <t>8 pm hora Colombia</t>
  </si>
  <si>
    <t>Sebastian Chaparro</t>
  </si>
  <si>
    <t>l:1326433891672969</t>
  </si>
  <si>
    <t>2024-10-06T14:50:10-05:00</t>
  </si>
  <si>
    <t>anestesia</t>
  </si>
  <si>
    <t>Andrea Arguello</t>
  </si>
  <si>
    <t>l:1049470046585269</t>
  </si>
  <si>
    <t>2024-10-06T15:11:21-05:00</t>
  </si>
  <si>
    <t>Rosita</t>
  </si>
  <si>
    <t>l:515784184748226</t>
  </si>
  <si>
    <t>2024-10-06T20:12:59-05:00</t>
  </si>
  <si>
    <t>Dr. Oscar Avila Tapia</t>
  </si>
  <si>
    <t>l:4172768776333105</t>
  </si>
  <si>
    <t>2024-10-06T20:16:26-05:00</t>
  </si>
  <si>
    <t>geriatria</t>
  </si>
  <si>
    <t>8pm</t>
  </si>
  <si>
    <t>Andres Mauricio Guizado Velez</t>
  </si>
  <si>
    <t>l:1907675856386329</t>
  </si>
  <si>
    <t>2024-10-06T21:47:26-05:00</t>
  </si>
  <si>
    <t>Medicina familia</t>
  </si>
  <si>
    <t>Esmeralda Martinez</t>
  </si>
  <si>
    <t>l:891101265862360</t>
  </si>
  <si>
    <t>2024-10-06T23:09:22-05:00</t>
  </si>
  <si>
    <t>Viviana  Ortega Acosta</t>
  </si>
  <si>
    <t>l:524284713556919</t>
  </si>
  <si>
    <t>2024-10-07T04:36:14-05:00</t>
  </si>
  <si>
    <t>Olga Ariza Duque</t>
  </si>
  <si>
    <t>l:1026036609267963</t>
  </si>
  <si>
    <t>2024-10-07T06:33:52-05:00</t>
  </si>
  <si>
    <t>Ninguna</t>
  </si>
  <si>
    <t>Mauricio Ramirez Salazar</t>
  </si>
  <si>
    <t>l:7676303722472727</t>
  </si>
  <si>
    <t>2024-10-07T07:37:53-05:00</t>
  </si>
  <si>
    <t>Uriel Felipe Castro Diaz</t>
  </si>
  <si>
    <t>l:7085593661565456</t>
  </si>
  <si>
    <t>2024-10-07T08:12:39-05:00</t>
  </si>
  <si>
    <t>Andrés Manquillo Arias</t>
  </si>
  <si>
    <t>l:410231931882400</t>
  </si>
  <si>
    <t>2024-10-07T10:11:26-05:00</t>
  </si>
  <si>
    <t>Nata R Garces</t>
  </si>
  <si>
    <t>l:1253287032676386</t>
  </si>
  <si>
    <t>2024-10-07T10:15:56-05:00</t>
  </si>
  <si>
    <t>Joseph Marquez Parra</t>
  </si>
  <si>
    <t>l:846995077549229</t>
  </si>
  <si>
    <t>2024-10-07T11:48:41-05:00</t>
  </si>
  <si>
    <t>Manuel Garces</t>
  </si>
  <si>
    <t>l:1025649046025754</t>
  </si>
  <si>
    <t>2024-10-07T14:41:28-05:00</t>
  </si>
  <si>
    <t>l:1565279097395357</t>
  </si>
  <si>
    <t>2024-10-08T07:20:09-05:00</t>
  </si>
  <si>
    <t>Katherin Montaño</t>
  </si>
  <si>
    <t>l:1060804538914989</t>
  </si>
  <si>
    <t>2024-10-08T08:45:14-05:00</t>
  </si>
  <si>
    <t>N</t>
  </si>
  <si>
    <t>c a m i</t>
  </si>
  <si>
    <t>l:1801939280613453</t>
  </si>
  <si>
    <t>2024-10-08T09:10:55-05:00</t>
  </si>
  <si>
    <t>Anestesiologia, ginecologia</t>
  </si>
  <si>
    <t>Palma Alejo</t>
  </si>
  <si>
    <t>l:1267155021402791</t>
  </si>
  <si>
    <t>2024-10-08T09:12:47-05:00</t>
  </si>
  <si>
    <t>Cristian Jimenez</t>
  </si>
  <si>
    <t>l:1239300027342776</t>
  </si>
  <si>
    <t>2024-10-08T15:37:13-05:00</t>
  </si>
  <si>
    <t>Anestesiólogos</t>
  </si>
  <si>
    <t>Corina Beatriz Utria Iriarte</t>
  </si>
  <si>
    <t>l:1292222285116245</t>
  </si>
  <si>
    <t>2024-10-08T16:38:50-05:00</t>
  </si>
  <si>
    <t>Juan Esteban Gallego Montoya</t>
  </si>
  <si>
    <t>l:1485882572091655</t>
  </si>
  <si>
    <t>2024-10-08T17:59:28-05:00</t>
  </si>
  <si>
    <t>Isabela Peláez Agudelo</t>
  </si>
  <si>
    <t>l:552368497435838</t>
  </si>
  <si>
    <t>2024-10-08T18:32:24-05:00</t>
  </si>
  <si>
    <t>dia</t>
  </si>
  <si>
    <t>Héctor Burgos</t>
  </si>
  <si>
    <t>l:557438223349916</t>
  </si>
  <si>
    <t>2024-10-08T21:34:41-05:00</t>
  </si>
  <si>
    <t>Despues de las 5 pm</t>
  </si>
  <si>
    <t>Diana Castaño</t>
  </si>
  <si>
    <t>l:8922816954404398</t>
  </si>
  <si>
    <t>2024-10-08T22:02:33-05:00</t>
  </si>
  <si>
    <t>Ortopedia u Orl</t>
  </si>
  <si>
    <t>Libre</t>
  </si>
  <si>
    <t>onel valencia mendoza</t>
  </si>
  <si>
    <t>l:548099750908828</t>
  </si>
  <si>
    <t>2024-10-08T22:35:15-05:00</t>
  </si>
  <si>
    <t>Cx plástica</t>
  </si>
  <si>
    <t>No. WhatsApp</t>
  </si>
  <si>
    <t>Carlos Martinez, MD.</t>
  </si>
  <si>
    <t>l:531068349879707</t>
  </si>
  <si>
    <t>2024-10-09T06:43:39-05:00</t>
  </si>
  <si>
    <t>17:00 a 18:00</t>
  </si>
  <si>
    <t>Adriana Janeth Perea Rodriguez</t>
  </si>
  <si>
    <t>l:3670159906611887</t>
  </si>
  <si>
    <t>2024-10-09T07:55:36-05:00</t>
  </si>
  <si>
    <t>Emma Restan Coneo</t>
  </si>
  <si>
    <t>l:785012073674431</t>
  </si>
  <si>
    <t>2024-10-09T12:53:51-05:00</t>
  </si>
  <si>
    <t>K A R E N T H   M E L O</t>
  </si>
  <si>
    <t>l:1067916428672252</t>
  </si>
  <si>
    <t>2024-10-09T13:58:31-05:00</t>
  </si>
  <si>
    <t>Marieisid M. Bordones Martinez</t>
  </si>
  <si>
    <t>l:464926686699955</t>
  </si>
  <si>
    <t>2024-10-09T15:21:36-05:00</t>
  </si>
  <si>
    <t>6pm a 10 pm</t>
  </si>
  <si>
    <t>Chencho Ruiz</t>
  </si>
  <si>
    <t>l:2957228571097884</t>
  </si>
  <si>
    <t>2024-10-09T17:06:55-05:00</t>
  </si>
  <si>
    <t>Psiquiatría -Medicina interna</t>
  </si>
  <si>
    <t>7/8</t>
  </si>
  <si>
    <t>2-5pm</t>
  </si>
  <si>
    <t>Juan José Aguirre Salcedo</t>
  </si>
  <si>
    <t>l:1204918750559120</t>
  </si>
  <si>
    <t>2024-10-09T17:46:45-05:00</t>
  </si>
  <si>
    <t>Radiologia y/o Cirugía</t>
  </si>
  <si>
    <t>Depende el día, 2pm</t>
  </si>
  <si>
    <t>Kevin Andres Merlano Quintero</t>
  </si>
  <si>
    <t>l:1707314486684078</t>
  </si>
  <si>
    <t>2024-10-09T18:31:09-05:00</t>
  </si>
  <si>
    <t>Juan Camilo Villota Romero</t>
  </si>
  <si>
    <t>l:734240715542936</t>
  </si>
  <si>
    <t>2024-10-09T19:06:38-05:00</t>
  </si>
  <si>
    <t>3-4pm</t>
  </si>
  <si>
    <t>Paola García Md.</t>
  </si>
  <si>
    <t>l:2679448685568415</t>
  </si>
  <si>
    <t>2024-10-09T19:45:40-05:00</t>
  </si>
  <si>
    <t>24 hr</t>
  </si>
  <si>
    <t>Sergio Crespo</t>
  </si>
  <si>
    <t>l:907464831304682</t>
  </si>
  <si>
    <t>2024-10-10T05:18:09-05:00</t>
  </si>
  <si>
    <t>jaime Arias</t>
  </si>
  <si>
    <t>l:831159849098386</t>
  </si>
  <si>
    <t>2024-10-10T08:07:22-05:00</t>
  </si>
  <si>
    <t>Via what app  cualquier horario</t>
  </si>
  <si>
    <t>Pao Osorio</t>
  </si>
  <si>
    <t>l:990985912781505</t>
  </si>
  <si>
    <t>2024-10-10T13:48:25-05:00</t>
  </si>
  <si>
    <t>Dermatólogia</t>
  </si>
  <si>
    <t>19:00</t>
  </si>
  <si>
    <t>Alexis Vasquez</t>
  </si>
  <si>
    <t>l:2062376367527890</t>
  </si>
  <si>
    <t>2024-10-10T14:51:18-05:00</t>
  </si>
  <si>
    <t>3 a 4 pm</t>
  </si>
  <si>
    <t>Paula Margarita González</t>
  </si>
  <si>
    <t>l:1177793497074895</t>
  </si>
  <si>
    <t>2024-10-10T17:16:19-05:00</t>
  </si>
  <si>
    <t>3145065732</t>
  </si>
  <si>
    <t>Shelsee Gómez</t>
  </si>
  <si>
    <t>l:513290211603348</t>
  </si>
  <si>
    <t>2024-10-10T18:05:34-05:00</t>
  </si>
  <si>
    <t>Jenner barrera ramos</t>
  </si>
  <si>
    <t>l:1535902873696071</t>
  </si>
  <si>
    <t>2024-10-10T19:46:28-05:00</t>
  </si>
  <si>
    <t>dermatólogia</t>
  </si>
  <si>
    <t>Alejandra Galeano</t>
  </si>
  <si>
    <t>l:1811256466072516</t>
  </si>
  <si>
    <t>2024-10-10T20:46:08-05:00</t>
  </si>
  <si>
    <t>Cardiólogia</t>
  </si>
  <si>
    <t>María José Gámez Mercado</t>
  </si>
  <si>
    <t>l:2878494518993879</t>
  </si>
  <si>
    <t>2024-10-10T22:16:59-05:00</t>
  </si>
  <si>
    <t>Pantoja Pa</t>
  </si>
  <si>
    <t>l:332071116629895</t>
  </si>
  <si>
    <t>2024-10-10T22:38:18-05:00</t>
  </si>
  <si>
    <t>Saudith ch Escorcia</t>
  </si>
  <si>
    <t>l:518267024428143</t>
  </si>
  <si>
    <t>2024-10-11T08:57:33-05:00</t>
  </si>
  <si>
    <t>ag:120210943756820277</t>
  </si>
  <si>
    <t>90 DIAS RESIDENTE -  Corto llamado - Copia</t>
  </si>
  <si>
    <t>as:120210859501010277</t>
  </si>
  <si>
    <t>CAMPAÑA GANADORA CLIENTES POTENCIALES - 4 90 días Conjunto de anuncios</t>
  </si>
  <si>
    <t>c:120210859501000277</t>
  </si>
  <si>
    <t>CAMPAÑA GANADORA CLIENTES POTENCIALES - 6 90 días Campaña</t>
  </si>
  <si>
    <t>Pediatria y oftalmologia</t>
  </si>
  <si>
    <t>Sandy HErnandez navas</t>
  </si>
  <si>
    <t>l:1471129673546394</t>
  </si>
  <si>
    <t>2024-10-11T09:26:37-05:00</t>
  </si>
  <si>
    <t>Jenniffer Diaz Nieto</t>
  </si>
  <si>
    <t>l:513458181651508</t>
  </si>
  <si>
    <t>2024-10-11T12:43:12-05:00</t>
  </si>
  <si>
    <t>nutrologia</t>
  </si>
  <si>
    <t>jose Chavez</t>
  </si>
  <si>
    <t>l:1726433734862949</t>
  </si>
  <si>
    <t>2024-10-11T17:00:26-05:00</t>
  </si>
  <si>
    <t>Medicina interna o cuidados paliativos</t>
  </si>
  <si>
    <t>Zully Hernandez</t>
  </si>
  <si>
    <t>l:403474596159868</t>
  </si>
  <si>
    <t>2024-10-11T21:52:00-05:00</t>
  </si>
  <si>
    <t>Mañana 8 12</t>
  </si>
  <si>
    <t>Fabio H londoño salas</t>
  </si>
  <si>
    <t>l:4030755117196307</t>
  </si>
  <si>
    <t>2024-10-12T08:34:56-05:00</t>
  </si>
  <si>
    <t>De 2 a 6 de la tarde</t>
  </si>
  <si>
    <t>Keilly Blanco</t>
  </si>
  <si>
    <t>l:836243018378975</t>
  </si>
  <si>
    <t>2024-10-12T13:13:41-05:00</t>
  </si>
  <si>
    <t>Cirujana plastica</t>
  </si>
  <si>
    <t>Camila taborda</t>
  </si>
  <si>
    <t>MX</t>
  </si>
  <si>
    <t>l:4054218184812291</t>
  </si>
  <si>
    <t>2024-10-12T14:58:11-05:00</t>
  </si>
  <si>
    <t>Urología/ginecología</t>
  </si>
  <si>
    <t>Horas de la mañana</t>
  </si>
  <si>
    <t>Lina Amaris Molina</t>
  </si>
  <si>
    <t>l:1290356892151343</t>
  </si>
  <si>
    <t>2024-10-12T15:50:49-05:00</t>
  </si>
  <si>
    <t>Gabriel Polo</t>
  </si>
  <si>
    <t>l:1285348879543333</t>
  </si>
  <si>
    <t>2024-10-12T16:55:47-05:00</t>
  </si>
  <si>
    <t>9 a 11 am</t>
  </si>
  <si>
    <t>Silfredo Antonio Esquivel Sanchez</t>
  </si>
  <si>
    <t>l:362202716973902</t>
  </si>
  <si>
    <t>2024-10-12T17:48:02-05:00</t>
  </si>
  <si>
    <t>Después de 4 pm</t>
  </si>
  <si>
    <t>Jorge Andrés</t>
  </si>
  <si>
    <t>l:1591059754820575</t>
  </si>
  <si>
    <t>2024-10-12T18:01:35-05:00</t>
  </si>
  <si>
    <t>Gustavo Peña Quiñones</t>
  </si>
  <si>
    <t>l:473818415809297</t>
  </si>
  <si>
    <t>2024-10-12T18:02:32-05:00</t>
  </si>
  <si>
    <t>Ahora mismo 2/10</t>
  </si>
  <si>
    <t>Hernan Arenas</t>
  </si>
  <si>
    <t>l:1113076147061332</t>
  </si>
  <si>
    <t>2024-10-12T20:05:44-05:00</t>
  </si>
  <si>
    <t>Ani barranco</t>
  </si>
  <si>
    <t>l:1718581535662568</t>
  </si>
  <si>
    <t>2024-10-12T20:38:09-05:00</t>
  </si>
  <si>
    <t>Cirugia  plastica y reconstructiva</t>
  </si>
  <si>
    <t>Crding</t>
  </si>
  <si>
    <t>l:1301664194434075</t>
  </si>
  <si>
    <t>2024-10-12T20:54:37-05:00</t>
  </si>
  <si>
    <t>PACMA</t>
  </si>
  <si>
    <t>l:891286129633871</t>
  </si>
  <si>
    <t>2024-10-12T22:43:09-05:00</t>
  </si>
  <si>
    <t>Cuidados paliativos</t>
  </si>
  <si>
    <t>Luis Hernando Granada Orozco</t>
  </si>
  <si>
    <t>l:1672693373300175</t>
  </si>
  <si>
    <t>2024-10-12T22:45:08-05:00</t>
  </si>
  <si>
    <t>De 9 a 10 am o de 4 a 5 pm</t>
  </si>
  <si>
    <t>Sebastian Pazos Bastidas</t>
  </si>
  <si>
    <t>l:1628407701051670</t>
  </si>
  <si>
    <t>2024-10-12T23:25:08-05:00</t>
  </si>
  <si>
    <t>Cirugía , otorrinolaringología, anestesia o ginecólogo</t>
  </si>
  <si>
    <t>Noche. Después de las 9</t>
  </si>
  <si>
    <t>Delvalle Osmary Marquez Suarez</t>
  </si>
  <si>
    <t>l:1291246958919613</t>
  </si>
  <si>
    <t>2024-10-13T02:13:01-05:00</t>
  </si>
  <si>
    <t>después de 8 pm, idealmente comunicación a WhatsApp</t>
  </si>
  <si>
    <t>Karina Alvarez</t>
  </si>
  <si>
    <t>l:1263333461360454</t>
  </si>
  <si>
    <t>2024-10-13T03:42:41-05:00</t>
  </si>
  <si>
    <t>11:00am</t>
  </si>
  <si>
    <t>Pedro L. Kerguelen Gaviria</t>
  </si>
  <si>
    <t>l:901953194774045</t>
  </si>
  <si>
    <t>2024-10-13T06:30:31-05:00</t>
  </si>
  <si>
    <t>Paula Londoño M.</t>
  </si>
  <si>
    <t>l:1241309230349877</t>
  </si>
  <si>
    <t>2024-10-13T08:27:29-05:00</t>
  </si>
  <si>
    <t>Cirugia pediatrica</t>
  </si>
  <si>
    <t>6pm lunes a viernes</t>
  </si>
  <si>
    <t>Laura Vanessa Cely</t>
  </si>
  <si>
    <t>l:347837371685682</t>
  </si>
  <si>
    <t>2024-10-13T09:10:01-05:00</t>
  </si>
  <si>
    <t>Natalia Gómez Blanco</t>
  </si>
  <si>
    <t>l:1054276626350378</t>
  </si>
  <si>
    <t>2024-10-13T11:00:18-05:00</t>
  </si>
  <si>
    <t>radiólogia</t>
  </si>
  <si>
    <t>Miguel Angel Pineda Montagut</t>
  </si>
  <si>
    <t>l:515117411390467</t>
  </si>
  <si>
    <t>2024-10-13T15:01:46-05:00</t>
  </si>
  <si>
    <t>Nueve</t>
  </si>
  <si>
    <t>Horas de la noche</t>
  </si>
  <si>
    <t>Fernando Almonacid Galvis</t>
  </si>
  <si>
    <t>l:1646535579544891</t>
  </si>
  <si>
    <t>2024-10-13T16:04:16-05:00</t>
  </si>
  <si>
    <t>5 a 7 pm</t>
  </si>
  <si>
    <t>diego galeano aldana</t>
  </si>
  <si>
    <t>l:1090991819123350</t>
  </si>
  <si>
    <t>2024-10-13T16:15:46-05:00</t>
  </si>
  <si>
    <t>Omar A.</t>
  </si>
  <si>
    <t>l:506001748943607</t>
  </si>
  <si>
    <t>2024-10-13T19:24:40-05:00</t>
  </si>
  <si>
    <t>Psiquiatra</t>
  </si>
  <si>
    <t>2 a 5</t>
  </si>
  <si>
    <t>Sandra Constanza Garces Suarez</t>
  </si>
  <si>
    <t>l:1110994237110204</t>
  </si>
  <si>
    <t>2024-10-13T19:55:53-05:00</t>
  </si>
  <si>
    <t>𝘾𝙧𝙞𝙨𝙩𝙞𝙣𝙖 𝙄𝙨𝙖𝙗𝙚𝙡</t>
  </si>
  <si>
    <t>l:432438312820102</t>
  </si>
  <si>
    <t>2024-10-13T19:59:31-05:00</t>
  </si>
  <si>
    <t>8 a 11</t>
  </si>
  <si>
    <t>Whilmerr A. Urrutia</t>
  </si>
  <si>
    <t>l:886675713434000</t>
  </si>
  <si>
    <t>2024-10-13T21:05:14-05:00</t>
  </si>
  <si>
    <t>12m</t>
  </si>
  <si>
    <t>Sneider cordoba mendoza</t>
  </si>
  <si>
    <t>l:2006404399801733</t>
  </si>
  <si>
    <t>2024-10-13T21:51:00-05:00</t>
  </si>
  <si>
    <t>psiquiatría</t>
  </si>
  <si>
    <t>Oscar Fernando Collazos Ome</t>
  </si>
  <si>
    <t>l:1600072070905648</t>
  </si>
  <si>
    <t>2024-10-13T21:56:36-05:00</t>
  </si>
  <si>
    <t>mañana después de medio día</t>
  </si>
  <si>
    <t>Juan Cuéllar</t>
  </si>
  <si>
    <t>l:852660710355746</t>
  </si>
  <si>
    <t>2024-10-13T21:59:01-05:00</t>
  </si>
  <si>
    <t>Noches después de las 20 horas</t>
  </si>
  <si>
    <t>Nelly Marcela Gálvez</t>
  </si>
  <si>
    <t>l:1090886106369912</t>
  </si>
  <si>
    <t>2024-10-13T22:31:45-05:00</t>
  </si>
  <si>
    <t>Médicina interna</t>
  </si>
  <si>
    <t>12:15</t>
  </si>
  <si>
    <t>Yesenia Alejandra Campos Q</t>
  </si>
  <si>
    <t>l:1046140746969661</t>
  </si>
  <si>
    <t>2024-10-13T23:19:48-05:00</t>
  </si>
  <si>
    <t>Cirugia Plástica y reconstructiva</t>
  </si>
  <si>
    <t>Hernan Castillo Peña</t>
  </si>
  <si>
    <t>l:1084482369730823</t>
  </si>
  <si>
    <t>2024-10-13T23:35:22-05:00</t>
  </si>
  <si>
    <t>OFTALMOLÓGIA</t>
  </si>
  <si>
    <t>13</t>
  </si>
  <si>
    <t>Juli Vane</t>
  </si>
  <si>
    <t>l:522837400708470</t>
  </si>
  <si>
    <t>2024-10-14T00:21:37-05:00</t>
  </si>
  <si>
    <t>Cx Plastica</t>
  </si>
  <si>
    <t>Camilo</t>
  </si>
  <si>
    <t>l:1695559994631481</t>
  </si>
  <si>
    <t>2024-10-14T01:17:34-05:00</t>
  </si>
  <si>
    <t>Sergio Barahona</t>
  </si>
  <si>
    <t>l:916479170536920</t>
  </si>
  <si>
    <t>2024-10-14T06:43:09-05:00</t>
  </si>
  <si>
    <t>Cirugías plástica</t>
  </si>
  <si>
    <t>Luis Felipe Salcedo Libreros</t>
  </si>
  <si>
    <t>l:1596405394607654</t>
  </si>
  <si>
    <t>2024-10-14T07:56:33-05:00</t>
  </si>
  <si>
    <t>Julio Cesar Martinez Serpa</t>
  </si>
  <si>
    <t>l:8791830120867003</t>
  </si>
  <si>
    <t>2024-10-14T08:14:26-05:00</t>
  </si>
  <si>
    <t>Edinson Arrieta</t>
  </si>
  <si>
    <t>l:916652003655187</t>
  </si>
  <si>
    <t>2024-10-14T09:09:12-05:00</t>
  </si>
  <si>
    <t>Edwar Carrillo Garcia</t>
  </si>
  <si>
    <t>l:8602589429761528</t>
  </si>
  <si>
    <t>2024-10-14T10:14:03-05:00</t>
  </si>
  <si>
    <t>Martes 1:00 pm</t>
  </si>
  <si>
    <t>Daniela</t>
  </si>
  <si>
    <t>l:515539097915254</t>
  </si>
  <si>
    <t>2024-10-14T10:29:41-05:00</t>
  </si>
  <si>
    <t>psiquiatria</t>
  </si>
  <si>
    <t>Wiesner Noriega</t>
  </si>
  <si>
    <t>l:545397114736006</t>
  </si>
  <si>
    <t>2024-10-14T11:53:11-05:00</t>
  </si>
  <si>
    <t>Mañana martes 15 de octubre a las 5pm</t>
  </si>
  <si>
    <t>Sebastián Pérez</t>
  </si>
  <si>
    <t>l:1580898619483351</t>
  </si>
  <si>
    <t>2024-10-14T12:01:19-05:00</t>
  </si>
  <si>
    <t>Medicina nuclear/anestesiología</t>
  </si>
  <si>
    <t>Daniela Vasquez me</t>
  </si>
  <si>
    <t>l:3414591455502808</t>
  </si>
  <si>
    <t>2024-10-14T12:18:27-05:00</t>
  </si>
  <si>
    <t>Helen Beltran</t>
  </si>
  <si>
    <t>l:834370501912856</t>
  </si>
  <si>
    <t>2024-10-14T14:51:56-05:00</t>
  </si>
  <si>
    <t>Mario Sfeir</t>
  </si>
  <si>
    <t>l:3250427768425909</t>
  </si>
  <si>
    <t>2024-10-14T18:10:18-05:00</t>
  </si>
  <si>
    <t>Intensivos</t>
  </si>
  <si>
    <t>Prefiero WhatsApp</t>
  </si>
  <si>
    <t>C. Camilo Garcia</t>
  </si>
  <si>
    <t>l:409953555484927</t>
  </si>
  <si>
    <t>2024-10-14T18:38:14-05:00</t>
  </si>
  <si>
    <t>En la mañana tipo 10 am</t>
  </si>
  <si>
    <t>SHANNEN BENJUMEA</t>
  </si>
  <si>
    <t>l:1213504276375218</t>
  </si>
  <si>
    <t>2024-10-14T18:40:23-05:00</t>
  </si>
  <si>
    <t>Anestesióloga</t>
  </si>
  <si>
    <t>Cero</t>
  </si>
  <si>
    <t>Oficina</t>
  </si>
  <si>
    <t>Anny Cotacio Medina</t>
  </si>
  <si>
    <t>l:1441709513165050</t>
  </si>
  <si>
    <t>2024-10-14T19:59:17-05:00</t>
  </si>
  <si>
    <t>Monica Paola Garcia Abuabara</t>
  </si>
  <si>
    <t>l:1003524124876491</t>
  </si>
  <si>
    <t>2024-10-14T21:27:45-05:00</t>
  </si>
  <si>
    <t>Carolina Gutierrez G</t>
  </si>
  <si>
    <t>l:913778727270486</t>
  </si>
  <si>
    <t>2024-10-14T21:54:59-05:00</t>
  </si>
  <si>
    <t>Auxy Mora</t>
  </si>
  <si>
    <t>l:552642857338980</t>
  </si>
  <si>
    <t>2024-10-14T22:19:39-05:00</t>
  </si>
  <si>
    <t>Medicina interna o pediatría</t>
  </si>
  <si>
    <t>Ingrith Zamora</t>
  </si>
  <si>
    <t>l:1692786361497786</t>
  </si>
  <si>
    <t>2024-10-14T23:26:46-05:00</t>
  </si>
  <si>
    <t>17 horas</t>
  </si>
  <si>
    <t>Fer Fernandez</t>
  </si>
  <si>
    <t>l:540426332273448</t>
  </si>
  <si>
    <t>2024-10-14T23:37:35-05:00</t>
  </si>
  <si>
    <t>Xiomy Verjan</t>
  </si>
  <si>
    <t>l:1712425826271998</t>
  </si>
  <si>
    <t>2024-10-15T00:39:54-05:00</t>
  </si>
  <si>
    <t>Daniel Alejandro</t>
  </si>
  <si>
    <t>l:1685757718913095</t>
  </si>
  <si>
    <t>2024-10-15T06:00:11-05:00</t>
  </si>
  <si>
    <t>Anestesia 0 psiquiátrica</t>
  </si>
  <si>
    <t>A las 6:30 de la tarde</t>
  </si>
  <si>
    <t>Karyna Restrepo</t>
  </si>
  <si>
    <t>l:2616507918737879</t>
  </si>
  <si>
    <t>2024-10-15T06:50:22-05:00</t>
  </si>
  <si>
    <t>De 2 pm a 5 pm</t>
  </si>
  <si>
    <t>Fabian Caceres Franco</t>
  </si>
  <si>
    <t>l:588815213660585</t>
  </si>
  <si>
    <t>2024-10-15T07:17:08-05:00</t>
  </si>
  <si>
    <t>Paula Camila</t>
  </si>
  <si>
    <t>l:1250614286253667</t>
  </si>
  <si>
    <t>2024-10-15T08:52:20-05:00</t>
  </si>
  <si>
    <t>1000</t>
  </si>
  <si>
    <t>Daniel Ferraro Osorio</t>
  </si>
  <si>
    <t>l:1242481570226625</t>
  </si>
  <si>
    <t>2024-10-15T11:16:25-05:00</t>
  </si>
  <si>
    <t>En la tarde pm</t>
  </si>
  <si>
    <t>Laura Paola Bernal</t>
  </si>
  <si>
    <t>l:460928380300123</t>
  </si>
  <si>
    <t>2024-10-15T12:47:07-05:00</t>
  </si>
  <si>
    <t>Tarde noche , tengo un bebé pequeño</t>
  </si>
  <si>
    <t>Daniiela Manjon Rojas</t>
  </si>
  <si>
    <t>l:1660232044834197</t>
  </si>
  <si>
    <t>2024-10-15T14:17:00-05:00</t>
  </si>
  <si>
    <t>De 2-6 pm</t>
  </si>
  <si>
    <t>Karen Rangel</t>
  </si>
  <si>
    <t>l:1463537447674492</t>
  </si>
  <si>
    <t>2024-10-15T22:01:54-05:00</t>
  </si>
  <si>
    <t>3166184364</t>
  </si>
  <si>
    <t>Vanessa Ripoll</t>
  </si>
  <si>
    <t>l:2236541360073437</t>
  </si>
  <si>
    <t>2024-10-15T22:27:21-05:00</t>
  </si>
  <si>
    <t>Después del medio día</t>
  </si>
  <si>
    <t>Ricardo Alarcon</t>
  </si>
  <si>
    <t>l:435207482537586</t>
  </si>
  <si>
    <t>2024-10-16T01:24:14-05:00</t>
  </si>
  <si>
    <t>Alvaro Gómez</t>
  </si>
  <si>
    <t>l:1049616626807996</t>
  </si>
  <si>
    <t>2024-10-16T06:21:56-05:00</t>
  </si>
  <si>
    <t>Nileth Gonzalez</t>
  </si>
  <si>
    <t>l:1483860205461241</t>
  </si>
  <si>
    <t>2024-10-16T08:26:46-05:00</t>
  </si>
  <si>
    <t>Adriana Argote</t>
  </si>
  <si>
    <t>l:855069916804784</t>
  </si>
  <si>
    <t>2024-10-16T10:07:00-05:00</t>
  </si>
  <si>
    <t>Dos</t>
  </si>
  <si>
    <t>Gabriela Jurado</t>
  </si>
  <si>
    <t>l:570718788736591</t>
  </si>
  <si>
    <t>2024-10-16T10:39:53-05:00</t>
  </si>
  <si>
    <t>Mario Marin</t>
  </si>
  <si>
    <t>l:2818447435003808</t>
  </si>
  <si>
    <t>2024-10-16T13:34:55-05:00</t>
  </si>
  <si>
    <t>ALBA GUERRA</t>
  </si>
  <si>
    <t>l:882040107364408</t>
  </si>
  <si>
    <t>2024-10-16T15:02:41-05:00</t>
  </si>
  <si>
    <t>Neurólogo</t>
  </si>
  <si>
    <t>Horario de tarde vía WhatsApp</t>
  </si>
  <si>
    <t>Isaura Mercado</t>
  </si>
  <si>
    <t>l:955868769898540</t>
  </si>
  <si>
    <t>2024-10-16T20:09:49-05:00</t>
  </si>
  <si>
    <t>Vanessa Diaz</t>
  </si>
  <si>
    <t>l:554101760435186</t>
  </si>
  <si>
    <t>2024-10-16T21:31:19-05:00</t>
  </si>
  <si>
    <t>Sebas Torres</t>
  </si>
  <si>
    <t>l:3845125245815724</t>
  </si>
  <si>
    <t>2024-10-17T16:06:59-05:00</t>
  </si>
  <si>
    <t>ag:120213449500920277</t>
  </si>
  <si>
    <t>Anuncio Tailored leads campaign 17/10/2024</t>
  </si>
  <si>
    <t>as:120213449500940277</t>
  </si>
  <si>
    <t>Conjunto de anuncios Tailored leads campaign 17/10/2024</t>
  </si>
  <si>
    <t>c:120213449500930277</t>
  </si>
  <si>
    <t>Campaña Tailored leads campaign 17/10/2024</t>
  </si>
  <si>
    <t>dgk</t>
  </si>
  <si>
    <t>jj</t>
  </si>
  <si>
    <t>jjjjj</t>
  </si>
  <si>
    <t>ramon</t>
  </si>
  <si>
    <t>l:1064747038086504</t>
  </si>
  <si>
    <t>2024-10-17T16:18:06-05:00</t>
  </si>
  <si>
    <t>Julian Grisales</t>
  </si>
  <si>
    <t>l:1255556782455505</t>
  </si>
  <si>
    <t>2024-10-17T17:41:07-05:00</t>
  </si>
  <si>
    <t>Jorge</t>
  </si>
  <si>
    <t>l:930711802249120</t>
  </si>
  <si>
    <t>2024-10-17T17:55:08-05:00</t>
  </si>
  <si>
    <t>Yes</t>
  </si>
  <si>
    <t>Lorenzo cuevas</t>
  </si>
  <si>
    <t>l:1490550311645890</t>
  </si>
  <si>
    <t>2024-10-17T18:55:39-05:00</t>
  </si>
  <si>
    <t>Medio dia y por whatsapp</t>
  </si>
  <si>
    <t>Jose Agustin Tovar</t>
  </si>
  <si>
    <t>l:565927552545621</t>
  </si>
  <si>
    <t>2024-10-18T07:12:27-05:00</t>
  </si>
  <si>
    <t>Jean Louis Barrios Medina</t>
  </si>
  <si>
    <t>l:483010568074585</t>
  </si>
  <si>
    <t>2024-10-19T02:32:01-05:00</t>
  </si>
  <si>
    <t>Julio Negrete Salazar</t>
  </si>
  <si>
    <t>l:887012406423513</t>
  </si>
  <si>
    <t>2024-10-19T07:26:02-05:00</t>
  </si>
  <si>
    <t>Jakeline Acevedo Ropero</t>
  </si>
  <si>
    <t>🇨🇴 colombia</t>
  </si>
  <si>
    <t>l:3970002653228678</t>
  </si>
  <si>
    <t>2024-10-19T08:02:01-05:00</t>
  </si>
  <si>
    <t>ag:120213478214440277</t>
  </si>
  <si>
    <t>as:120213478214450277</t>
  </si>
  <si>
    <t>Nuevo conjunto de anuncios de Clientes potenciales - Copia</t>
  </si>
  <si>
    <t>Cirugia plastica</t>
  </si>
  <si>
    <t>Erick Kim</t>
  </si>
  <si>
    <t>l:1585885279026069</t>
  </si>
  <si>
    <t>2024-10-19T14:40:00-05:00</t>
  </si>
  <si>
    <t>12 pm a 2 pm mañana</t>
  </si>
  <si>
    <t>Andres Prado</t>
  </si>
  <si>
    <t>l:1477478669572189</t>
  </si>
  <si>
    <t>2024-10-19T14:50:25-05:00</t>
  </si>
  <si>
    <t>En la tarde , preferiblemente mensaje por WhatsApp</t>
  </si>
  <si>
    <t>Valentina Tovar</t>
  </si>
  <si>
    <t>l:529844503144543</t>
  </si>
  <si>
    <t>2024-10-19T15:39:56-05:00</t>
  </si>
  <si>
    <t>Ovidio Baquero</t>
  </si>
  <si>
    <t>l:503023419401297</t>
  </si>
  <si>
    <t>2024-10-19T16:13:46-05:00</t>
  </si>
  <si>
    <t>Urgencias
Cuidado crítico</t>
  </si>
  <si>
    <t>Karina Leon</t>
  </si>
  <si>
    <t>l:507548895587047</t>
  </si>
  <si>
    <t>2024-10-19T16:23:30-05:00</t>
  </si>
  <si>
    <t>Cualquier médico quirúrgica no cirugía no ortopedia</t>
  </si>
  <si>
    <t>Después de las7pm</t>
  </si>
  <si>
    <t>Martin Suarez Diaz</t>
  </si>
  <si>
    <t>l:428965819897517</t>
  </si>
  <si>
    <t>2024-10-19T19:30:57-05:00</t>
  </si>
  <si>
    <t>Ser radiologa, abrir mi clinica y serninternacional mente reconocida como la intervencionista del año</t>
  </si>
  <si>
    <t>Hasta el lunes estoy disponible el martes ya trabajo y los medio dias</t>
  </si>
  <si>
    <t>Eveleidis Cordoba</t>
  </si>
  <si>
    <t>l:1688851985234321</t>
  </si>
  <si>
    <t>2024-10-19T21:45:48-05:00</t>
  </si>
  <si>
    <t>Después de 6</t>
  </si>
  <si>
    <t>CaTa Muñoz GuayaRa</t>
  </si>
  <si>
    <t>l:544437194837107</t>
  </si>
  <si>
    <t>2024-10-20T00:12:25-05:00</t>
  </si>
  <si>
    <t>Cardiología Intervencionista</t>
  </si>
  <si>
    <t>Lunes 4 pm</t>
  </si>
  <si>
    <t>Santiago Paiba</t>
  </si>
  <si>
    <t>l:927169239257137</t>
  </si>
  <si>
    <t>2024-10-20T06:25:42-05:00</t>
  </si>
  <si>
    <t>Solo WhatsApp</t>
  </si>
  <si>
    <t>Santiago Basto C</t>
  </si>
  <si>
    <t>l:1794053028033718</t>
  </si>
  <si>
    <t>2024-10-20T08:09:12-05:00</t>
  </si>
  <si>
    <t>WhatsApp 3234553973, 6 pm</t>
  </si>
  <si>
    <t>H Bladimir Ich</t>
  </si>
  <si>
    <t>l:521401234025218</t>
  </si>
  <si>
    <t>2024-10-20T09:07:41-05:00</t>
  </si>
  <si>
    <t>Anestediologia</t>
  </si>
  <si>
    <t>Manuel Carrascal</t>
  </si>
  <si>
    <t>l:925821352722655</t>
  </si>
  <si>
    <t>2024-10-20T11:47:30-05:00</t>
  </si>
  <si>
    <t>Hector Mendivelso Amell</t>
  </si>
  <si>
    <t>l:1391404281767941</t>
  </si>
  <si>
    <t>2024-10-20T19:02:16-05:00</t>
  </si>
  <si>
    <t>radiología</t>
  </si>
  <si>
    <t>John Anderson</t>
  </si>
  <si>
    <t>l:1262235834969870</t>
  </si>
  <si>
    <t>2024-10-20T20:50:20-05:00</t>
  </si>
  <si>
    <t>MarTika De La Rosa</t>
  </si>
  <si>
    <t>l:2848817065278393</t>
  </si>
  <si>
    <t>2024-10-20T22:40:26-05:00</t>
  </si>
  <si>
    <t>Luis Eduardo Soto Guardo</t>
  </si>
  <si>
    <t>l:1086631073155492</t>
  </si>
  <si>
    <t>2024-10-21T16:56:36-05:00</t>
  </si>
  <si>
    <t>En las horas de la mañana</t>
  </si>
  <si>
    <t>Vanessa sosa vargas</t>
  </si>
  <si>
    <t>l:1266616481441142</t>
  </si>
  <si>
    <t>2024-10-21T17:43:47-05:00</t>
  </si>
  <si>
    <t>En las tardes por ahí 3:30</t>
  </si>
  <si>
    <t>Silvia J. Lopez</t>
  </si>
  <si>
    <t>l:490946283938987</t>
  </si>
  <si>
    <t>2024-10-21T20:08:31-05:00</t>
  </si>
  <si>
    <t>Juan Ramon Miranda Castellanos</t>
  </si>
  <si>
    <t>l:539860155328897</t>
  </si>
  <si>
    <t>2024-10-22T07:48:48-05:00</t>
  </si>
  <si>
    <t>Medicina interna - Cardiologia</t>
  </si>
  <si>
    <t>8:00 pm</t>
  </si>
  <si>
    <t>Henry Alberto Gómez Benjumea</t>
  </si>
  <si>
    <t>l:1090473935792814</t>
  </si>
  <si>
    <t>2024-10-22T07:55:42-05:00</t>
  </si>
  <si>
    <t>Después de las 4 pm</t>
  </si>
  <si>
    <t>Maria Alejandra Villegas Gonzalez</t>
  </si>
  <si>
    <t>l:471495499236249</t>
  </si>
  <si>
    <t>2024-10-22T09:09:02-05:00</t>
  </si>
  <si>
    <t>2 a 5pm</t>
  </si>
  <si>
    <t>Marly Ramirez Torres</t>
  </si>
  <si>
    <t>l:1255821908950497</t>
  </si>
  <si>
    <t>2024-10-22T11:31:04-05:00</t>
  </si>
  <si>
    <t>Radiología e imágenes</t>
  </si>
  <si>
    <t>Yuraima López</t>
  </si>
  <si>
    <t>l:1223191645620498</t>
  </si>
  <si>
    <t>2024-10-22T11:56:00-05:00</t>
  </si>
  <si>
    <t>medico general</t>
  </si>
  <si>
    <t>3105300829</t>
  </si>
  <si>
    <t>Yesenia Isabel Rincon</t>
  </si>
  <si>
    <t>l:8513379235419563</t>
  </si>
  <si>
    <t>2024-10-22T12:08:41-05:00</t>
  </si>
  <si>
    <t>Helmer Barrios Loaiza</t>
  </si>
  <si>
    <t>l:8611358465645740</t>
  </si>
  <si>
    <t>2024-10-22T15:55:57-05:00</t>
  </si>
  <si>
    <t>10am a 3pm</t>
  </si>
  <si>
    <t>Aidy Conrado</t>
  </si>
  <si>
    <t>l:539803302114765</t>
  </si>
  <si>
    <t>2024-10-23T00:28:50-05:00</t>
  </si>
  <si>
    <t>Muy comprometida</t>
  </si>
  <si>
    <t>7-12 y 14-17</t>
  </si>
  <si>
    <t>Astrid Duarte</t>
  </si>
  <si>
    <t>PH</t>
  </si>
  <si>
    <t>l:1675690276713686</t>
  </si>
  <si>
    <t>2024-10-23T07:06:49-05:00</t>
  </si>
  <si>
    <t>7:00 pm</t>
  </si>
  <si>
    <t>Maria Alejandra Salgado Diaz</t>
  </si>
  <si>
    <t>l:1183823706022346</t>
  </si>
  <si>
    <t>2024-10-23T13:47:39-05:00</t>
  </si>
  <si>
    <t>Por whatsapp por favor ya que trabajo todo el día</t>
  </si>
  <si>
    <t>Maria Alejandra Hurtado Guasmayan</t>
  </si>
  <si>
    <t>l:1279114793277084</t>
  </si>
  <si>
    <t>2024-10-23T18:52:28-05:00</t>
  </si>
  <si>
    <t>Ali Shamir Ganem Lopez</t>
  </si>
  <si>
    <t>l:1522497251788472</t>
  </si>
  <si>
    <t>2024-10-23T19:10:00-05:00</t>
  </si>
  <si>
    <t>Gabriela</t>
  </si>
  <si>
    <t>l:1450054912482598</t>
  </si>
  <si>
    <t>2024-10-24T02:06:56-05:00</t>
  </si>
  <si>
    <t>Eduardo Arias</t>
  </si>
  <si>
    <t>l:1062754635291786</t>
  </si>
  <si>
    <t>2024-10-24T16:56:37-05:00</t>
  </si>
  <si>
    <t>Karol Jácome</t>
  </si>
  <si>
    <t>l:2524310494427820</t>
  </si>
  <si>
    <t>2024-10-27T13:34:44-05:00</t>
  </si>
  <si>
    <t>Neurocx</t>
  </si>
  <si>
    <t>Jordan Bashir</t>
  </si>
  <si>
    <t>l:1086004183234863</t>
  </si>
  <si>
    <t>2024-10-27T15:46:09-05:00</t>
  </si>
  <si>
    <t>Pediatria o psiquiatría infantil</t>
  </si>
  <si>
    <t>Mejor whatsapp</t>
  </si>
  <si>
    <t>Maria Fernanda Almanza Martínez</t>
  </si>
  <si>
    <t>id</t>
  </si>
  <si>
    <t>¿te_has_presentado_alguna_vez_a_un_examen_de_residencia?</t>
  </si>
  <si>
    <t>¿cuál_es_tu_principal_reto_al_momento_de_prepararte_para_el_examen_de_residencia?</t>
  </si>
  <si>
    <t>¿en_qué_momento_de_tu_preparación_te_encuentras?</t>
  </si>
  <si>
    <t>¿cuál_es_tu_especialidad_soñada?</t>
  </si>
  <si>
    <t>¿qué_tan_comprometido_estás_con_tu_proceso_de_preparación?_(del_1_al_10)</t>
  </si>
  <si>
    <t>¿en_qué_horario_podemos_contactarte_por_llamada_telefónica?</t>
  </si>
  <si>
    <t>full_name</t>
  </si>
  <si>
    <t>phone_number</t>
  </si>
  <si>
    <t>email</t>
  </si>
  <si>
    <t>country</t>
  </si>
  <si>
    <t>lead_status</t>
  </si>
  <si>
    <t>11/14/24</t>
  </si>
  <si>
    <t>120213943222170277</t>
  </si>
  <si>
    <t>Noviembre 2024 - Clientes potenciales - público personalizado</t>
  </si>
  <si>
    <t>120213943222150277</t>
  </si>
  <si>
    <t>120213943222000277</t>
  </si>
  <si>
    <t>Noviembre 2024 - Clientes potenciales - público personalizado y similar</t>
  </si>
  <si>
    <t>3861535197451859</t>
  </si>
  <si>
    <t>Potenciales clientes campaña Nov 2024 Público personalizado 2</t>
  </si>
  <si>
    <t>Cristian David</t>
  </si>
  <si>
    <t>cdavidmena4@gmail.com</t>
  </si>
  <si>
    <t>complete</t>
  </si>
  <si>
    <t xml:space="preserve">se agendo </t>
  </si>
  <si>
    <t>11/13/24</t>
  </si>
  <si>
    <t>Anestesiología / Radiología</t>
  </si>
  <si>
    <t>Dra Maira J. Villanueva Herrera</t>
  </si>
  <si>
    <t>mayer_0712@hotmail.com</t>
  </si>
  <si>
    <t>4 de la tarde</t>
  </si>
  <si>
    <t>Katherine Ángel</t>
  </si>
  <si>
    <t>katherineangelospina22@gmail.com</t>
  </si>
  <si>
    <t>revisando</t>
  </si>
  <si>
    <t>Ahora mismo</t>
  </si>
  <si>
    <t>Coraima Enriquez</t>
  </si>
  <si>
    <t>coraimaenriquez.m05@gmail.com</t>
  </si>
  <si>
    <t>compro</t>
  </si>
  <si>
    <t>1024613432769488</t>
  </si>
  <si>
    <t>Tefi_Liz</t>
  </si>
  <si>
    <t>eliz.pla8a@gmail.com</t>
  </si>
  <si>
    <t>1075761997350841</t>
  </si>
  <si>
    <t>Potenciales clientes campaña Nov 2024 Público personalizado.</t>
  </si>
  <si>
    <t>Allo Buelvas</t>
  </si>
  <si>
    <t>arielbuelvas@hotmail.com</t>
  </si>
  <si>
    <t>agendo y no asistio</t>
  </si>
  <si>
    <t>Cualquier horario</t>
  </si>
  <si>
    <t>Adrian Cabarcas</t>
  </si>
  <si>
    <t>acabarcast@hotmail.com</t>
  </si>
  <si>
    <t>Urología o cirugía general</t>
  </si>
  <si>
    <t>yurmarce0526@gmail.com</t>
  </si>
  <si>
    <t>2790730111093597</t>
  </si>
  <si>
    <t>Carolina Sierra Suancha</t>
  </si>
  <si>
    <t>caritosierrar.r@hotmail.com</t>
  </si>
  <si>
    <t>no se ha contacto</t>
  </si>
  <si>
    <t>1830462734154441</t>
  </si>
  <si>
    <t>Sory Vanegas Kmargo</t>
  </si>
  <si>
    <t>osyr.16@hotmail.com</t>
  </si>
  <si>
    <t>Isabella Palechor</t>
  </si>
  <si>
    <t>isapale.13@gmail.com</t>
  </si>
  <si>
    <t>Brandom</t>
  </si>
  <si>
    <t>publico similar</t>
  </si>
  <si>
    <t>120213943930470277</t>
  </si>
  <si>
    <t>Noviembre 2024 - Clientes potenciales - público similar</t>
  </si>
  <si>
    <t>120213943930460277</t>
  </si>
  <si>
    <t>2002991033532873</t>
  </si>
  <si>
    <t>Potenciales clientes campaña Nov 2024 Público similar 2</t>
  </si>
  <si>
    <t>cirugia general</t>
  </si>
  <si>
    <t>asdrubal</t>
  </si>
  <si>
    <t>drasdrubaldaza24@gmail.com</t>
  </si>
  <si>
    <t>1105255931316331</t>
  </si>
  <si>
    <t>1080243670554209</t>
  </si>
  <si>
    <t>Potenciales clientes campaña Nov 2024 Público similar</t>
  </si>
  <si>
    <t>Hora de la tarde  por Whatsapp</t>
  </si>
  <si>
    <t>dr_ Fernando Rojas</t>
  </si>
  <si>
    <t>afrojasro@unal.edu.co</t>
  </si>
  <si>
    <t>1744923286051182</t>
  </si>
  <si>
    <t>camilajr1998@gmail.com</t>
  </si>
  <si>
    <t>no contesta ( ni por mensaje ni por llamada)</t>
  </si>
  <si>
    <t>Daniela Valentina Zambrano</t>
  </si>
  <si>
    <t>dani.chevere@hotmail.com</t>
  </si>
  <si>
    <t>1636748213856723</t>
  </si>
  <si>
    <t>moreno.moncho@hotmail.com</t>
  </si>
  <si>
    <t>CAMPAÑA 3</t>
  </si>
  <si>
    <t>te_has_presentado_alguna_vez_a_un_exámen_de_residencia?</t>
  </si>
  <si>
    <t>cuál_es_tu_principal_reto_al_momento_de_prepararte_para_el_exámen_de_residencia?</t>
  </si>
  <si>
    <t>en_qué_momento_de_tu_preparación_te_encuentras?</t>
  </si>
  <si>
    <t>cuál_es_tu_especialidad_soñada?</t>
  </si>
  <si>
    <t>que_tan_comprometido_estás_con_tu_proceso_de_preparación_(del_1_al_10)</t>
  </si>
  <si>
    <t>en_qué_horario_podemos_contactarte_por_llamada_telefónica?</t>
  </si>
  <si>
    <t>1253764175814849</t>
  </si>
  <si>
    <t>120213583768690277</t>
  </si>
  <si>
    <t>VIDEO INFORMATIVO COMO COMERCIAL</t>
  </si>
  <si>
    <t>120210204666670277</t>
  </si>
  <si>
    <t>120210204666690277</t>
  </si>
  <si>
    <t>1305591680426625</t>
  </si>
  <si>
    <t>Clientes con intención diferencia interno-copy 2</t>
  </si>
  <si>
    <t>Médico internista</t>
  </si>
  <si>
    <t>Beatriz Zamora</t>
  </si>
  <si>
    <t>por la tarde</t>
  </si>
  <si>
    <t>Sandra Marín</t>
  </si>
  <si>
    <t>Cirugia general</t>
  </si>
  <si>
    <t>Hora de la tarde</t>
  </si>
  <si>
    <t>1252667489348845</t>
  </si>
  <si>
    <t>Maria Gabriela Leal Camargo</t>
  </si>
  <si>
    <t>Ninguno, pueden contactarme por mensaje directo o WhatsApp</t>
  </si>
  <si>
    <t>Dayang Jaramillo</t>
  </si>
  <si>
    <t>1324567641843207</t>
  </si>
  <si>
    <t>andreslopezpayares2001@gmail.com</t>
  </si>
  <si>
    <t>Andrés López</t>
  </si>
  <si>
    <t>1279865866383372</t>
  </si>
  <si>
    <t>Ajoseres</t>
  </si>
  <si>
    <t>Otorrinolaringólogia</t>
  </si>
  <si>
    <t>1565462101029615</t>
  </si>
  <si>
    <t>Daniel Rangel</t>
  </si>
  <si>
    <t>Pao Krn</t>
  </si>
  <si>
    <t>1717547655697706</t>
  </si>
  <si>
    <t>1-6pm</t>
  </si>
  <si>
    <t>Camila Tellez Galvis</t>
  </si>
  <si>
    <t>1120798779657575</t>
  </si>
  <si>
    <t>en las horas de la tarde</t>
  </si>
  <si>
    <t>Ana Casierra</t>
  </si>
  <si>
    <t>7955120161256096</t>
  </si>
  <si>
    <t>Cuidado crítico</t>
  </si>
  <si>
    <t>Carolina Gómez Soriano</t>
  </si>
  <si>
    <t>8643668622376857</t>
  </si>
  <si>
    <t>Medio día o por WhatsApp a cualquier hora</t>
  </si>
  <si>
    <t>Manuela Zuluaga</t>
  </si>
  <si>
    <t>Stefhanny Carrillo</t>
  </si>
  <si>
    <t>3766395923619389</t>
  </si>
  <si>
    <t>Medicina interna, ginecología y obstetricia o psiquiatría</t>
  </si>
  <si>
    <t>Jenner Ossa</t>
  </si>
  <si>
    <t>1528786691106725</t>
  </si>
  <si>
    <t>Oncología</t>
  </si>
  <si>
    <t>William Chavez Florez</t>
  </si>
  <si>
    <t>11 a.m</t>
  </si>
  <si>
    <t>Jhabana Michell Sánchez Barranco</t>
  </si>
  <si>
    <t>Radiografía</t>
  </si>
  <si>
    <t>Carmen Elena</t>
  </si>
  <si>
    <t>1239984990584582</t>
  </si>
  <si>
    <t>cualquiera</t>
  </si>
  <si>
    <t>María Solano</t>
  </si>
  <si>
    <t>1948435268958412</t>
  </si>
  <si>
    <t>Medicina de emergencias</t>
  </si>
  <si>
    <t>erika sinisterra</t>
  </si>
  <si>
    <t>LuisCMaya</t>
  </si>
  <si>
    <t>Ginecólogia y Obstetricia</t>
  </si>
  <si>
    <t>Laura González Camacho</t>
  </si>
  <si>
    <t>1062490212006293</t>
  </si>
  <si>
    <t>tecnologo en radiología</t>
  </si>
  <si>
    <t>cuando dese</t>
  </si>
  <si>
    <t>B'randon J. Brocherõ</t>
  </si>
  <si>
    <t>8813322142059806</t>
  </si>
  <si>
    <t>Sergio Andrés Altamar Orozco</t>
  </si>
  <si>
    <t>1755066868657832</t>
  </si>
  <si>
    <t>100 por ciento</t>
  </si>
  <si>
    <t>Jennifer caballero camcho</t>
  </si>
  <si>
    <t>David Colorado</t>
  </si>
  <si>
    <t>Medicina interna - Cardiología</t>
  </si>
  <si>
    <t>Despues de 10:00 pm</t>
  </si>
  <si>
    <t>Luis Enrique Hernandez Peralta</t>
  </si>
  <si>
    <t>Dermatólogo</t>
  </si>
  <si>
    <t>Verónica Rubio.</t>
  </si>
  <si>
    <t>Laura Garcia</t>
  </si>
  <si>
    <t>1109628407358568</t>
  </si>
  <si>
    <t>Abelardo Antonio Yanez Mosquera</t>
  </si>
  <si>
    <t>1613377885910038</t>
  </si>
  <si>
    <t>7-12 am</t>
  </si>
  <si>
    <t>Camilo Gallo</t>
  </si>
  <si>
    <t>2002702343509123</t>
  </si>
  <si>
    <t>Juan Londoño</t>
  </si>
  <si>
    <t>1088915282888955</t>
  </si>
  <si>
    <t>Bretalia Carti Vega</t>
  </si>
  <si>
    <t>Los viernes en la tarde</t>
  </si>
  <si>
    <t>Maria Alejandra Medina</t>
  </si>
  <si>
    <t>DERMATÓLOGIA</t>
  </si>
  <si>
    <t>Karen Pautt</t>
  </si>
  <si>
    <t>5:00 pm</t>
  </si>
  <si>
    <t>Susana Pinto</t>
  </si>
  <si>
    <t>1128406921974882</t>
  </si>
  <si>
    <t>Medicina estética quirúrgica facial</t>
  </si>
  <si>
    <t>18: 00pm</t>
  </si>
  <si>
    <t>Mercedes Mangones Rodriguez</t>
  </si>
  <si>
    <t>8808940402506335</t>
  </si>
  <si>
    <t>6pm en adelante</t>
  </si>
  <si>
    <t>3456855114446345</t>
  </si>
  <si>
    <t>Cx plástica. ,dermatología</t>
  </si>
  <si>
    <t>Samir Armella</t>
  </si>
  <si>
    <t>Vía whatsapp</t>
  </si>
  <si>
    <t>Jose Gabriel Gaviria B.</t>
  </si>
  <si>
    <t>2261849150880413</t>
  </si>
  <si>
    <t>Es variable por turnos pero generalmente despues de las 7 pm</t>
  </si>
  <si>
    <t>Juan Carlos Arce</t>
  </si>
  <si>
    <t>1075395927560002</t>
  </si>
  <si>
    <t>Hoy después de 6 pm</t>
  </si>
  <si>
    <t>Ecobaby02</t>
  </si>
  <si>
    <t>siquiatria</t>
  </si>
  <si>
    <t>mañanas</t>
  </si>
  <si>
    <t>Bleidy Katherine Hernandez Palacio</t>
  </si>
  <si>
    <t>1554068435201938</t>
  </si>
  <si>
    <t>Ahora mismo, 7</t>
  </si>
  <si>
    <t>Después de medio día</t>
  </si>
  <si>
    <t>Valentina Saade Arias</t>
  </si>
  <si>
    <t>2:00 pm</t>
  </si>
  <si>
    <t>Leidy Blanco Vargas</t>
  </si>
  <si>
    <t>1087185279453063</t>
  </si>
  <si>
    <t>Médico general</t>
  </si>
  <si>
    <t>Francisco</t>
  </si>
  <si>
    <t>No he</t>
  </si>
  <si>
    <t>Maria Jose Barroso</t>
  </si>
  <si>
    <t>Chile</t>
  </si>
  <si>
    <t>radiologia</t>
  </si>
  <si>
    <t>Andres Dario Avila Vergara</t>
  </si>
  <si>
    <t>1625819918372262</t>
  </si>
  <si>
    <t>imagen</t>
  </si>
  <si>
    <t>Miguel Berrío</t>
  </si>
  <si>
    <t>12 del medio día hasta las 3</t>
  </si>
  <si>
    <t>Juanes Osorio Castro</t>
  </si>
  <si>
    <t>Salomé Victoria</t>
  </si>
  <si>
    <t>Ruth Corredor</t>
  </si>
  <si>
    <t>1780784532676463</t>
  </si>
  <si>
    <t>Dra Leidy Ariza Lipoescultura Botox Lipoinyección</t>
  </si>
  <si>
    <t>1283246059520925</t>
  </si>
  <si>
    <t>urgentologia ginecologia</t>
  </si>
  <si>
    <t>Jonathan alejandro López.</t>
  </si>
  <si>
    <t>Tardes 1a5pm</t>
  </si>
  <si>
    <t>Alejandra Majjull</t>
  </si>
  <si>
    <t>1588502372044448</t>
  </si>
  <si>
    <t>Tatiana Palacios</t>
  </si>
  <si>
    <t>1099844484889625</t>
  </si>
  <si>
    <t>Miércoles 10 am</t>
  </si>
  <si>
    <t>Esteban David</t>
  </si>
  <si>
    <t>Canadá</t>
  </si>
  <si>
    <t>Ginecoobstetrica</t>
  </si>
  <si>
    <t>Apc Mrango</t>
  </si>
  <si>
    <t>1780618412680756</t>
  </si>
  <si>
    <t>Medicina nuclear</t>
  </si>
  <si>
    <t>Juan F. Maza Padilla</t>
  </si>
  <si>
    <t>Hellen De La Hoz Castellon</t>
  </si>
  <si>
    <t>Dra Monica A Bonet</t>
  </si>
  <si>
    <t>1091464909366075</t>
  </si>
  <si>
    <t>Adrii Briid</t>
  </si>
  <si>
    <t>2865625743613377</t>
  </si>
  <si>
    <t>Delusca Ospino</t>
  </si>
  <si>
    <t>Caro Tortu</t>
  </si>
  <si>
    <t>4 - 6 om</t>
  </si>
  <si>
    <t>Michael Guerra Herrera</t>
  </si>
  <si>
    <t>1515661182417683</t>
  </si>
  <si>
    <t>Horario de tardes pm</t>
  </si>
  <si>
    <t>Sandra Mendoza</t>
  </si>
  <si>
    <t>1070809157605819</t>
  </si>
  <si>
    <t>neurocirugia</t>
  </si>
  <si>
    <t>Johan Paguanquiza</t>
  </si>
  <si>
    <t>Francis Andrea Mejia Rueda</t>
  </si>
  <si>
    <t>1605323790336364</t>
  </si>
  <si>
    <t>Ortopedia o Anestesiologia</t>
  </si>
  <si>
    <t>Kevin Mosquera Perez</t>
  </si>
  <si>
    <t>1057437336124575</t>
  </si>
  <si>
    <t>2pm a 4 pm</t>
  </si>
  <si>
    <t>Pedro Perez Naizzir</t>
  </si>
  <si>
    <t>1882089705874088</t>
  </si>
  <si>
    <t>Santiago Vargas</t>
  </si>
  <si>
    <t>1106002464393418</t>
  </si>
  <si>
    <t>July Paola Campos Mendieta</t>
  </si>
  <si>
    <t>María Fernanda López García</t>
  </si>
  <si>
    <t>AR</t>
  </si>
  <si>
    <t>Paola sb</t>
  </si>
  <si>
    <t>1337220620981162</t>
  </si>
  <si>
    <t>Oftalmo, alergo</t>
  </si>
  <si>
    <t>Sabados</t>
  </si>
  <si>
    <t>Max tp</t>
  </si>
  <si>
    <t>3838494843133056</t>
  </si>
  <si>
    <t>JULES CAÑAVERA MUÑOZ</t>
  </si>
  <si>
    <t>Fines de semana y en semana después de las 4 pm</t>
  </si>
  <si>
    <t>Claudia Ortiz</t>
  </si>
  <si>
    <t>1514671369194122</t>
  </si>
  <si>
    <t>Radiologoa o medicina interna</t>
  </si>
  <si>
    <t>13 a 19 horas</t>
  </si>
  <si>
    <t>Marcela Balaguera Herrera</t>
  </si>
  <si>
    <t>fisioterapeuta</t>
  </si>
  <si>
    <t>Ana maria serna</t>
  </si>
  <si>
    <t>2047454155751173</t>
  </si>
  <si>
    <t>Pediatria dermatologia</t>
  </si>
  <si>
    <t>Amy Pacheco</t>
  </si>
  <si>
    <t>8 AM</t>
  </si>
  <si>
    <t>Sergio Quintero</t>
  </si>
  <si>
    <t>1641962160091074</t>
  </si>
  <si>
    <t>Brayan Gomez</t>
  </si>
  <si>
    <t>1100178484830513</t>
  </si>
  <si>
    <t>administración</t>
  </si>
  <si>
    <t>eliseo aguilera</t>
  </si>
  <si>
    <t>1591567875071566</t>
  </si>
  <si>
    <t>Gastroenterología</t>
  </si>
  <si>
    <t>Entre 3-5pm</t>
  </si>
  <si>
    <t>Norelis Castilla</t>
  </si>
  <si>
    <t>Carlos Muñoz</t>
  </si>
  <si>
    <t>7 am a 7 pm</t>
  </si>
  <si>
    <t>CHECHO HDEZ P</t>
  </si>
  <si>
    <t>1258660241835119</t>
  </si>
  <si>
    <t>Cualquiera por wp</t>
  </si>
  <si>
    <t>Juan David Escobar Ocampo</t>
  </si>
  <si>
    <t>1081652256996285</t>
  </si>
  <si>
    <t>Dermatología Medicina familiar</t>
  </si>
  <si>
    <t>Ahora 1</t>
  </si>
  <si>
    <t>Hoy</t>
  </si>
  <si>
    <t>Andre Sanabria</t>
  </si>
  <si>
    <t>1718434342340654</t>
  </si>
  <si>
    <t>Jair Torres</t>
  </si>
  <si>
    <t>18 horas</t>
  </si>
  <si>
    <t>Karen Dayana</t>
  </si>
  <si>
    <t>1038988614906523</t>
  </si>
  <si>
    <t>Nathaly Carvajal</t>
  </si>
  <si>
    <t>ORGANICOS</t>
  </si>
  <si>
    <t>FECHA</t>
  </si>
  <si>
    <t>Dirección de correo electrónico</t>
  </si>
  <si>
    <t>Te has presentado alguna vez a un exámen de residencia?</t>
  </si>
  <si>
    <t>Cuál es tu principal reto al momento de presentar un exámen de residencias</t>
  </si>
  <si>
    <t>Cuál es tu especialidad soñada?</t>
  </si>
  <si>
    <t>Que tan comprometido estás con tu proceso de preparación (Del 1 al 10)</t>
  </si>
  <si>
    <t>En qué horario podemos contactarte por llamada telefónica?</t>
  </si>
  <si>
    <t>Cuál es tu nombre completo?</t>
  </si>
  <si>
    <t>De qué país eres</t>
  </si>
  <si>
    <t>Cuál es tu número de teléfono? (Para comunicarnos contigo)</t>
  </si>
  <si>
    <t>En qué momento de tu carrera te encuentras?</t>
  </si>
  <si>
    <t/>
  </si>
  <si>
    <t>Sí</t>
  </si>
  <si>
    <t>No tengo organización en mi estudio</t>
  </si>
  <si>
    <t>Carmen romaña</t>
  </si>
  <si>
    <t>Conocimiento de medicina</t>
  </si>
  <si>
    <t xml:space="preserve">En la tarde </t>
  </si>
  <si>
    <t xml:space="preserve">Angie Paola Meza Rodríguez </t>
  </si>
  <si>
    <t>Soy medico graduado</t>
  </si>
  <si>
    <t xml:space="preserve">Anestesiologia </t>
  </si>
  <si>
    <t xml:space="preserve">Medio día </t>
  </si>
  <si>
    <t>María José Dussan</t>
  </si>
  <si>
    <t xml:space="preserve">Anestesiología y reanimación </t>
  </si>
  <si>
    <t xml:space="preserve">Isabella Sofía Movilla Movilla </t>
  </si>
  <si>
    <t>No tengo motivación para estudiar</t>
  </si>
  <si>
    <t xml:space="preserve">Cirugía plástica </t>
  </si>
  <si>
    <t xml:space="preserve">David Castro </t>
  </si>
  <si>
    <t>Cirugia Vascular</t>
  </si>
  <si>
    <t>8pm-9pm</t>
  </si>
  <si>
    <t xml:space="preserve">Laura Isabel Asprilla Hincapie </t>
  </si>
  <si>
    <t>+573242125277</t>
  </si>
  <si>
    <t>Deportología</t>
  </si>
  <si>
    <t>En la tarde (de lunes a viernes)</t>
  </si>
  <si>
    <t>Daniel Felipe Rodríguez Vásquez</t>
  </si>
  <si>
    <t xml:space="preserve">Tarde </t>
  </si>
  <si>
    <t xml:space="preserve">Andreina Rosero de la ossa </t>
  </si>
  <si>
    <t>Mary castillo</t>
  </si>
  <si>
    <t xml:space="preserve">Dermatología </t>
  </si>
  <si>
    <t>10:00am</t>
  </si>
  <si>
    <t>Daniela Villada</t>
  </si>
  <si>
    <t xml:space="preserve">Sandra Jiménez Heredia </t>
  </si>
  <si>
    <t xml:space="preserve">8 a 12 del día </t>
  </si>
  <si>
    <t xml:space="preserve">Angela viviana Baracaldo Nava </t>
  </si>
  <si>
    <t xml:space="preserve">Ginecologia </t>
  </si>
  <si>
    <t xml:space="preserve">14 horas </t>
  </si>
  <si>
    <t xml:space="preserve">Maria Kamila Lemus </t>
  </si>
  <si>
    <t xml:space="preserve">319 2388611 </t>
  </si>
  <si>
    <t xml:space="preserve">Ginecología y obstetricia </t>
  </si>
  <si>
    <t>Mañana 10am</t>
  </si>
  <si>
    <t xml:space="preserve">Ana Melissa Munoz Marin </t>
  </si>
  <si>
    <t xml:space="preserve">Ginecólogo </t>
  </si>
  <si>
    <t>Después de 7pm</t>
  </si>
  <si>
    <t xml:space="preserve">Maria Fernanda Hernández </t>
  </si>
  <si>
    <t>GYO</t>
  </si>
  <si>
    <t xml:space="preserve">Marcela Gómez </t>
  </si>
  <si>
    <t xml:space="preserve">Hemodinámia </t>
  </si>
  <si>
    <t xml:space="preserve">Mañanas </t>
  </si>
  <si>
    <t xml:space="preserve">Daniel Alexander Contreras Duarte </t>
  </si>
  <si>
    <t xml:space="preserve">Medicina de urgencias </t>
  </si>
  <si>
    <t xml:space="preserve">7pm </t>
  </si>
  <si>
    <t xml:space="preserve">Jhon jimenez </t>
  </si>
  <si>
    <t xml:space="preserve">Medicina física y rehabilitación </t>
  </si>
  <si>
    <t>8-10 am</t>
  </si>
  <si>
    <t>Andrea Carolina Nieva Flórez</t>
  </si>
  <si>
    <t xml:space="preserve">Medicina interna </t>
  </si>
  <si>
    <t>Ingrid leon</t>
  </si>
  <si>
    <t>josselingonzalez1806@gmail.com</t>
  </si>
  <si>
    <t xml:space="preserve">Medicina interna / 2opcion medicina familiar </t>
  </si>
  <si>
    <t xml:space="preserve">Después de 3 pm de martes a jueves Whattsap pueden dejar mensaje y apenas tengo el chance me comunico </t>
  </si>
  <si>
    <t xml:space="preserve">Joselin González Guette </t>
  </si>
  <si>
    <t xml:space="preserve">Cualquier horario </t>
  </si>
  <si>
    <t>Schneider Ibrahin Gutierrez Serrano</t>
  </si>
  <si>
    <t>+57 3242280606</t>
  </si>
  <si>
    <t>Soy interno/rural</t>
  </si>
  <si>
    <t xml:space="preserve">Oftalmología </t>
  </si>
  <si>
    <t xml:space="preserve">Nathaly Escobar Velasco </t>
  </si>
  <si>
    <t>Nicolas rodriguez</t>
  </si>
  <si>
    <t>Entre semana 4-9pm, fds 8am-4pm</t>
  </si>
  <si>
    <t xml:space="preserve">Nicolas Rodriguez </t>
  </si>
  <si>
    <t>Ortopedista</t>
  </si>
  <si>
    <t xml:space="preserve">A las 7 de la noche </t>
  </si>
  <si>
    <t>Julián Andrés Maldonado Ordóñez</t>
  </si>
  <si>
    <t xml:space="preserve">Camilo Penagos Ramírez </t>
  </si>
  <si>
    <t xml:space="preserve">Franja de la tarde </t>
  </si>
  <si>
    <t>David Altman</t>
  </si>
  <si>
    <t>Martes 10 am-3pm</t>
  </si>
  <si>
    <t>Camila Velez Londoño</t>
  </si>
  <si>
    <t xml:space="preserve">Otorrinolaringología </t>
  </si>
  <si>
    <t xml:space="preserve">Camilo Andrés Marino Patiño </t>
  </si>
  <si>
    <t xml:space="preserve">Martes de 7am a 7 pm </t>
  </si>
  <si>
    <t xml:space="preserve">Heidy Lizeth Benavides Armero </t>
  </si>
  <si>
    <t>Aura Maria Yela Torres</t>
  </si>
  <si>
    <t>No contesto llamadas solo wp</t>
  </si>
  <si>
    <t>Ginna caicedo</t>
  </si>
  <si>
    <t xml:space="preserve">Pediatría </t>
  </si>
  <si>
    <t xml:space="preserve">Sebastián Marín valencia </t>
  </si>
  <si>
    <t xml:space="preserve">Psiquiatría o neurología </t>
  </si>
  <si>
    <t>Natalia Yulieth Ribon Preciado</t>
  </si>
  <si>
    <t xml:space="preserve">Radiología </t>
  </si>
  <si>
    <t xml:space="preserve">🔟 </t>
  </si>
  <si>
    <t xml:space="preserve">En el momento solo puedo recibir mensajes </t>
  </si>
  <si>
    <t>Tatiana Gonzalez Medina</t>
  </si>
  <si>
    <t xml:space="preserve">Radiologia e imagenes diagnosticas </t>
  </si>
  <si>
    <t>Lunes a las 8 am, martes 1 pm, miercoles 4 pm, jueves 8 am y viernes 2 pm</t>
  </si>
  <si>
    <t xml:space="preserve">Liseth Johana Cortina Monsalvo </t>
  </si>
  <si>
    <t xml:space="preserve">Urología </t>
  </si>
  <si>
    <t xml:space="preserve">11+30 am </t>
  </si>
  <si>
    <t xml:space="preserve">Robinson Raúl Pareja </t>
  </si>
  <si>
    <t xml:space="preserve">Javier Enamorado </t>
  </si>
  <si>
    <t>+56985177954</t>
  </si>
  <si>
    <t xml:space="preserve">Ginecología </t>
  </si>
  <si>
    <t>Alexandra diaz</t>
  </si>
  <si>
    <t xml:space="preserve">Cx Plastica o Dermatooncologia </t>
  </si>
  <si>
    <t xml:space="preserve">En las tardes 4-6pm </t>
  </si>
  <si>
    <t xml:space="preserve">Karen Morales </t>
  </si>
  <si>
    <t>Exterior</t>
  </si>
  <si>
    <t xml:space="preserve">12 del medio día </t>
  </si>
  <si>
    <t xml:space="preserve">Karen Katiuska Mercado Carmona </t>
  </si>
  <si>
    <t xml:space="preserve">Cardiología </t>
  </si>
  <si>
    <t xml:space="preserve">20 horas </t>
  </si>
  <si>
    <t xml:space="preserve">Yassell </t>
  </si>
  <si>
    <t>+5351894805</t>
  </si>
  <si>
    <t xml:space="preserve">Medicina Interna </t>
  </si>
  <si>
    <t>13-17 horas</t>
  </si>
  <si>
    <t>Ramiro Fernando Portilla Oliva</t>
  </si>
  <si>
    <t xml:space="preserve">4:00 pm </t>
  </si>
  <si>
    <t xml:space="preserve">Hilary Lara Ortega </t>
  </si>
  <si>
    <t>2. 4 pm</t>
  </si>
  <si>
    <t>José Charris castro</t>
  </si>
  <si>
    <t>José jaraba coronado</t>
  </si>
  <si>
    <t>Después de las 8 pm</t>
  </si>
  <si>
    <t>Adalis Yannelis Silva Santiesteban</t>
  </si>
  <si>
    <t>+5351666597</t>
  </si>
  <si>
    <t>Mañana o tarde</t>
  </si>
  <si>
    <t>Joel De Leon</t>
  </si>
  <si>
    <t xml:space="preserve">Lineth Alejandra Mejía </t>
  </si>
  <si>
    <t>Gastro</t>
  </si>
  <si>
    <t>Lianny C</t>
  </si>
  <si>
    <t>+1 4385289460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</si>
</sst>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/yyyy"/>
    <numFmt numFmtId="165" formatCode="d/MM/yyyy H:mm:ss"/>
    <numFmt numFmtId="166" formatCode="d.m"/>
    <numFmt numFmtId="167" formatCode="dd/mm/yyyy"/>
    <numFmt numFmtId="168" formatCode="dd/mm/yyyy hh:mm"/>
    <numFmt numFmtId="169" formatCode="d/m/yy"/>
    <numFmt numFmtId="170" formatCode="d/m"/>
    <numFmt numFmtId="171" formatCode="m/d/yyyy h:mm:ss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color rgb="FFFFFFFF"/>
      <name val="Arial"/>
    </font>
    <font>
      <color rgb="FFFF0000"/>
      <name val="Arial"/>
      <scheme val="minor"/>
    </font>
    <font>
      <color rgb="FFFF0000"/>
      <name val="Arial"/>
    </font>
    <font>
      <color rgb="FF000000"/>
      <name val="Arial"/>
    </font>
    <font>
      <color rgb="FF000000"/>
      <name val="Arial"/>
      <scheme val="minor"/>
    </font>
    <font>
      <color theme="1"/>
      <name val="Arial"/>
    </font>
    <font>
      <color rgb="FF434343"/>
      <name val="Arial"/>
      <scheme val="minor"/>
    </font>
    <font>
      <i/>
      <color theme="1"/>
      <name val="Arial"/>
    </font>
    <font>
      <b/>
      <color theme="1"/>
      <name val="Verdana"/>
    </font>
    <font>
      <color theme="1"/>
      <name val="Verdana"/>
    </font>
  </fonts>
  <fills count="1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1" fillId="0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1" fillId="3" fontId="3" numFmtId="0" xfId="0" applyAlignment="1" applyBorder="1" applyFont="1">
      <alignment horizontal="right" readingOrder="0" vertical="bottom"/>
    </xf>
    <xf borderId="0" fillId="4" fontId="4" numFmtId="0" xfId="0" applyAlignment="1" applyFill="1" applyFont="1">
      <alignment horizontal="center" vertical="bottom"/>
    </xf>
    <xf borderId="0" fillId="5" fontId="5" numFmtId="0" xfId="0" applyAlignment="1" applyFill="1" applyFont="1">
      <alignment readingOrder="0"/>
    </xf>
    <xf quotePrefix="1" borderId="0" fillId="5" fontId="5" numFmtId="0" xfId="0" applyAlignment="1" applyFont="1">
      <alignment readingOrder="0"/>
    </xf>
    <xf borderId="0" fillId="5" fontId="5" numFmtId="0" xfId="0" applyAlignment="1" applyFont="1">
      <alignment horizontal="right" readingOrder="0"/>
    </xf>
    <xf borderId="0" fillId="5" fontId="5" numFmtId="0" xfId="0" applyFont="1"/>
    <xf borderId="0" fillId="5" fontId="6" numFmtId="0" xfId="0" applyAlignment="1" applyFont="1">
      <alignment horizontal="right" readingOrder="0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2" fontId="7" numFmtId="164" xfId="0" applyAlignment="1" applyFont="1" applyNumberFormat="1">
      <alignment horizontal="center" vertical="bottom"/>
    </xf>
    <xf borderId="0" fillId="6" fontId="7" numFmtId="164" xfId="0" applyAlignment="1" applyFill="1" applyFont="1" applyNumberFormat="1">
      <alignment horizontal="center" vertical="bottom"/>
    </xf>
    <xf borderId="0" fillId="0" fontId="7" numFmtId="165" xfId="0" applyAlignment="1" applyFont="1" applyNumberFormat="1">
      <alignment vertical="bottom"/>
    </xf>
    <xf quotePrefix="1"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7" fontId="8" numFmtId="0" xfId="0" applyAlignment="1" applyFill="1" applyFont="1">
      <alignment readingOrder="0"/>
    </xf>
    <xf quotePrefix="1" borderId="0" fillId="7" fontId="8" numFmtId="0" xfId="0" applyAlignment="1" applyFont="1">
      <alignment readingOrder="0"/>
    </xf>
    <xf borderId="0" fillId="7" fontId="8" numFmtId="0" xfId="0" applyAlignment="1" applyFont="1">
      <alignment horizontal="right" readingOrder="0"/>
    </xf>
    <xf borderId="0" fillId="0" fontId="1" numFmtId="0" xfId="0" applyFont="1"/>
    <xf borderId="0" fillId="3" fontId="9" numFmtId="0" xfId="0" applyAlignment="1" applyFont="1">
      <alignment horizontal="right" readingOrder="0" vertical="bottom"/>
    </xf>
    <xf borderId="0" fillId="7" fontId="1" numFmtId="0" xfId="0" applyAlignment="1" applyFont="1">
      <alignment readingOrder="0"/>
    </xf>
    <xf quotePrefix="1" borderId="0" fillId="7" fontId="1" numFmtId="0" xfId="0" applyAlignment="1" applyFont="1">
      <alignment readingOrder="0"/>
    </xf>
    <xf borderId="0" fillId="7" fontId="1" numFmtId="0" xfId="0" applyAlignment="1" applyFont="1">
      <alignment horizontal="right" readingOrder="0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2" fontId="9" numFmtId="164" xfId="0" applyAlignment="1" applyFont="1" applyNumberFormat="1">
      <alignment horizontal="center" vertical="bottom"/>
    </xf>
    <xf borderId="0" fillId="6" fontId="9" numFmtId="164" xfId="0" applyAlignment="1" applyFont="1" applyNumberFormat="1">
      <alignment horizontal="center" vertical="bottom"/>
    </xf>
    <xf borderId="0" fillId="0" fontId="9" numFmtId="165" xfId="0" applyAlignment="1" applyFont="1" applyNumberFormat="1">
      <alignment vertical="bottom"/>
    </xf>
    <xf borderId="0" fillId="5" fontId="6" numFmtId="166" xfId="0" applyAlignment="1" applyFont="1" applyNumberFormat="1">
      <alignment horizontal="right" readingOrder="0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2" fontId="6" numFmtId="164" xfId="0" applyAlignment="1" applyFont="1" applyNumberFormat="1">
      <alignment horizontal="center" vertical="bottom"/>
    </xf>
    <xf borderId="0" fillId="6" fontId="6" numFmtId="164" xfId="0" applyAlignment="1" applyFont="1" applyNumberFormat="1">
      <alignment horizontal="center" vertical="bottom"/>
    </xf>
    <xf borderId="0" fillId="0" fontId="6" numFmtId="165" xfId="0" applyAlignment="1" applyFont="1" applyNumberFormat="1">
      <alignment vertical="bottom"/>
    </xf>
    <xf borderId="0" fillId="0" fontId="9" numFmtId="164" xfId="0" applyAlignment="1" applyFont="1" applyNumberFormat="1">
      <alignment vertical="bottom"/>
    </xf>
    <xf borderId="0" fillId="8" fontId="9" numFmtId="0" xfId="0" applyAlignment="1" applyFill="1" applyFont="1">
      <alignment horizontal="center" vertical="bottom"/>
    </xf>
    <xf borderId="0" fillId="8" fontId="9" numFmtId="0" xfId="0" applyAlignment="1" applyFont="1">
      <alignment vertical="bottom"/>
    </xf>
    <xf borderId="0" fillId="8" fontId="9" numFmtId="164" xfId="0" applyAlignment="1" applyFont="1" applyNumberFormat="1">
      <alignment horizontal="center" vertical="bottom"/>
    </xf>
    <xf borderId="0" fillId="8" fontId="9" numFmtId="165" xfId="0" applyAlignment="1" applyFont="1" applyNumberFormat="1">
      <alignment vertical="bottom"/>
    </xf>
    <xf borderId="0" fillId="9" fontId="1" numFmtId="0" xfId="0" applyAlignment="1" applyFill="1" applyFont="1">
      <alignment readingOrder="0"/>
    </xf>
    <xf borderId="0" fillId="9" fontId="9" numFmtId="0" xfId="0" applyAlignment="1" applyFont="1">
      <alignment horizontal="right" readingOrder="0" vertical="bottom"/>
    </xf>
    <xf borderId="0" fillId="0" fontId="5" numFmtId="0" xfId="0" applyAlignment="1" applyFont="1">
      <alignment readingOrder="0"/>
    </xf>
    <xf borderId="0" fillId="9" fontId="5" numFmtId="0" xfId="0" applyAlignment="1" applyFont="1">
      <alignment readingOrder="0"/>
    </xf>
    <xf borderId="0" fillId="9" fontId="6" numFmtId="166" xfId="0" applyAlignment="1" applyFont="1" applyNumberFormat="1">
      <alignment horizontal="right" readingOrder="0" vertical="bottom"/>
    </xf>
    <xf borderId="0" fillId="10" fontId="9" numFmtId="0" xfId="0" applyAlignment="1" applyFill="1" applyFont="1">
      <alignment horizontal="center" vertical="bottom"/>
    </xf>
    <xf borderId="0" fillId="10" fontId="9" numFmtId="0" xfId="0" applyAlignment="1" applyFont="1">
      <alignment vertical="bottom"/>
    </xf>
    <xf borderId="0" fillId="10" fontId="9" numFmtId="164" xfId="0" applyAlignment="1" applyFont="1" applyNumberFormat="1">
      <alignment horizontal="center" vertical="bottom"/>
    </xf>
    <xf borderId="0" fillId="10" fontId="9" numFmtId="165" xfId="0" applyAlignment="1" applyFont="1" applyNumberFormat="1">
      <alignment vertical="bottom"/>
    </xf>
    <xf borderId="0" fillId="5" fontId="8" numFmtId="0" xfId="0" applyAlignment="1" applyFont="1">
      <alignment readingOrder="0"/>
    </xf>
    <xf borderId="0" fillId="5" fontId="9" numFmtId="0" xfId="0" applyAlignment="1" applyFont="1">
      <alignment horizontal="right" readingOrder="0" vertical="bottom"/>
    </xf>
    <xf borderId="0" fillId="7" fontId="5" numFmtId="0" xfId="0" applyAlignment="1" applyFont="1">
      <alignment readingOrder="0"/>
    </xf>
    <xf quotePrefix="1" borderId="0" fillId="7" fontId="5" numFmtId="0" xfId="0" applyAlignment="1" applyFont="1">
      <alignment readingOrder="0"/>
    </xf>
    <xf borderId="0" fillId="7" fontId="5" numFmtId="0" xfId="0" applyAlignment="1" applyFont="1">
      <alignment horizontal="right" readingOrder="0"/>
    </xf>
    <xf borderId="0" fillId="11" fontId="5" numFmtId="0" xfId="0" applyAlignment="1" applyFill="1" applyFont="1">
      <alignment readingOrder="0"/>
    </xf>
    <xf quotePrefix="1" borderId="0" fillId="11" fontId="5" numFmtId="0" xfId="0" applyAlignment="1" applyFont="1">
      <alignment readingOrder="0"/>
    </xf>
    <xf borderId="0" fillId="11" fontId="5" numFmtId="0" xfId="0" applyAlignment="1" applyFont="1">
      <alignment horizontal="right" readingOrder="0"/>
    </xf>
    <xf borderId="0" fillId="8" fontId="5" numFmtId="0" xfId="0" applyAlignment="1" applyFont="1">
      <alignment readingOrder="0"/>
    </xf>
    <xf quotePrefix="1" borderId="0" fillId="8" fontId="5" numFmtId="0" xfId="0" applyAlignment="1" applyFont="1">
      <alignment readingOrder="0"/>
    </xf>
    <xf borderId="0" fillId="8" fontId="8" numFmtId="0" xfId="0" applyAlignment="1" applyFont="1">
      <alignment readingOrder="0"/>
    </xf>
    <xf quotePrefix="1" borderId="0" fillId="8" fontId="8" numFmtId="0" xfId="0" applyAlignment="1" applyFont="1">
      <alignment readingOrder="0"/>
    </xf>
    <xf borderId="0" fillId="8" fontId="8" numFmtId="0" xfId="0" applyAlignment="1" applyFont="1">
      <alignment horizontal="right" readingOrder="0"/>
    </xf>
    <xf borderId="0" fillId="8" fontId="5" numFmtId="0" xfId="0" applyFont="1"/>
    <xf borderId="0" fillId="8" fontId="9" numFmtId="0" xfId="0" applyAlignment="1" applyFont="1">
      <alignment horizontal="right" readingOrder="0" vertical="bottom"/>
    </xf>
    <xf quotePrefix="1" borderId="0" fillId="0" fontId="5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5" numFmtId="0" xfId="0" applyFont="1"/>
    <xf borderId="0" fillId="0" fontId="9" numFmtId="0" xfId="0" applyAlignment="1" applyFont="1">
      <alignment horizontal="right" readingOrder="0" vertical="bottom"/>
    </xf>
    <xf borderId="0" fillId="0" fontId="9" numFmtId="164" xfId="0" applyAlignment="1" applyFont="1" applyNumberFormat="1">
      <alignment horizontal="center" vertical="bottom"/>
    </xf>
    <xf quotePrefix="1" borderId="0" fillId="5" fontId="8" numFmtId="0" xfId="0" applyAlignment="1" applyFont="1">
      <alignment readingOrder="0"/>
    </xf>
    <xf borderId="0" fillId="5" fontId="8" numFmtId="0" xfId="0" applyAlignment="1" applyFont="1">
      <alignment horizontal="right" readingOrder="0"/>
    </xf>
    <xf borderId="0" fillId="12" fontId="5" numFmtId="0" xfId="0" applyAlignment="1" applyFill="1" applyFont="1">
      <alignment readingOrder="0"/>
    </xf>
    <xf quotePrefix="1" borderId="0" fillId="12" fontId="5" numFmtId="0" xfId="0" applyAlignment="1" applyFont="1">
      <alignment readingOrder="0"/>
    </xf>
    <xf borderId="0" fillId="12" fontId="8" numFmtId="0" xfId="0" applyAlignment="1" applyFont="1">
      <alignment readingOrder="0"/>
    </xf>
    <xf quotePrefix="1" borderId="0" fillId="12" fontId="8" numFmtId="0" xfId="0" applyAlignment="1" applyFont="1">
      <alignment readingOrder="0"/>
    </xf>
    <xf borderId="0" fillId="12" fontId="8" numFmtId="0" xfId="0" applyAlignment="1" applyFont="1">
      <alignment horizontal="right" readingOrder="0"/>
    </xf>
    <xf borderId="0" fillId="12" fontId="5" numFmtId="0" xfId="0" applyFont="1"/>
    <xf borderId="0" fillId="12" fontId="9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/>
    </xf>
    <xf borderId="0" fillId="0" fontId="6" numFmtId="0" xfId="0" applyAlignment="1" applyFont="1">
      <alignment horizontal="right" readingOrder="0" vertical="bottom"/>
    </xf>
    <xf borderId="0" fillId="10" fontId="5" numFmtId="0" xfId="0" applyAlignment="1" applyFont="1">
      <alignment readingOrder="0"/>
    </xf>
    <xf quotePrefix="1" borderId="0" fillId="10" fontId="5" numFmtId="0" xfId="0" applyAlignment="1" applyFont="1">
      <alignment readingOrder="0"/>
    </xf>
    <xf borderId="0" fillId="10" fontId="8" numFmtId="0" xfId="0" applyAlignment="1" applyFont="1">
      <alignment readingOrder="0"/>
    </xf>
    <xf quotePrefix="1" borderId="0" fillId="10" fontId="8" numFmtId="0" xfId="0" applyAlignment="1" applyFont="1">
      <alignment readingOrder="0"/>
    </xf>
    <xf borderId="0" fillId="10" fontId="8" numFmtId="0" xfId="0" applyAlignment="1" applyFont="1">
      <alignment horizontal="right" readingOrder="0"/>
    </xf>
    <xf borderId="0" fillId="10" fontId="5" numFmtId="0" xfId="0" applyFont="1"/>
    <xf borderId="0" fillId="10" fontId="9" numFmtId="0" xfId="0" applyAlignment="1" applyFont="1">
      <alignment horizontal="right" readingOrder="0" vertical="bottom"/>
    </xf>
    <xf borderId="0" fillId="13" fontId="10" numFmtId="0" xfId="0" applyAlignment="1" applyFill="1" applyFont="1">
      <alignment readingOrder="0"/>
    </xf>
    <xf quotePrefix="1" borderId="0" fillId="13" fontId="10" numFmtId="0" xfId="0" applyAlignment="1" applyFont="1">
      <alignment readingOrder="0"/>
    </xf>
    <xf borderId="0" fillId="13" fontId="10" numFmtId="0" xfId="0" applyAlignment="1" applyFont="1">
      <alignment horizontal="right" readingOrder="0"/>
    </xf>
    <xf borderId="0" fillId="10" fontId="5" numFmtId="0" xfId="0" applyAlignment="1" applyFont="1">
      <alignment horizontal="right" readingOrder="0"/>
    </xf>
    <xf borderId="0" fillId="10" fontId="6" numFmtId="0" xfId="0" applyAlignment="1" applyFont="1">
      <alignment horizontal="right" readingOrder="0" vertical="bottom"/>
    </xf>
    <xf borderId="0" fillId="14" fontId="8" numFmtId="0" xfId="0" applyAlignment="1" applyFill="1" applyFont="1">
      <alignment readingOrder="0"/>
    </xf>
    <xf quotePrefix="1" borderId="0" fillId="14" fontId="8" numFmtId="0" xfId="0" applyAlignment="1" applyFont="1">
      <alignment readingOrder="0"/>
    </xf>
    <xf borderId="0" fillId="14" fontId="8" numFmtId="0" xfId="0" applyAlignment="1" applyFont="1">
      <alignment horizontal="right" readingOrder="0"/>
    </xf>
    <xf borderId="0" fillId="5" fontId="9" numFmtId="166" xfId="0" applyAlignment="1" applyFont="1" applyNumberFormat="1">
      <alignment horizontal="right" readingOrder="0" vertical="bottom"/>
    </xf>
    <xf borderId="0" fillId="5" fontId="6" numFmtId="0" xfId="0" applyAlignment="1" applyFont="1">
      <alignment horizontal="center" vertical="bottom"/>
    </xf>
    <xf borderId="0" fillId="5" fontId="6" numFmtId="0" xfId="0" applyAlignment="1" applyFont="1">
      <alignment vertical="bottom"/>
    </xf>
    <xf borderId="0" fillId="5" fontId="6" numFmtId="164" xfId="0" applyAlignment="1" applyFont="1" applyNumberFormat="1">
      <alignment horizontal="center" vertical="bottom"/>
    </xf>
    <xf borderId="0" fillId="5" fontId="6" numFmtId="165" xfId="0" applyAlignment="1" applyFont="1" applyNumberFormat="1">
      <alignment vertical="bottom"/>
    </xf>
    <xf borderId="0" fillId="12" fontId="9" numFmtId="0" xfId="0" applyAlignment="1" applyFont="1">
      <alignment horizontal="center" vertical="bottom"/>
    </xf>
    <xf borderId="0" fillId="12" fontId="9" numFmtId="0" xfId="0" applyAlignment="1" applyFont="1">
      <alignment vertical="bottom"/>
    </xf>
    <xf borderId="0" fillId="12" fontId="9" numFmtId="164" xfId="0" applyAlignment="1" applyFont="1" applyNumberFormat="1">
      <alignment horizontal="center" vertical="bottom"/>
    </xf>
    <xf borderId="0" fillId="12" fontId="9" numFmtId="165" xfId="0" applyAlignment="1" applyFont="1" applyNumberFormat="1">
      <alignment vertical="bottom"/>
    </xf>
    <xf borderId="0" fillId="10" fontId="6" numFmtId="0" xfId="0" applyAlignment="1" applyFont="1">
      <alignment horizontal="center" vertical="bottom"/>
    </xf>
    <xf borderId="0" fillId="10" fontId="6" numFmtId="0" xfId="0" applyAlignment="1" applyFont="1">
      <alignment vertical="bottom"/>
    </xf>
    <xf borderId="0" fillId="10" fontId="6" numFmtId="164" xfId="0" applyAlignment="1" applyFont="1" applyNumberFormat="1">
      <alignment horizontal="center" vertical="bottom"/>
    </xf>
    <xf borderId="0" fillId="10" fontId="6" numFmtId="165" xfId="0" applyAlignment="1" applyFont="1" applyNumberFormat="1">
      <alignment vertical="bottom"/>
    </xf>
    <xf borderId="0" fillId="0" fontId="6" numFmtId="164" xfId="0" applyAlignment="1" applyFont="1" applyNumberFormat="1">
      <alignment horizontal="center" vertical="bottom"/>
    </xf>
    <xf borderId="0" fillId="5" fontId="8" numFmtId="0" xfId="0" applyFont="1"/>
    <xf borderId="0" fillId="0" fontId="1" numFmtId="0" xfId="0" applyAlignment="1" applyFont="1">
      <alignment horizontal="right"/>
    </xf>
    <xf borderId="0" fillId="2" fontId="1" numFmtId="0" xfId="0" applyFont="1"/>
    <xf borderId="0" fillId="3" fontId="1" numFmtId="0" xfId="0" applyFont="1"/>
    <xf borderId="0" fillId="5" fontId="1" numFmtId="0" xfId="0" applyFont="1"/>
    <xf borderId="0" fillId="3" fontId="9" numFmtId="0" xfId="0" applyAlignment="1" applyFont="1">
      <alignment horizontal="right" vertical="bottom"/>
    </xf>
    <xf borderId="0" fillId="2" fontId="9" numFmtId="167" xfId="0" applyAlignment="1" applyFont="1" applyNumberFormat="1">
      <alignment horizontal="center" vertical="bottom"/>
    </xf>
    <xf borderId="0" fillId="0" fontId="11" numFmtId="0" xfId="0" applyAlignment="1" applyFont="1">
      <alignment horizontal="center" vertical="bottom"/>
    </xf>
    <xf borderId="0" fillId="15" fontId="9" numFmtId="164" xfId="0" applyAlignment="1" applyFill="1" applyFont="1" applyNumberFormat="1">
      <alignment horizontal="center" vertical="bottom"/>
    </xf>
    <xf borderId="0" fillId="3" fontId="9" numFmtId="164" xfId="0" applyAlignment="1" applyFont="1" applyNumberFormat="1">
      <alignment horizontal="center" vertical="bottom"/>
    </xf>
    <xf borderId="0" fillId="0" fontId="9" numFmtId="168" xfId="0" applyAlignment="1" applyFont="1" applyNumberFormat="1">
      <alignment vertical="bottom"/>
    </xf>
    <xf borderId="0" fillId="15" fontId="12" numFmtId="0" xfId="0" applyAlignment="1" applyFont="1">
      <alignment horizontal="right" readingOrder="0" shrinkToFit="0" vertical="bottom" wrapText="0"/>
    </xf>
    <xf borderId="0" fillId="15" fontId="12" numFmtId="0" xfId="0" applyAlignment="1" applyFont="1">
      <alignment horizontal="left" readingOrder="0" shrinkToFit="0" vertical="bottom" wrapText="0"/>
    </xf>
    <xf borderId="0" fillId="15" fontId="13" numFmtId="0" xfId="0" applyAlignment="1" applyFont="1">
      <alignment horizontal="right" readingOrder="0" shrinkToFit="0" vertical="bottom" wrapText="0"/>
    </xf>
    <xf borderId="0" fillId="15" fontId="13" numFmtId="0" xfId="0" applyAlignment="1" applyFont="1">
      <alignment horizontal="left" readingOrder="0" shrinkToFit="0" vertical="bottom" wrapText="0"/>
    </xf>
    <xf borderId="0" fillId="15" fontId="13" numFmtId="0" xfId="0" applyAlignment="1" applyFont="1">
      <alignment horizontal="left" shrinkToFit="0" vertical="bottom" wrapText="0"/>
    </xf>
    <xf borderId="0" fillId="15" fontId="13" numFmtId="169" xfId="0" applyAlignment="1" applyFont="1" applyNumberFormat="1">
      <alignment horizontal="right" readingOrder="0" shrinkToFit="0" vertical="bottom" wrapText="0"/>
    </xf>
    <xf borderId="0" fillId="15" fontId="13" numFmtId="20" xfId="0" applyAlignment="1" applyFont="1" applyNumberFormat="1">
      <alignment horizontal="left" readingOrder="0" shrinkToFit="0" vertical="bottom" wrapText="0"/>
    </xf>
    <xf borderId="0" fillId="3" fontId="1" numFmtId="169" xfId="0" applyAlignment="1" applyFont="1" applyNumberFormat="1">
      <alignment readingOrder="0"/>
    </xf>
    <xf borderId="0" fillId="0" fontId="12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horizontal="left" shrinkToFit="0" vertical="bottom" wrapText="0"/>
    </xf>
    <xf borderId="0" fillId="0" fontId="13" numFmtId="169" xfId="0" applyAlignment="1" applyFont="1" applyNumberFormat="1">
      <alignment horizontal="right" readingOrder="0" shrinkToFit="0" vertical="bottom" wrapText="0"/>
    </xf>
    <xf borderId="0" fillId="0" fontId="13" numFmtId="170" xfId="0" applyAlignment="1" applyFont="1" applyNumberFormat="1">
      <alignment horizontal="left" readingOrder="0" shrinkToFit="0" vertical="bottom" wrapText="0"/>
    </xf>
    <xf borderId="0" fillId="0" fontId="13" numFmtId="20" xfId="0" applyAlignment="1" applyFont="1" applyNumberFormat="1">
      <alignment horizontal="left" readingOrder="0" shrinkToFit="0" vertical="bottom" wrapText="0"/>
    </xf>
    <xf borderId="0" fillId="0" fontId="9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9" numFmtId="171" xfId="0" applyAlignment="1" applyFont="1" applyNumberFormat="1">
      <alignment horizontal="right" vertical="bottom"/>
    </xf>
    <xf borderId="0" fillId="0" fontId="9" numFmtId="0" xfId="0" applyAlignment="1" applyFont="1">
      <alignment horizontal="right" vertical="bottom"/>
    </xf>
    <xf borderId="0" fillId="7" fontId="9" numFmtId="0" xfId="0" applyAlignment="1" applyFont="1">
      <alignment vertical="bottom"/>
    </xf>
    <xf borderId="0" fillId="7" fontId="9" numFmtId="0" xfId="0" applyAlignment="1" applyFont="1">
      <alignment horizontal="right" vertical="bottom"/>
    </xf>
    <xf borderId="0" fillId="0" fontId="9" numFmtId="169" xfId="0" applyAlignment="1" applyFont="1" applyNumberFormat="1">
      <alignment vertical="bottom"/>
    </xf>
    <xf borderId="0" fillId="7" fontId="9" numFmtId="169" xfId="0" applyAlignment="1" applyFont="1" applyNumberFormat="1">
      <alignment vertical="bottom"/>
    </xf>
    <xf borderId="0" fillId="0" fontId="1" numFmtId="20" xfId="0" applyAlignment="1" applyFont="1" applyNumberFormat="1">
      <alignment readingOrder="0"/>
    </xf>
    <xf borderId="0" fillId="0" fontId="6" numFmtId="0" xfId="0" applyAlignment="1" applyFont="1">
      <alignment horizontal="right" vertical="bottom"/>
    </xf>
    <xf borderId="0" fillId="5" fontId="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88"/>
    <col customWidth="1" min="2" max="2" width="27.88"/>
    <col customWidth="1" min="3" max="3" width="33.88"/>
    <col customWidth="1" min="4" max="4" width="43.75"/>
    <col customWidth="1" min="5" max="5" width="38.5"/>
    <col customWidth="1" min="6" max="6" width="38.63"/>
    <col customWidth="1" min="7" max="7" width="45.13"/>
    <col customWidth="1" min="8" max="8" width="13.75"/>
    <col customWidth="1" min="9" max="9" width="15.0"/>
    <col customWidth="1" min="10" max="10" width="18.13"/>
    <col customWidth="1" min="11" max="11" width="15.63"/>
    <col customWidth="1" min="12" max="12" width="44.88"/>
    <col customWidth="1" min="13" max="13" width="34.25"/>
    <col customWidth="1" min="14" max="14" width="31.88"/>
    <col customWidth="1" min="15" max="15" width="36.0"/>
    <col customWidth="1" min="16" max="16" width="24.63"/>
    <col customWidth="1" min="17" max="17" width="22.38"/>
    <col customWidth="1" min="18" max="18" width="29.88"/>
    <col customWidth="1" min="19" max="19" width="37.25"/>
    <col customWidth="1" min="20" max="20" width="16.25"/>
    <col customWidth="1" min="21" max="21" width="18.38"/>
    <col customWidth="1" min="22" max="22" width="30.25"/>
    <col customWidth="1" min="23" max="23" width="1.75"/>
    <col customWidth="1" min="24" max="24" width="34.63"/>
    <col customWidth="1" min="25" max="25" width="23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5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6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</row>
    <row r="2">
      <c r="A2" s="8" t="s">
        <v>42</v>
      </c>
      <c r="B2" s="8" t="s">
        <v>43</v>
      </c>
      <c r="C2" s="8" t="s">
        <v>44</v>
      </c>
      <c r="D2" s="8" t="s">
        <v>45</v>
      </c>
      <c r="E2" s="8" t="s">
        <v>46</v>
      </c>
      <c r="F2" s="8" t="s">
        <v>47</v>
      </c>
      <c r="G2" s="8" t="s">
        <v>48</v>
      </c>
      <c r="H2" s="8" t="s">
        <v>49</v>
      </c>
      <c r="I2" s="8" t="s">
        <v>50</v>
      </c>
      <c r="J2" s="8" t="s">
        <v>51</v>
      </c>
      <c r="K2" s="9" t="s">
        <v>52</v>
      </c>
      <c r="L2" s="8" t="s">
        <v>53</v>
      </c>
      <c r="M2" s="8" t="s">
        <v>54</v>
      </c>
      <c r="N2" s="8" t="s">
        <v>55</v>
      </c>
      <c r="O2" s="8" t="s">
        <v>56</v>
      </c>
      <c r="P2" s="8" t="s">
        <v>57</v>
      </c>
      <c r="Q2" s="9" t="s">
        <v>58</v>
      </c>
      <c r="R2" s="8" t="s">
        <v>59</v>
      </c>
      <c r="S2" s="8" t="s">
        <v>60</v>
      </c>
      <c r="T2" s="10">
        <v>5.73162536299E11</v>
      </c>
      <c r="U2" s="8" t="s">
        <v>61</v>
      </c>
      <c r="V2" s="11"/>
      <c r="W2" s="11"/>
      <c r="X2" s="11"/>
      <c r="Y2" s="12" t="s">
        <v>62</v>
      </c>
      <c r="Z2" s="13"/>
      <c r="AA2" s="13"/>
      <c r="AB2" s="13"/>
      <c r="AC2" s="13"/>
      <c r="AD2" s="13"/>
      <c r="AE2" s="13"/>
      <c r="AF2" s="14"/>
      <c r="AG2" s="14"/>
      <c r="AH2" s="15"/>
      <c r="AI2" s="16"/>
      <c r="AJ2" s="13"/>
      <c r="AK2" s="17"/>
      <c r="AL2" s="17"/>
      <c r="AM2" s="17"/>
      <c r="AN2" s="17"/>
      <c r="AO2" s="13"/>
      <c r="AP2" s="14"/>
    </row>
    <row r="3">
      <c r="A3" s="1" t="s">
        <v>63</v>
      </c>
      <c r="B3" s="2" t="s">
        <v>64</v>
      </c>
      <c r="C3" s="1" t="s">
        <v>65</v>
      </c>
      <c r="D3" s="1" t="s">
        <v>66</v>
      </c>
      <c r="E3" s="1" t="s">
        <v>67</v>
      </c>
      <c r="F3" s="1" t="s">
        <v>68</v>
      </c>
      <c r="G3" s="1" t="s">
        <v>48</v>
      </c>
      <c r="H3" s="1" t="s">
        <v>49</v>
      </c>
      <c r="I3" s="1" t="s">
        <v>50</v>
      </c>
      <c r="J3" s="1" t="s">
        <v>51</v>
      </c>
      <c r="K3" s="18" t="s">
        <v>52</v>
      </c>
      <c r="L3" s="1" t="s">
        <v>53</v>
      </c>
      <c r="M3" s="19" t="s">
        <v>69</v>
      </c>
      <c r="N3" s="19" t="s">
        <v>55</v>
      </c>
      <c r="O3" s="2" t="s">
        <v>70</v>
      </c>
      <c r="P3" s="20" t="s">
        <v>71</v>
      </c>
      <c r="Q3" s="21" t="s">
        <v>72</v>
      </c>
      <c r="R3" s="20" t="s">
        <v>73</v>
      </c>
      <c r="S3" s="20" t="s">
        <v>74</v>
      </c>
      <c r="T3" s="22">
        <v>5.73212769366E11</v>
      </c>
      <c r="U3" s="19" t="s">
        <v>75</v>
      </c>
      <c r="V3" s="23"/>
      <c r="W3" s="23"/>
      <c r="X3" s="23"/>
      <c r="Y3" s="24">
        <v>5.0</v>
      </c>
      <c r="Z3" s="13"/>
      <c r="AA3" s="13"/>
      <c r="AB3" s="13"/>
      <c r="AC3" s="13"/>
      <c r="AD3" s="13"/>
      <c r="AE3" s="13"/>
      <c r="AF3" s="14"/>
      <c r="AG3" s="14"/>
      <c r="AH3" s="15"/>
      <c r="AI3" s="16"/>
      <c r="AJ3" s="13"/>
      <c r="AK3" s="17"/>
      <c r="AL3" s="17"/>
      <c r="AM3" s="17"/>
      <c r="AN3" s="17"/>
      <c r="AO3" s="13"/>
      <c r="AP3" s="14"/>
    </row>
    <row r="4">
      <c r="A4" s="1" t="s">
        <v>76</v>
      </c>
      <c r="B4" s="2" t="s">
        <v>77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 s="18" t="s">
        <v>52</v>
      </c>
      <c r="L4" s="1" t="s">
        <v>53</v>
      </c>
      <c r="M4" s="19" t="s">
        <v>69</v>
      </c>
      <c r="N4" s="19" t="s">
        <v>55</v>
      </c>
      <c r="O4" s="2" t="s">
        <v>70</v>
      </c>
      <c r="P4" s="25" t="s">
        <v>78</v>
      </c>
      <c r="Q4" s="26" t="s">
        <v>58</v>
      </c>
      <c r="R4" s="25" t="s">
        <v>79</v>
      </c>
      <c r="S4" s="25" t="s">
        <v>80</v>
      </c>
      <c r="T4" s="27">
        <v>5.73046330251E11</v>
      </c>
      <c r="U4" s="19" t="s">
        <v>81</v>
      </c>
      <c r="V4" s="23"/>
      <c r="W4" s="23"/>
      <c r="X4" s="23"/>
      <c r="Y4" s="24">
        <v>5.0</v>
      </c>
      <c r="Z4" s="28"/>
      <c r="AA4" s="28"/>
      <c r="AB4" s="28"/>
      <c r="AC4" s="28"/>
      <c r="AD4" s="29"/>
      <c r="AE4" s="29"/>
      <c r="AF4" s="29"/>
      <c r="AG4" s="29"/>
      <c r="AH4" s="30"/>
      <c r="AI4" s="31"/>
      <c r="AJ4" s="28"/>
      <c r="AK4" s="32"/>
      <c r="AL4" s="32"/>
      <c r="AM4" s="32"/>
      <c r="AN4" s="32"/>
      <c r="AO4" s="28"/>
      <c r="AP4" s="29"/>
    </row>
    <row r="5">
      <c r="A5" s="8" t="s">
        <v>82</v>
      </c>
      <c r="B5" s="8" t="s">
        <v>83</v>
      </c>
      <c r="C5" s="8" t="s">
        <v>44</v>
      </c>
      <c r="D5" s="8" t="s">
        <v>45</v>
      </c>
      <c r="E5" s="8" t="s">
        <v>46</v>
      </c>
      <c r="F5" s="8" t="s">
        <v>47</v>
      </c>
      <c r="G5" s="8" t="s">
        <v>48</v>
      </c>
      <c r="H5" s="8" t="s">
        <v>49</v>
      </c>
      <c r="I5" s="8" t="s">
        <v>50</v>
      </c>
      <c r="J5" s="8" t="s">
        <v>51</v>
      </c>
      <c r="K5" s="9" t="s">
        <v>52</v>
      </c>
      <c r="L5" s="8" t="s">
        <v>84</v>
      </c>
      <c r="M5" s="8" t="s">
        <v>54</v>
      </c>
      <c r="N5" s="8" t="s">
        <v>85</v>
      </c>
      <c r="O5" s="8" t="s">
        <v>86</v>
      </c>
      <c r="P5" s="8" t="s">
        <v>87</v>
      </c>
      <c r="Q5" s="9" t="s">
        <v>88</v>
      </c>
      <c r="R5" s="8" t="s">
        <v>89</v>
      </c>
      <c r="S5" s="8" t="s">
        <v>90</v>
      </c>
      <c r="T5" s="10">
        <v>5.73114336751E11</v>
      </c>
      <c r="U5" s="8" t="s">
        <v>75</v>
      </c>
      <c r="V5" s="11"/>
      <c r="W5" s="11"/>
      <c r="X5" s="11"/>
      <c r="Y5" s="33">
        <v>45779.0</v>
      </c>
      <c r="Z5" s="28"/>
      <c r="AA5" s="28"/>
      <c r="AB5" s="28"/>
      <c r="AC5" s="28"/>
      <c r="AD5" s="28"/>
      <c r="AE5" s="28"/>
      <c r="AF5" s="29"/>
      <c r="AG5" s="29"/>
      <c r="AH5" s="30"/>
      <c r="AI5" s="31"/>
      <c r="AJ5" s="28"/>
      <c r="AK5" s="32"/>
      <c r="AL5" s="32"/>
      <c r="AM5" s="32"/>
      <c r="AN5" s="32"/>
      <c r="AO5" s="28"/>
      <c r="AP5" s="29"/>
    </row>
    <row r="6">
      <c r="A6" s="1" t="s">
        <v>91</v>
      </c>
      <c r="B6" s="2" t="s">
        <v>92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49</v>
      </c>
      <c r="I6" s="1" t="s">
        <v>50</v>
      </c>
      <c r="J6" s="1" t="s">
        <v>51</v>
      </c>
      <c r="K6" s="18" t="s">
        <v>52</v>
      </c>
      <c r="L6" s="1" t="s">
        <v>53</v>
      </c>
      <c r="M6" s="19" t="s">
        <v>54</v>
      </c>
      <c r="N6" s="19" t="s">
        <v>55</v>
      </c>
      <c r="O6" s="2" t="s">
        <v>70</v>
      </c>
      <c r="P6" s="25" t="s">
        <v>93</v>
      </c>
      <c r="Q6" s="26" t="s">
        <v>94</v>
      </c>
      <c r="R6" s="25" t="s">
        <v>95</v>
      </c>
      <c r="S6" s="25" t="s">
        <v>96</v>
      </c>
      <c r="T6" s="27">
        <v>5.73204560254E11</v>
      </c>
      <c r="U6" s="19" t="s">
        <v>61</v>
      </c>
      <c r="V6" s="23"/>
      <c r="W6" s="23"/>
      <c r="X6" s="23"/>
      <c r="Y6" s="24">
        <v>5.0</v>
      </c>
      <c r="Z6" s="28"/>
      <c r="AA6" s="28"/>
      <c r="AB6" s="28"/>
      <c r="AC6" s="28"/>
      <c r="AD6" s="28"/>
      <c r="AE6" s="28"/>
      <c r="AF6" s="29"/>
      <c r="AG6" s="29"/>
      <c r="AH6" s="30"/>
      <c r="AI6" s="31"/>
      <c r="AJ6" s="28"/>
      <c r="AK6" s="32"/>
      <c r="AL6" s="32"/>
      <c r="AM6" s="32"/>
      <c r="AN6" s="32"/>
      <c r="AO6" s="28"/>
      <c r="AP6" s="29"/>
    </row>
    <row r="7">
      <c r="A7" s="1" t="s">
        <v>97</v>
      </c>
      <c r="B7" s="2" t="s">
        <v>98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48</v>
      </c>
      <c r="H7" s="1" t="s">
        <v>49</v>
      </c>
      <c r="I7" s="1" t="s">
        <v>50</v>
      </c>
      <c r="J7" s="1" t="s">
        <v>51</v>
      </c>
      <c r="K7" s="18" t="s">
        <v>52</v>
      </c>
      <c r="L7" s="1" t="s">
        <v>53</v>
      </c>
      <c r="M7" s="19" t="s">
        <v>69</v>
      </c>
      <c r="N7" s="19" t="s">
        <v>85</v>
      </c>
      <c r="O7" s="2" t="s">
        <v>70</v>
      </c>
      <c r="P7" s="25" t="s">
        <v>99</v>
      </c>
      <c r="Q7" s="26" t="s">
        <v>88</v>
      </c>
      <c r="R7" s="25" t="s">
        <v>100</v>
      </c>
      <c r="S7" s="25" t="s">
        <v>101</v>
      </c>
      <c r="T7" s="27">
        <v>5.73207502001E11</v>
      </c>
      <c r="U7" s="19" t="s">
        <v>61</v>
      </c>
      <c r="V7" s="23"/>
      <c r="W7" s="23"/>
      <c r="X7" s="23"/>
      <c r="Y7" s="24">
        <v>5.0</v>
      </c>
      <c r="Z7" s="28"/>
      <c r="AA7" s="28"/>
      <c r="AB7" s="28"/>
      <c r="AC7" s="28"/>
      <c r="AD7" s="28"/>
      <c r="AE7" s="28"/>
      <c r="AF7" s="29"/>
      <c r="AG7" s="29"/>
      <c r="AH7" s="30"/>
      <c r="AI7" s="31"/>
      <c r="AJ7" s="28"/>
      <c r="AK7" s="32"/>
      <c r="AL7" s="32"/>
      <c r="AM7" s="32"/>
      <c r="AN7" s="32"/>
      <c r="AO7" s="28"/>
      <c r="AP7" s="29"/>
    </row>
    <row r="8">
      <c r="A8" s="1" t="s">
        <v>102</v>
      </c>
      <c r="B8" s="2" t="s">
        <v>103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  <c r="H8" s="1" t="s">
        <v>49</v>
      </c>
      <c r="I8" s="1" t="s">
        <v>50</v>
      </c>
      <c r="J8" s="1" t="s">
        <v>51</v>
      </c>
      <c r="K8" s="18" t="s">
        <v>52</v>
      </c>
      <c r="L8" s="1" t="s">
        <v>84</v>
      </c>
      <c r="M8" s="19" t="s">
        <v>69</v>
      </c>
      <c r="N8" s="19" t="s">
        <v>55</v>
      </c>
      <c r="O8" s="2" t="s">
        <v>70</v>
      </c>
      <c r="P8" s="25" t="s">
        <v>104</v>
      </c>
      <c r="Q8" s="26" t="s">
        <v>105</v>
      </c>
      <c r="R8" s="25" t="s">
        <v>106</v>
      </c>
      <c r="S8" s="25" t="s">
        <v>107</v>
      </c>
      <c r="T8" s="27">
        <v>5.73117486406E11</v>
      </c>
      <c r="U8" s="19" t="s">
        <v>75</v>
      </c>
      <c r="V8" s="23"/>
      <c r="W8" s="23"/>
      <c r="X8" s="23"/>
      <c r="Y8" s="24">
        <v>5.0</v>
      </c>
      <c r="Z8" s="28"/>
      <c r="AA8" s="28"/>
      <c r="AB8" s="28"/>
      <c r="AC8" s="28"/>
      <c r="AD8" s="28"/>
      <c r="AE8" s="28"/>
      <c r="AF8" s="29"/>
      <c r="AG8" s="29"/>
      <c r="AH8" s="30"/>
      <c r="AI8" s="31"/>
      <c r="AJ8" s="28"/>
      <c r="AK8" s="32"/>
      <c r="AL8" s="32"/>
      <c r="AM8" s="32"/>
      <c r="AN8" s="32"/>
      <c r="AO8" s="28"/>
      <c r="AP8" s="29"/>
    </row>
    <row r="9">
      <c r="A9" s="1" t="s">
        <v>108</v>
      </c>
      <c r="B9" s="2" t="s">
        <v>109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49</v>
      </c>
      <c r="I9" s="1" t="s">
        <v>50</v>
      </c>
      <c r="J9" s="1" t="s">
        <v>51</v>
      </c>
      <c r="K9" s="18" t="s">
        <v>52</v>
      </c>
      <c r="L9" s="1" t="s">
        <v>53</v>
      </c>
      <c r="M9" s="19" t="s">
        <v>54</v>
      </c>
      <c r="N9" s="19" t="s">
        <v>85</v>
      </c>
      <c r="O9" s="2" t="s">
        <v>70</v>
      </c>
      <c r="P9" s="25" t="s">
        <v>110</v>
      </c>
      <c r="Q9" s="26" t="s">
        <v>111</v>
      </c>
      <c r="R9" s="25" t="s">
        <v>112</v>
      </c>
      <c r="S9" s="25" t="s">
        <v>113</v>
      </c>
      <c r="T9" s="27">
        <v>5.73125874732E11</v>
      </c>
      <c r="U9" s="19" t="s">
        <v>75</v>
      </c>
      <c r="V9" s="23"/>
      <c r="W9" s="23"/>
      <c r="Y9" s="24">
        <v>5.0</v>
      </c>
      <c r="Z9" s="28"/>
      <c r="AA9" s="28"/>
      <c r="AB9" s="28"/>
      <c r="AC9" s="28"/>
      <c r="AD9" s="28"/>
      <c r="AE9" s="28"/>
      <c r="AF9" s="29"/>
      <c r="AG9" s="29"/>
      <c r="AH9" s="30"/>
      <c r="AI9" s="31"/>
      <c r="AJ9" s="28"/>
      <c r="AK9" s="32"/>
      <c r="AL9" s="32"/>
      <c r="AM9" s="32"/>
      <c r="AN9" s="32"/>
      <c r="AO9" s="28"/>
      <c r="AP9" s="29"/>
    </row>
    <row r="10">
      <c r="A10" s="1" t="s">
        <v>114</v>
      </c>
      <c r="B10" s="2" t="s">
        <v>115</v>
      </c>
      <c r="C10" s="1" t="s">
        <v>44</v>
      </c>
      <c r="D10" s="1" t="s">
        <v>45</v>
      </c>
      <c r="E10" s="1" t="s">
        <v>46</v>
      </c>
      <c r="F10" s="1" t="s">
        <v>47</v>
      </c>
      <c r="G10" s="1" t="s">
        <v>48</v>
      </c>
      <c r="H10" s="1" t="s">
        <v>49</v>
      </c>
      <c r="I10" s="1" t="s">
        <v>50</v>
      </c>
      <c r="J10" s="1" t="s">
        <v>51</v>
      </c>
      <c r="K10" s="18" t="s">
        <v>52</v>
      </c>
      <c r="L10" s="1" t="s">
        <v>84</v>
      </c>
      <c r="M10" s="19" t="s">
        <v>69</v>
      </c>
      <c r="N10" s="19" t="s">
        <v>55</v>
      </c>
      <c r="O10" s="2" t="s">
        <v>70</v>
      </c>
      <c r="P10" s="25" t="s">
        <v>116</v>
      </c>
      <c r="Q10" s="26" t="s">
        <v>72</v>
      </c>
      <c r="R10" s="25" t="s">
        <v>117</v>
      </c>
      <c r="S10" s="25" t="s">
        <v>118</v>
      </c>
      <c r="T10" s="27">
        <v>5.73206716506E11</v>
      </c>
      <c r="U10" s="19" t="s">
        <v>75</v>
      </c>
      <c r="V10" s="23"/>
      <c r="W10" s="23"/>
      <c r="X10" s="23"/>
      <c r="Y10" s="24">
        <v>5.0</v>
      </c>
      <c r="Z10" s="28"/>
      <c r="AA10" s="28"/>
      <c r="AB10" s="28"/>
      <c r="AC10" s="28"/>
      <c r="AD10" s="28"/>
      <c r="AE10" s="28"/>
      <c r="AF10" s="29"/>
      <c r="AG10" s="29"/>
      <c r="AH10" s="30"/>
      <c r="AI10" s="31"/>
      <c r="AJ10" s="28"/>
      <c r="AK10" s="32"/>
      <c r="AL10" s="32"/>
      <c r="AM10" s="32"/>
      <c r="AN10" s="32"/>
      <c r="AO10" s="28"/>
      <c r="AP10" s="29"/>
    </row>
    <row r="11">
      <c r="A11" s="8" t="s">
        <v>119</v>
      </c>
      <c r="B11" s="8" t="s">
        <v>120</v>
      </c>
      <c r="C11" s="8" t="s">
        <v>44</v>
      </c>
      <c r="D11" s="8" t="s">
        <v>45</v>
      </c>
      <c r="E11" s="8" t="s">
        <v>46</v>
      </c>
      <c r="F11" s="8" t="s">
        <v>47</v>
      </c>
      <c r="G11" s="8" t="s">
        <v>48</v>
      </c>
      <c r="H11" s="8" t="s">
        <v>49</v>
      </c>
      <c r="I11" s="8" t="s">
        <v>50</v>
      </c>
      <c r="J11" s="8" t="s">
        <v>51</v>
      </c>
      <c r="K11" s="9" t="s">
        <v>52</v>
      </c>
      <c r="L11" s="8" t="s">
        <v>84</v>
      </c>
      <c r="M11" s="8" t="s">
        <v>54</v>
      </c>
      <c r="N11" s="8" t="s">
        <v>85</v>
      </c>
      <c r="O11" s="8" t="s">
        <v>56</v>
      </c>
      <c r="P11" s="8" t="s">
        <v>121</v>
      </c>
      <c r="Q11" s="9" t="s">
        <v>122</v>
      </c>
      <c r="R11" s="8" t="s">
        <v>123</v>
      </c>
      <c r="S11" s="8" t="s">
        <v>124</v>
      </c>
      <c r="T11" s="10">
        <v>5.73144291622E11</v>
      </c>
      <c r="U11" s="8" t="s">
        <v>75</v>
      </c>
      <c r="V11" s="11"/>
      <c r="W11" s="11"/>
      <c r="X11" s="11"/>
      <c r="Y11" s="12" t="s">
        <v>62</v>
      </c>
      <c r="Z11" s="28"/>
      <c r="AA11" s="28"/>
      <c r="AB11" s="28"/>
      <c r="AC11" s="28"/>
      <c r="AD11" s="28"/>
      <c r="AE11" s="28"/>
      <c r="AF11" s="29"/>
      <c r="AG11" s="29"/>
      <c r="AH11" s="30"/>
      <c r="AI11" s="31"/>
      <c r="AJ11" s="28"/>
      <c r="AK11" s="32"/>
      <c r="AL11" s="32"/>
      <c r="AM11" s="32"/>
      <c r="AN11" s="32"/>
      <c r="AO11" s="28"/>
      <c r="AP11" s="29"/>
    </row>
    <row r="12">
      <c r="A12" s="1" t="s">
        <v>125</v>
      </c>
      <c r="B12" s="2" t="s">
        <v>126</v>
      </c>
      <c r="C12" s="1" t="s">
        <v>44</v>
      </c>
      <c r="D12" s="1" t="s">
        <v>45</v>
      </c>
      <c r="E12" s="1" t="s">
        <v>46</v>
      </c>
      <c r="F12" s="1" t="s">
        <v>47</v>
      </c>
      <c r="G12" s="1" t="s">
        <v>48</v>
      </c>
      <c r="H12" s="1" t="s">
        <v>49</v>
      </c>
      <c r="I12" s="1" t="s">
        <v>50</v>
      </c>
      <c r="J12" s="1" t="s">
        <v>51</v>
      </c>
      <c r="K12" s="18" t="s">
        <v>52</v>
      </c>
      <c r="L12" s="1" t="s">
        <v>53</v>
      </c>
      <c r="M12" s="19" t="s">
        <v>69</v>
      </c>
      <c r="N12" s="19" t="s">
        <v>55</v>
      </c>
      <c r="O12" s="2" t="s">
        <v>70</v>
      </c>
      <c r="P12" s="25" t="s">
        <v>127</v>
      </c>
      <c r="Q12" s="26" t="s">
        <v>58</v>
      </c>
      <c r="R12" s="25" t="s">
        <v>128</v>
      </c>
      <c r="S12" s="25" t="s">
        <v>129</v>
      </c>
      <c r="T12" s="27">
        <v>5.73016649833E11</v>
      </c>
      <c r="U12" s="19" t="s">
        <v>61</v>
      </c>
      <c r="V12" s="23"/>
      <c r="W12" s="23"/>
      <c r="X12" s="23"/>
      <c r="Y12" s="24">
        <v>5.0</v>
      </c>
      <c r="Z12" s="28"/>
      <c r="AA12" s="28"/>
      <c r="AB12" s="28"/>
      <c r="AC12" s="28"/>
      <c r="AD12" s="28"/>
      <c r="AE12" s="28"/>
      <c r="AF12" s="29"/>
      <c r="AG12" s="29"/>
      <c r="AH12" s="30"/>
      <c r="AI12" s="31"/>
      <c r="AJ12" s="28"/>
      <c r="AK12" s="32"/>
      <c r="AL12" s="32"/>
      <c r="AM12" s="32"/>
      <c r="AN12" s="32"/>
      <c r="AO12" s="28"/>
      <c r="AP12" s="29"/>
    </row>
    <row r="13">
      <c r="A13" s="1" t="s">
        <v>130</v>
      </c>
      <c r="B13" s="2" t="s">
        <v>131</v>
      </c>
      <c r="C13" s="1" t="s">
        <v>44</v>
      </c>
      <c r="D13" s="1" t="s">
        <v>45</v>
      </c>
      <c r="E13" s="1" t="s">
        <v>46</v>
      </c>
      <c r="F13" s="1" t="s">
        <v>47</v>
      </c>
      <c r="G13" s="1" t="s">
        <v>48</v>
      </c>
      <c r="H13" s="1" t="s">
        <v>49</v>
      </c>
      <c r="I13" s="1" t="s">
        <v>50</v>
      </c>
      <c r="J13" s="1" t="s">
        <v>51</v>
      </c>
      <c r="K13" s="18" t="s">
        <v>52</v>
      </c>
      <c r="L13" s="1" t="s">
        <v>53</v>
      </c>
      <c r="M13" s="19" t="s">
        <v>69</v>
      </c>
      <c r="N13" s="19" t="s">
        <v>55</v>
      </c>
      <c r="O13" s="2" t="s">
        <v>70</v>
      </c>
      <c r="P13" s="25" t="s">
        <v>132</v>
      </c>
      <c r="Q13" s="26" t="s">
        <v>111</v>
      </c>
      <c r="R13" s="25" t="s">
        <v>133</v>
      </c>
      <c r="S13" s="25" t="s">
        <v>134</v>
      </c>
      <c r="T13" s="27">
        <v>5.73046099293E11</v>
      </c>
      <c r="U13" s="19" t="s">
        <v>61</v>
      </c>
      <c r="V13" s="23"/>
      <c r="W13" s="23"/>
      <c r="X13" s="23"/>
      <c r="Y13" s="24">
        <v>5.0</v>
      </c>
      <c r="Z13" s="28"/>
      <c r="AA13" s="28"/>
      <c r="AB13" s="28"/>
      <c r="AC13" s="28"/>
      <c r="AD13" s="28"/>
      <c r="AE13" s="28"/>
      <c r="AF13" s="29"/>
      <c r="AG13" s="29"/>
      <c r="AH13" s="30"/>
      <c r="AI13" s="31"/>
      <c r="AJ13" s="28"/>
      <c r="AK13" s="32"/>
      <c r="AL13" s="32"/>
      <c r="AM13" s="32"/>
      <c r="AN13" s="32"/>
      <c r="AO13" s="28"/>
      <c r="AP13" s="29"/>
    </row>
    <row r="14">
      <c r="A14" s="1" t="s">
        <v>135</v>
      </c>
      <c r="B14" s="2" t="s">
        <v>136</v>
      </c>
      <c r="C14" s="1" t="s">
        <v>44</v>
      </c>
      <c r="D14" s="1" t="s">
        <v>45</v>
      </c>
      <c r="E14" s="1" t="s">
        <v>46</v>
      </c>
      <c r="F14" s="1" t="s">
        <v>47</v>
      </c>
      <c r="G14" s="1" t="s">
        <v>48</v>
      </c>
      <c r="H14" s="1" t="s">
        <v>49</v>
      </c>
      <c r="I14" s="1" t="s">
        <v>50</v>
      </c>
      <c r="J14" s="1" t="s">
        <v>51</v>
      </c>
      <c r="K14" s="18" t="s">
        <v>52</v>
      </c>
      <c r="L14" s="1" t="s">
        <v>53</v>
      </c>
      <c r="M14" s="19" t="s">
        <v>54</v>
      </c>
      <c r="N14" s="19" t="s">
        <v>137</v>
      </c>
      <c r="O14" s="2" t="s">
        <v>70</v>
      </c>
      <c r="P14" s="25" t="s">
        <v>127</v>
      </c>
      <c r="Q14" s="26" t="s">
        <v>111</v>
      </c>
      <c r="R14" s="25" t="s">
        <v>79</v>
      </c>
      <c r="S14" s="25" t="s">
        <v>138</v>
      </c>
      <c r="T14" s="27">
        <v>5.73238129463E11</v>
      </c>
      <c r="U14" s="19" t="s">
        <v>75</v>
      </c>
      <c r="V14" s="23"/>
      <c r="W14" s="23"/>
      <c r="X14" s="23"/>
      <c r="Y14" s="24">
        <v>5.0</v>
      </c>
      <c r="Z14" s="13"/>
      <c r="AA14" s="13"/>
      <c r="AB14" s="13"/>
      <c r="AC14" s="13"/>
      <c r="AD14" s="13"/>
      <c r="AE14" s="13"/>
      <c r="AF14" s="14"/>
      <c r="AG14" s="14"/>
      <c r="AH14" s="15"/>
      <c r="AI14" s="16"/>
      <c r="AJ14" s="13"/>
      <c r="AK14" s="17"/>
      <c r="AL14" s="17"/>
      <c r="AM14" s="17"/>
      <c r="AN14" s="17"/>
      <c r="AO14" s="13"/>
      <c r="AP14" s="14"/>
    </row>
    <row r="15">
      <c r="A15" s="1" t="s">
        <v>139</v>
      </c>
      <c r="B15" s="2" t="s">
        <v>140</v>
      </c>
      <c r="C15" s="1" t="s">
        <v>44</v>
      </c>
      <c r="D15" s="1" t="s">
        <v>45</v>
      </c>
      <c r="E15" s="1" t="s">
        <v>46</v>
      </c>
      <c r="F15" s="1" t="s">
        <v>47</v>
      </c>
      <c r="G15" s="1" t="s">
        <v>48</v>
      </c>
      <c r="H15" s="1" t="s">
        <v>49</v>
      </c>
      <c r="I15" s="1" t="s">
        <v>50</v>
      </c>
      <c r="J15" s="1" t="s">
        <v>51</v>
      </c>
      <c r="K15" s="18" t="s">
        <v>52</v>
      </c>
      <c r="L15" s="1" t="s">
        <v>84</v>
      </c>
      <c r="M15" s="19" t="s">
        <v>54</v>
      </c>
      <c r="N15" s="19" t="s">
        <v>55</v>
      </c>
      <c r="O15" s="2" t="s">
        <v>70</v>
      </c>
      <c r="P15" s="25" t="s">
        <v>141</v>
      </c>
      <c r="Q15" s="26" t="s">
        <v>111</v>
      </c>
      <c r="R15" s="25" t="s">
        <v>142</v>
      </c>
      <c r="S15" s="25" t="s">
        <v>143</v>
      </c>
      <c r="T15" s="27">
        <v>5.73146364483E11</v>
      </c>
      <c r="U15" s="19" t="s">
        <v>75</v>
      </c>
      <c r="V15" s="23"/>
      <c r="W15" s="23"/>
      <c r="X15" s="23"/>
      <c r="Y15" s="24">
        <v>5.0</v>
      </c>
      <c r="Z15" s="13"/>
      <c r="AA15" s="13"/>
      <c r="AB15" s="13"/>
      <c r="AC15" s="13"/>
      <c r="AD15" s="13"/>
      <c r="AE15" s="13"/>
      <c r="AF15" s="14"/>
      <c r="AG15" s="14"/>
      <c r="AH15" s="15"/>
      <c r="AI15" s="16"/>
      <c r="AJ15" s="13"/>
      <c r="AK15" s="17"/>
      <c r="AL15" s="17"/>
      <c r="AM15" s="17"/>
      <c r="AN15" s="17"/>
      <c r="AO15" s="13"/>
      <c r="AP15" s="14"/>
    </row>
    <row r="16">
      <c r="A16" s="1" t="s">
        <v>144</v>
      </c>
      <c r="B16" s="2" t="s">
        <v>145</v>
      </c>
      <c r="C16" s="1" t="s">
        <v>44</v>
      </c>
      <c r="D16" s="1" t="s">
        <v>45</v>
      </c>
      <c r="E16" s="1" t="s">
        <v>46</v>
      </c>
      <c r="F16" s="1" t="s">
        <v>47</v>
      </c>
      <c r="G16" s="1" t="s">
        <v>48</v>
      </c>
      <c r="H16" s="1" t="s">
        <v>49</v>
      </c>
      <c r="I16" s="1" t="s">
        <v>50</v>
      </c>
      <c r="J16" s="1" t="s">
        <v>51</v>
      </c>
      <c r="K16" s="18" t="s">
        <v>52</v>
      </c>
      <c r="L16" s="1" t="s">
        <v>53</v>
      </c>
      <c r="M16" s="19" t="s">
        <v>54</v>
      </c>
      <c r="N16" s="19" t="s">
        <v>137</v>
      </c>
      <c r="O16" s="2" t="s">
        <v>70</v>
      </c>
      <c r="P16" s="25" t="s">
        <v>146</v>
      </c>
      <c r="Q16" s="26" t="s">
        <v>147</v>
      </c>
      <c r="R16" s="25" t="s">
        <v>148</v>
      </c>
      <c r="S16" s="25" t="s">
        <v>149</v>
      </c>
      <c r="T16" s="27">
        <v>5.73184425266E11</v>
      </c>
      <c r="U16" s="19" t="s">
        <v>75</v>
      </c>
      <c r="V16" s="23"/>
      <c r="W16" s="23"/>
      <c r="X16" s="23"/>
      <c r="Y16" s="24">
        <v>5.0</v>
      </c>
      <c r="Z16" s="13"/>
      <c r="AA16" s="13"/>
      <c r="AB16" s="13"/>
      <c r="AC16" s="13"/>
      <c r="AD16" s="13"/>
      <c r="AE16" s="13"/>
      <c r="AF16" s="14"/>
      <c r="AG16" s="14"/>
      <c r="AH16" s="15"/>
      <c r="AI16" s="16"/>
      <c r="AJ16" s="13"/>
      <c r="AK16" s="17"/>
      <c r="AL16" s="17"/>
      <c r="AM16" s="17"/>
      <c r="AN16" s="17"/>
      <c r="AO16" s="13"/>
      <c r="AP16" s="14"/>
    </row>
    <row r="17">
      <c r="A17" s="8" t="s">
        <v>150</v>
      </c>
      <c r="B17" s="8" t="s">
        <v>151</v>
      </c>
      <c r="C17" s="8" t="s">
        <v>44</v>
      </c>
      <c r="D17" s="8" t="s">
        <v>45</v>
      </c>
      <c r="E17" s="8" t="s">
        <v>46</v>
      </c>
      <c r="F17" s="8" t="s">
        <v>47</v>
      </c>
      <c r="G17" s="8" t="s">
        <v>48</v>
      </c>
      <c r="H17" s="8" t="s">
        <v>49</v>
      </c>
      <c r="I17" s="8" t="s">
        <v>50</v>
      </c>
      <c r="J17" s="8" t="s">
        <v>51</v>
      </c>
      <c r="K17" s="9" t="s">
        <v>52</v>
      </c>
      <c r="L17" s="8" t="s">
        <v>53</v>
      </c>
      <c r="M17" s="8" t="s">
        <v>54</v>
      </c>
      <c r="N17" s="8" t="s">
        <v>137</v>
      </c>
      <c r="O17" s="8" t="s">
        <v>86</v>
      </c>
      <c r="P17" s="8" t="s">
        <v>152</v>
      </c>
      <c r="Q17" s="8" t="s">
        <v>153</v>
      </c>
      <c r="R17" s="8" t="s">
        <v>154</v>
      </c>
      <c r="S17" s="8" t="s">
        <v>155</v>
      </c>
      <c r="T17" s="10">
        <v>5.73178838936E11</v>
      </c>
      <c r="U17" s="8" t="s">
        <v>75</v>
      </c>
      <c r="V17" s="11"/>
      <c r="W17" s="11"/>
      <c r="X17" s="11"/>
      <c r="Y17" s="33">
        <v>45779.0</v>
      </c>
      <c r="Z17" s="13"/>
      <c r="AA17" s="13"/>
      <c r="AB17" s="13"/>
      <c r="AC17" s="13"/>
      <c r="AD17" s="13"/>
      <c r="AE17" s="13"/>
      <c r="AF17" s="14"/>
      <c r="AG17" s="14"/>
      <c r="AH17" s="15"/>
      <c r="AI17" s="16"/>
      <c r="AJ17" s="13"/>
      <c r="AK17" s="17"/>
      <c r="AL17" s="17"/>
      <c r="AM17" s="17"/>
      <c r="AN17" s="17"/>
      <c r="AO17" s="13"/>
      <c r="AP17" s="14"/>
    </row>
    <row r="18">
      <c r="A18" s="1" t="s">
        <v>156</v>
      </c>
      <c r="B18" s="2" t="s">
        <v>157</v>
      </c>
      <c r="C18" s="1" t="s">
        <v>44</v>
      </c>
      <c r="D18" s="1" t="s">
        <v>45</v>
      </c>
      <c r="E18" s="1" t="s">
        <v>46</v>
      </c>
      <c r="F18" s="1" t="s">
        <v>47</v>
      </c>
      <c r="G18" s="1" t="s">
        <v>48</v>
      </c>
      <c r="H18" s="1" t="s">
        <v>49</v>
      </c>
      <c r="I18" s="1" t="s">
        <v>50</v>
      </c>
      <c r="J18" s="1" t="s">
        <v>51</v>
      </c>
      <c r="K18" s="18" t="s">
        <v>52</v>
      </c>
      <c r="L18" s="1" t="s">
        <v>53</v>
      </c>
      <c r="M18" s="19" t="s">
        <v>69</v>
      </c>
      <c r="N18" s="19" t="s">
        <v>137</v>
      </c>
      <c r="O18" s="2" t="s">
        <v>70</v>
      </c>
      <c r="P18" s="25" t="s">
        <v>127</v>
      </c>
      <c r="Q18" s="26" t="s">
        <v>58</v>
      </c>
      <c r="R18" s="25" t="s">
        <v>158</v>
      </c>
      <c r="S18" s="25" t="s">
        <v>159</v>
      </c>
      <c r="T18" s="27">
        <v>5.73004556487E11</v>
      </c>
      <c r="U18" s="19" t="s">
        <v>61</v>
      </c>
      <c r="V18" s="23"/>
      <c r="W18" s="23"/>
      <c r="X18" s="23"/>
      <c r="Y18" s="24">
        <v>5.0</v>
      </c>
      <c r="Z18" s="13"/>
      <c r="AA18" s="13"/>
      <c r="AB18" s="13"/>
      <c r="AC18" s="13"/>
      <c r="AD18" s="13"/>
      <c r="AE18" s="13"/>
      <c r="AF18" s="14"/>
      <c r="AG18" s="14"/>
      <c r="AH18" s="15"/>
      <c r="AI18" s="16"/>
      <c r="AJ18" s="13"/>
      <c r="AK18" s="17"/>
      <c r="AL18" s="17"/>
      <c r="AM18" s="17"/>
      <c r="AN18" s="17"/>
      <c r="AO18" s="13"/>
      <c r="AP18" s="14"/>
    </row>
    <row r="19">
      <c r="A19" s="1" t="s">
        <v>160</v>
      </c>
      <c r="B19" s="2" t="s">
        <v>161</v>
      </c>
      <c r="C19" s="1" t="s">
        <v>44</v>
      </c>
      <c r="D19" s="1" t="s">
        <v>45</v>
      </c>
      <c r="E19" s="1" t="s">
        <v>46</v>
      </c>
      <c r="F19" s="1" t="s">
        <v>47</v>
      </c>
      <c r="G19" s="1" t="s">
        <v>48</v>
      </c>
      <c r="H19" s="1" t="s">
        <v>49</v>
      </c>
      <c r="I19" s="1" t="s">
        <v>50</v>
      </c>
      <c r="J19" s="1" t="s">
        <v>51</v>
      </c>
      <c r="K19" s="18" t="s">
        <v>52</v>
      </c>
      <c r="L19" s="1" t="s">
        <v>84</v>
      </c>
      <c r="M19" s="19" t="s">
        <v>69</v>
      </c>
      <c r="N19" s="19" t="s">
        <v>55</v>
      </c>
      <c r="O19" s="2" t="s">
        <v>70</v>
      </c>
      <c r="P19" s="25" t="s">
        <v>162</v>
      </c>
      <c r="Q19" s="26" t="s">
        <v>105</v>
      </c>
      <c r="R19" s="26" t="s">
        <v>163</v>
      </c>
      <c r="S19" s="25" t="s">
        <v>164</v>
      </c>
      <c r="T19" s="27">
        <v>5.73212045761E11</v>
      </c>
      <c r="U19" s="19" t="s">
        <v>75</v>
      </c>
      <c r="V19" s="23"/>
      <c r="W19" s="23"/>
      <c r="X19" s="23"/>
      <c r="Y19" s="24">
        <v>5.0</v>
      </c>
      <c r="Z19" s="13"/>
      <c r="AA19" s="13"/>
      <c r="AB19" s="13"/>
      <c r="AC19" s="13"/>
      <c r="AD19" s="13"/>
      <c r="AE19" s="13"/>
      <c r="AF19" s="14"/>
      <c r="AG19" s="14"/>
      <c r="AH19" s="15"/>
      <c r="AI19" s="16"/>
      <c r="AJ19" s="13"/>
      <c r="AK19" s="17"/>
      <c r="AL19" s="17"/>
      <c r="AM19" s="17"/>
      <c r="AN19" s="17"/>
      <c r="AO19" s="13"/>
      <c r="AP19" s="14"/>
    </row>
    <row r="20">
      <c r="A20" s="1" t="s">
        <v>165</v>
      </c>
      <c r="B20" s="2" t="s">
        <v>166</v>
      </c>
      <c r="C20" s="1" t="s">
        <v>44</v>
      </c>
      <c r="D20" s="1" t="s">
        <v>45</v>
      </c>
      <c r="E20" s="1" t="s">
        <v>46</v>
      </c>
      <c r="F20" s="1" t="s">
        <v>47</v>
      </c>
      <c r="G20" s="1" t="s">
        <v>48</v>
      </c>
      <c r="H20" s="1" t="s">
        <v>49</v>
      </c>
      <c r="I20" s="1" t="s">
        <v>50</v>
      </c>
      <c r="J20" s="1" t="s">
        <v>51</v>
      </c>
      <c r="K20" s="18" t="s">
        <v>52</v>
      </c>
      <c r="L20" s="1" t="s">
        <v>53</v>
      </c>
      <c r="M20" s="19" t="s">
        <v>69</v>
      </c>
      <c r="N20" s="19" t="s">
        <v>55</v>
      </c>
      <c r="O20" s="2" t="s">
        <v>70</v>
      </c>
      <c r="P20" s="25" t="s">
        <v>167</v>
      </c>
      <c r="Q20" s="26" t="s">
        <v>111</v>
      </c>
      <c r="R20" s="25" t="s">
        <v>168</v>
      </c>
      <c r="S20" s="25" t="s">
        <v>169</v>
      </c>
      <c r="T20" s="27">
        <v>3.104947675E9</v>
      </c>
      <c r="U20" s="19" t="s">
        <v>75</v>
      </c>
      <c r="V20" s="23"/>
      <c r="W20" s="23"/>
      <c r="X20" s="23"/>
      <c r="Y20" s="24">
        <v>5.0</v>
      </c>
      <c r="Z20" s="13"/>
      <c r="AA20" s="13"/>
      <c r="AB20" s="13"/>
      <c r="AC20" s="13"/>
      <c r="AD20" s="13"/>
      <c r="AE20" s="13"/>
      <c r="AF20" s="14"/>
      <c r="AG20" s="14"/>
      <c r="AH20" s="15"/>
      <c r="AI20" s="16"/>
      <c r="AJ20" s="13"/>
      <c r="AK20" s="17"/>
      <c r="AL20" s="17"/>
      <c r="AM20" s="17"/>
      <c r="AN20" s="17"/>
      <c r="AO20" s="13"/>
      <c r="AP20" s="14"/>
    </row>
    <row r="21">
      <c r="A21" s="1" t="s">
        <v>170</v>
      </c>
      <c r="B21" s="2" t="s">
        <v>171</v>
      </c>
      <c r="C21" s="1" t="s">
        <v>44</v>
      </c>
      <c r="D21" s="1" t="s">
        <v>45</v>
      </c>
      <c r="E21" s="1" t="s">
        <v>46</v>
      </c>
      <c r="F21" s="1" t="s">
        <v>47</v>
      </c>
      <c r="G21" s="1" t="s">
        <v>48</v>
      </c>
      <c r="H21" s="1" t="s">
        <v>49</v>
      </c>
      <c r="I21" s="1" t="s">
        <v>50</v>
      </c>
      <c r="J21" s="1" t="s">
        <v>51</v>
      </c>
      <c r="K21" s="18" t="s">
        <v>52</v>
      </c>
      <c r="L21" s="1" t="s">
        <v>53</v>
      </c>
      <c r="M21" s="19" t="s">
        <v>69</v>
      </c>
      <c r="N21" s="19" t="s">
        <v>55</v>
      </c>
      <c r="O21" s="2" t="s">
        <v>70</v>
      </c>
      <c r="P21" s="25" t="s">
        <v>172</v>
      </c>
      <c r="Q21" s="26" t="s">
        <v>94</v>
      </c>
      <c r="R21" s="25" t="s">
        <v>173</v>
      </c>
      <c r="S21" s="25" t="s">
        <v>174</v>
      </c>
      <c r="T21" s="27">
        <v>5.73012342996E11</v>
      </c>
      <c r="U21" s="19" t="s">
        <v>75</v>
      </c>
      <c r="V21" s="23"/>
      <c r="W21" s="23"/>
      <c r="X21" s="23"/>
      <c r="Y21" s="24">
        <v>5.0</v>
      </c>
      <c r="Z21" s="13"/>
      <c r="AA21" s="13"/>
      <c r="AB21" s="13"/>
      <c r="AC21" s="13"/>
      <c r="AD21" s="13"/>
      <c r="AE21" s="13"/>
      <c r="AF21" s="14"/>
      <c r="AG21" s="14"/>
      <c r="AH21" s="15"/>
      <c r="AI21" s="16"/>
      <c r="AJ21" s="13"/>
      <c r="AK21" s="17"/>
      <c r="AL21" s="17"/>
      <c r="AM21" s="17"/>
      <c r="AN21" s="17"/>
      <c r="AO21" s="13"/>
      <c r="AP21" s="14"/>
    </row>
    <row r="22">
      <c r="A22" s="1" t="s">
        <v>175</v>
      </c>
      <c r="B22" s="2" t="s">
        <v>176</v>
      </c>
      <c r="C22" s="1" t="s">
        <v>44</v>
      </c>
      <c r="D22" s="1" t="s">
        <v>45</v>
      </c>
      <c r="E22" s="1" t="s">
        <v>46</v>
      </c>
      <c r="F22" s="1" t="s">
        <v>47</v>
      </c>
      <c r="G22" s="1" t="s">
        <v>48</v>
      </c>
      <c r="H22" s="1" t="s">
        <v>49</v>
      </c>
      <c r="I22" s="1" t="s">
        <v>50</v>
      </c>
      <c r="J22" s="1" t="s">
        <v>51</v>
      </c>
      <c r="K22" s="18" t="s">
        <v>52</v>
      </c>
      <c r="L22" s="1" t="s">
        <v>84</v>
      </c>
      <c r="M22" s="19" t="s">
        <v>54</v>
      </c>
      <c r="N22" s="19" t="s">
        <v>85</v>
      </c>
      <c r="O22" s="2" t="s">
        <v>70</v>
      </c>
      <c r="P22" s="25" t="s">
        <v>177</v>
      </c>
      <c r="Q22" s="26" t="s">
        <v>111</v>
      </c>
      <c r="R22" s="25" t="s">
        <v>178</v>
      </c>
      <c r="S22" s="25" t="s">
        <v>179</v>
      </c>
      <c r="T22" s="27">
        <v>5.7322818361E11</v>
      </c>
      <c r="U22" s="19" t="s">
        <v>75</v>
      </c>
      <c r="V22" s="23"/>
      <c r="W22" s="23"/>
      <c r="X22" s="23"/>
      <c r="Y22" s="24">
        <v>5.0</v>
      </c>
      <c r="Z22" s="13"/>
      <c r="AA22" s="13"/>
      <c r="AB22" s="13"/>
      <c r="AC22" s="13"/>
      <c r="AD22" s="13"/>
      <c r="AE22" s="13"/>
      <c r="AF22" s="14"/>
      <c r="AG22" s="14"/>
      <c r="AH22" s="15"/>
      <c r="AI22" s="16"/>
      <c r="AJ22" s="13"/>
      <c r="AK22" s="17"/>
      <c r="AL22" s="17"/>
      <c r="AM22" s="17"/>
      <c r="AN22" s="17"/>
      <c r="AO22" s="13"/>
      <c r="AP22" s="14"/>
    </row>
    <row r="23">
      <c r="A23" s="1" t="s">
        <v>180</v>
      </c>
      <c r="B23" s="2" t="s">
        <v>181</v>
      </c>
      <c r="C23" s="1" t="s">
        <v>44</v>
      </c>
      <c r="D23" s="1" t="s">
        <v>45</v>
      </c>
      <c r="E23" s="1" t="s">
        <v>46</v>
      </c>
      <c r="F23" s="1" t="s">
        <v>47</v>
      </c>
      <c r="G23" s="1" t="s">
        <v>48</v>
      </c>
      <c r="H23" s="1" t="s">
        <v>49</v>
      </c>
      <c r="I23" s="1" t="s">
        <v>50</v>
      </c>
      <c r="J23" s="1" t="s">
        <v>51</v>
      </c>
      <c r="K23" s="18" t="s">
        <v>52</v>
      </c>
      <c r="L23" s="1" t="s">
        <v>53</v>
      </c>
      <c r="M23" s="19" t="s">
        <v>54</v>
      </c>
      <c r="N23" s="19" t="s">
        <v>137</v>
      </c>
      <c r="O23" s="2" t="s">
        <v>70</v>
      </c>
      <c r="P23" s="25" t="s">
        <v>182</v>
      </c>
      <c r="Q23" s="26" t="s">
        <v>183</v>
      </c>
      <c r="R23" s="25" t="s">
        <v>184</v>
      </c>
      <c r="S23" s="25" t="s">
        <v>185</v>
      </c>
      <c r="T23" s="27">
        <v>5.73017055806E11</v>
      </c>
      <c r="U23" s="19" t="s">
        <v>75</v>
      </c>
      <c r="V23" s="23"/>
      <c r="W23" s="23"/>
      <c r="X23" s="23"/>
      <c r="Y23" s="24">
        <v>5.0</v>
      </c>
      <c r="Z23" s="13"/>
      <c r="AA23" s="13"/>
      <c r="AB23" s="13"/>
      <c r="AC23" s="13"/>
      <c r="AD23" s="13"/>
      <c r="AE23" s="13"/>
      <c r="AF23" s="14"/>
      <c r="AG23" s="14"/>
      <c r="AH23" s="15"/>
      <c r="AI23" s="16"/>
      <c r="AJ23" s="13"/>
      <c r="AK23" s="17"/>
      <c r="AL23" s="17"/>
      <c r="AM23" s="17"/>
      <c r="AN23" s="17"/>
      <c r="AO23" s="13"/>
      <c r="AP23" s="14"/>
    </row>
    <row r="24">
      <c r="A24" s="1" t="s">
        <v>186</v>
      </c>
      <c r="B24" s="2" t="s">
        <v>187</v>
      </c>
      <c r="C24" s="1" t="s">
        <v>44</v>
      </c>
      <c r="D24" s="1" t="s">
        <v>45</v>
      </c>
      <c r="E24" s="1" t="s">
        <v>46</v>
      </c>
      <c r="F24" s="1" t="s">
        <v>47</v>
      </c>
      <c r="G24" s="1" t="s">
        <v>48</v>
      </c>
      <c r="H24" s="1" t="s">
        <v>49</v>
      </c>
      <c r="I24" s="1" t="s">
        <v>50</v>
      </c>
      <c r="J24" s="1" t="s">
        <v>51</v>
      </c>
      <c r="K24" s="18" t="s">
        <v>52</v>
      </c>
      <c r="L24" s="1" t="s">
        <v>53</v>
      </c>
      <c r="M24" s="19" t="s">
        <v>54</v>
      </c>
      <c r="N24" s="19" t="s">
        <v>55</v>
      </c>
      <c r="O24" s="2" t="s">
        <v>70</v>
      </c>
      <c r="P24" s="25" t="s">
        <v>188</v>
      </c>
      <c r="Q24" s="26" t="s">
        <v>94</v>
      </c>
      <c r="R24" s="25" t="s">
        <v>189</v>
      </c>
      <c r="S24" s="25" t="s">
        <v>190</v>
      </c>
      <c r="T24" s="27">
        <v>5.73023370536E11</v>
      </c>
      <c r="U24" s="19" t="s">
        <v>75</v>
      </c>
      <c r="V24" s="23"/>
      <c r="W24" s="23"/>
      <c r="X24" s="23"/>
      <c r="Y24" s="24">
        <v>5.0</v>
      </c>
      <c r="Z24" s="13"/>
      <c r="AA24" s="13"/>
      <c r="AB24" s="13"/>
      <c r="AC24" s="13"/>
      <c r="AD24" s="13"/>
      <c r="AE24" s="13"/>
      <c r="AF24" s="14"/>
      <c r="AG24" s="14"/>
      <c r="AH24" s="15"/>
      <c r="AI24" s="16"/>
      <c r="AJ24" s="13"/>
      <c r="AK24" s="17"/>
      <c r="AL24" s="17"/>
      <c r="AM24" s="17"/>
      <c r="AN24" s="17"/>
      <c r="AO24" s="13"/>
      <c r="AP24" s="14"/>
    </row>
    <row r="25">
      <c r="A25" s="1" t="s">
        <v>191</v>
      </c>
      <c r="B25" s="2" t="s">
        <v>192</v>
      </c>
      <c r="C25" s="1" t="s">
        <v>44</v>
      </c>
      <c r="D25" s="1" t="s">
        <v>45</v>
      </c>
      <c r="E25" s="1" t="s">
        <v>46</v>
      </c>
      <c r="F25" s="1" t="s">
        <v>47</v>
      </c>
      <c r="G25" s="1" t="s">
        <v>48</v>
      </c>
      <c r="H25" s="1" t="s">
        <v>49</v>
      </c>
      <c r="I25" s="1" t="s">
        <v>50</v>
      </c>
      <c r="J25" s="1" t="s">
        <v>51</v>
      </c>
      <c r="K25" s="18" t="s">
        <v>52</v>
      </c>
      <c r="L25" s="1" t="s">
        <v>53</v>
      </c>
      <c r="M25" s="19" t="s">
        <v>69</v>
      </c>
      <c r="N25" s="19" t="s">
        <v>55</v>
      </c>
      <c r="O25" s="2" t="s">
        <v>70</v>
      </c>
      <c r="P25" s="25" t="s">
        <v>141</v>
      </c>
      <c r="Q25" s="26" t="s">
        <v>111</v>
      </c>
      <c r="R25" s="25" t="s">
        <v>193</v>
      </c>
      <c r="S25" s="25" t="s">
        <v>194</v>
      </c>
      <c r="T25" s="27">
        <v>5.73106575733E11</v>
      </c>
      <c r="U25" s="19" t="s">
        <v>61</v>
      </c>
      <c r="V25" s="23"/>
      <c r="W25" s="23"/>
      <c r="X25" s="23"/>
      <c r="Y25" s="24">
        <v>5.0</v>
      </c>
      <c r="Z25" s="13"/>
      <c r="AA25" s="13"/>
      <c r="AB25" s="13"/>
      <c r="AC25" s="13"/>
      <c r="AD25" s="13"/>
      <c r="AE25" s="13"/>
      <c r="AF25" s="14"/>
      <c r="AG25" s="14"/>
      <c r="AH25" s="15"/>
      <c r="AI25" s="16"/>
      <c r="AJ25" s="13"/>
      <c r="AK25" s="17"/>
      <c r="AL25" s="17"/>
      <c r="AM25" s="17"/>
      <c r="AN25" s="17"/>
      <c r="AO25" s="13"/>
      <c r="AP25" s="14"/>
    </row>
    <row r="26">
      <c r="A26" s="1" t="s">
        <v>195</v>
      </c>
      <c r="B26" s="2" t="s">
        <v>196</v>
      </c>
      <c r="C26" s="1" t="s">
        <v>44</v>
      </c>
      <c r="D26" s="1" t="s">
        <v>45</v>
      </c>
      <c r="E26" s="1" t="s">
        <v>46</v>
      </c>
      <c r="F26" s="1" t="s">
        <v>47</v>
      </c>
      <c r="G26" s="1" t="s">
        <v>48</v>
      </c>
      <c r="H26" s="1" t="s">
        <v>49</v>
      </c>
      <c r="I26" s="1" t="s">
        <v>50</v>
      </c>
      <c r="J26" s="1" t="s">
        <v>51</v>
      </c>
      <c r="K26" s="18" t="s">
        <v>52</v>
      </c>
      <c r="L26" s="1" t="s">
        <v>53</v>
      </c>
      <c r="M26" s="19" t="s">
        <v>69</v>
      </c>
      <c r="N26" s="19" t="s">
        <v>137</v>
      </c>
      <c r="O26" s="2" t="s">
        <v>70</v>
      </c>
      <c r="P26" s="25" t="s">
        <v>197</v>
      </c>
      <c r="Q26" s="26" t="s">
        <v>111</v>
      </c>
      <c r="R26" s="25" t="s">
        <v>198</v>
      </c>
      <c r="S26" s="25" t="s">
        <v>199</v>
      </c>
      <c r="T26" s="27">
        <v>3.043327845E9</v>
      </c>
      <c r="U26" s="19" t="s">
        <v>75</v>
      </c>
      <c r="V26" s="23"/>
      <c r="W26" s="23"/>
      <c r="X26" s="23"/>
      <c r="Y26" s="24">
        <v>5.0</v>
      </c>
      <c r="Z26" s="28"/>
      <c r="AA26" s="28"/>
      <c r="AB26" s="28"/>
      <c r="AC26" s="28"/>
      <c r="AD26" s="28"/>
      <c r="AE26" s="28"/>
      <c r="AF26" s="29"/>
      <c r="AG26" s="29"/>
      <c r="AH26" s="30"/>
      <c r="AI26" s="31"/>
      <c r="AJ26" s="28"/>
      <c r="AK26" s="32"/>
      <c r="AL26" s="32"/>
      <c r="AM26" s="32"/>
      <c r="AN26" s="32"/>
      <c r="AO26" s="28"/>
      <c r="AP26" s="29"/>
    </row>
    <row r="27">
      <c r="A27" s="8" t="s">
        <v>200</v>
      </c>
      <c r="B27" s="8" t="s">
        <v>201</v>
      </c>
      <c r="C27" s="8" t="s">
        <v>44</v>
      </c>
      <c r="D27" s="8" t="s">
        <v>45</v>
      </c>
      <c r="E27" s="8" t="s">
        <v>46</v>
      </c>
      <c r="F27" s="8" t="s">
        <v>47</v>
      </c>
      <c r="G27" s="8" t="s">
        <v>48</v>
      </c>
      <c r="H27" s="8" t="s">
        <v>49</v>
      </c>
      <c r="I27" s="8" t="s">
        <v>50</v>
      </c>
      <c r="J27" s="8" t="s">
        <v>51</v>
      </c>
      <c r="K27" s="9" t="s">
        <v>52</v>
      </c>
      <c r="L27" s="8" t="s">
        <v>53</v>
      </c>
      <c r="M27" s="8" t="s">
        <v>54</v>
      </c>
      <c r="N27" s="8" t="s">
        <v>55</v>
      </c>
      <c r="O27" s="8" t="s">
        <v>56</v>
      </c>
      <c r="P27" s="8" t="s">
        <v>141</v>
      </c>
      <c r="Q27" s="9" t="s">
        <v>58</v>
      </c>
      <c r="R27" s="8" t="s">
        <v>202</v>
      </c>
      <c r="S27" s="8" t="s">
        <v>203</v>
      </c>
      <c r="T27" s="10">
        <v>5.73108311578E11</v>
      </c>
      <c r="U27" s="8" t="s">
        <v>61</v>
      </c>
      <c r="V27" s="11"/>
      <c r="W27" s="11"/>
      <c r="X27" s="11"/>
      <c r="Y27" s="12" t="s">
        <v>62</v>
      </c>
      <c r="Z27" s="34"/>
      <c r="AA27" s="34"/>
      <c r="AB27" s="34"/>
      <c r="AC27" s="34"/>
      <c r="AD27" s="34"/>
      <c r="AE27" s="34"/>
      <c r="AF27" s="35"/>
      <c r="AG27" s="35"/>
      <c r="AH27" s="36"/>
      <c r="AI27" s="37"/>
      <c r="AJ27" s="34"/>
      <c r="AK27" s="38"/>
      <c r="AL27" s="38"/>
      <c r="AM27" s="38"/>
      <c r="AN27" s="38"/>
      <c r="AO27" s="34"/>
      <c r="AP27" s="35"/>
    </row>
    <row r="28">
      <c r="A28" s="1" t="s">
        <v>204</v>
      </c>
      <c r="B28" s="2" t="s">
        <v>205</v>
      </c>
      <c r="C28" s="1" t="s">
        <v>44</v>
      </c>
      <c r="D28" s="1" t="s">
        <v>45</v>
      </c>
      <c r="E28" s="1" t="s">
        <v>46</v>
      </c>
      <c r="F28" s="1" t="s">
        <v>47</v>
      </c>
      <c r="G28" s="1" t="s">
        <v>48</v>
      </c>
      <c r="H28" s="1" t="s">
        <v>49</v>
      </c>
      <c r="I28" s="1" t="s">
        <v>50</v>
      </c>
      <c r="J28" s="1" t="s">
        <v>51</v>
      </c>
      <c r="K28" s="18" t="s">
        <v>52</v>
      </c>
      <c r="L28" s="1" t="s">
        <v>53</v>
      </c>
      <c r="M28" s="19" t="s">
        <v>54</v>
      </c>
      <c r="N28" s="19" t="s">
        <v>55</v>
      </c>
      <c r="O28" s="2" t="s">
        <v>70</v>
      </c>
      <c r="P28" s="25" t="s">
        <v>206</v>
      </c>
      <c r="Q28" s="26" t="s">
        <v>58</v>
      </c>
      <c r="R28" s="25" t="s">
        <v>207</v>
      </c>
      <c r="S28" s="25" t="s">
        <v>208</v>
      </c>
      <c r="T28" s="27">
        <v>5.73125758031E11</v>
      </c>
      <c r="U28" s="19" t="s">
        <v>61</v>
      </c>
      <c r="V28" s="23"/>
      <c r="W28" s="23"/>
      <c r="X28" s="23"/>
      <c r="Y28" s="24">
        <v>5.0</v>
      </c>
      <c r="Z28" s="28"/>
      <c r="AA28" s="28"/>
      <c r="AB28" s="28"/>
      <c r="AC28" s="28"/>
      <c r="AD28" s="28"/>
      <c r="AE28" s="28"/>
      <c r="AF28" s="29"/>
      <c r="AG28" s="29"/>
      <c r="AH28" s="30"/>
      <c r="AI28" s="31"/>
      <c r="AJ28" s="28"/>
      <c r="AK28" s="32"/>
      <c r="AL28" s="32"/>
      <c r="AM28" s="32"/>
      <c r="AN28" s="32"/>
      <c r="AO28" s="28"/>
      <c r="AP28" s="29"/>
    </row>
    <row r="29">
      <c r="A29" s="8" t="s">
        <v>209</v>
      </c>
      <c r="B29" s="8" t="s">
        <v>210</v>
      </c>
      <c r="C29" s="8" t="s">
        <v>44</v>
      </c>
      <c r="D29" s="8" t="s">
        <v>45</v>
      </c>
      <c r="E29" s="8" t="s">
        <v>46</v>
      </c>
      <c r="F29" s="8" t="s">
        <v>47</v>
      </c>
      <c r="G29" s="8" t="s">
        <v>48</v>
      </c>
      <c r="H29" s="8" t="s">
        <v>49</v>
      </c>
      <c r="I29" s="8" t="s">
        <v>50</v>
      </c>
      <c r="J29" s="8" t="s">
        <v>51</v>
      </c>
      <c r="K29" s="9" t="s">
        <v>52</v>
      </c>
      <c r="L29" s="8" t="s">
        <v>53</v>
      </c>
      <c r="M29" s="8" t="s">
        <v>54</v>
      </c>
      <c r="N29" s="8" t="s">
        <v>55</v>
      </c>
      <c r="O29" s="8" t="s">
        <v>86</v>
      </c>
      <c r="P29" s="8" t="s">
        <v>211</v>
      </c>
      <c r="Q29" s="9" t="s">
        <v>111</v>
      </c>
      <c r="R29" s="8" t="s">
        <v>212</v>
      </c>
      <c r="S29" s="8" t="s">
        <v>213</v>
      </c>
      <c r="T29" s="10">
        <v>5.73014499053E11</v>
      </c>
      <c r="U29" s="8" t="s">
        <v>61</v>
      </c>
      <c r="V29" s="11"/>
      <c r="W29" s="11"/>
      <c r="X29" s="11"/>
      <c r="Y29" s="33">
        <v>45779.0</v>
      </c>
      <c r="Z29" s="28"/>
      <c r="AA29" s="28"/>
      <c r="AB29" s="28"/>
      <c r="AC29" s="28"/>
      <c r="AD29" s="28"/>
      <c r="AE29" s="28"/>
      <c r="AF29" s="29"/>
      <c r="AG29" s="29"/>
      <c r="AH29" s="30"/>
      <c r="AI29" s="31"/>
      <c r="AJ29" s="28"/>
      <c r="AK29" s="32"/>
      <c r="AL29" s="32"/>
      <c r="AM29" s="32"/>
      <c r="AN29" s="32"/>
      <c r="AO29" s="28"/>
      <c r="AP29" s="29"/>
    </row>
    <row r="30">
      <c r="A30" s="1" t="s">
        <v>214</v>
      </c>
      <c r="B30" s="2" t="s">
        <v>215</v>
      </c>
      <c r="C30" s="1" t="s">
        <v>44</v>
      </c>
      <c r="D30" s="1" t="s">
        <v>45</v>
      </c>
      <c r="E30" s="1" t="s">
        <v>46</v>
      </c>
      <c r="F30" s="1" t="s">
        <v>47</v>
      </c>
      <c r="G30" s="1" t="s">
        <v>48</v>
      </c>
      <c r="H30" s="1" t="s">
        <v>49</v>
      </c>
      <c r="I30" s="1" t="s">
        <v>50</v>
      </c>
      <c r="J30" s="1" t="s">
        <v>51</v>
      </c>
      <c r="K30" s="18" t="s">
        <v>52</v>
      </c>
      <c r="L30" s="1" t="s">
        <v>53</v>
      </c>
      <c r="M30" s="19" t="s">
        <v>54</v>
      </c>
      <c r="N30" s="19" t="s">
        <v>55</v>
      </c>
      <c r="O30" s="2" t="s">
        <v>70</v>
      </c>
      <c r="P30" s="25" t="s">
        <v>211</v>
      </c>
      <c r="Q30" s="26" t="s">
        <v>94</v>
      </c>
      <c r="R30" s="25" t="s">
        <v>148</v>
      </c>
      <c r="S30" s="25" t="s">
        <v>216</v>
      </c>
      <c r="T30" s="27">
        <v>3.132793107E9</v>
      </c>
      <c r="U30" s="19" t="s">
        <v>75</v>
      </c>
      <c r="V30" s="23"/>
      <c r="W30" s="23"/>
      <c r="X30" s="23"/>
      <c r="Y30" s="24">
        <v>5.0</v>
      </c>
      <c r="Z30" s="13"/>
      <c r="AA30" s="13"/>
      <c r="AB30" s="13"/>
      <c r="AC30" s="13"/>
      <c r="AD30" s="13"/>
      <c r="AE30" s="13"/>
      <c r="AF30" s="14"/>
      <c r="AG30" s="14"/>
      <c r="AH30" s="15"/>
      <c r="AI30" s="16"/>
      <c r="AJ30" s="13"/>
      <c r="AK30" s="17"/>
      <c r="AL30" s="17"/>
      <c r="AM30" s="17"/>
      <c r="AN30" s="17"/>
      <c r="AO30" s="13"/>
      <c r="AP30" s="14"/>
    </row>
    <row r="31">
      <c r="A31" s="1" t="s">
        <v>217</v>
      </c>
      <c r="B31" s="2" t="s">
        <v>218</v>
      </c>
      <c r="C31" s="1" t="s">
        <v>44</v>
      </c>
      <c r="D31" s="1" t="s">
        <v>45</v>
      </c>
      <c r="E31" s="1" t="s">
        <v>46</v>
      </c>
      <c r="F31" s="1" t="s">
        <v>47</v>
      </c>
      <c r="G31" s="1" t="s">
        <v>48</v>
      </c>
      <c r="H31" s="1" t="s">
        <v>49</v>
      </c>
      <c r="I31" s="1" t="s">
        <v>50</v>
      </c>
      <c r="J31" s="1" t="s">
        <v>51</v>
      </c>
      <c r="K31" s="18" t="s">
        <v>52</v>
      </c>
      <c r="L31" s="1" t="s">
        <v>53</v>
      </c>
      <c r="M31" s="19" t="s">
        <v>69</v>
      </c>
      <c r="N31" s="19" t="s">
        <v>55</v>
      </c>
      <c r="O31" s="2" t="s">
        <v>70</v>
      </c>
      <c r="P31" s="25" t="s">
        <v>188</v>
      </c>
      <c r="Q31" s="26" t="s">
        <v>94</v>
      </c>
      <c r="R31" s="25" t="s">
        <v>79</v>
      </c>
      <c r="S31" s="25" t="s">
        <v>219</v>
      </c>
      <c r="T31" s="27">
        <v>5.73113756287E11</v>
      </c>
      <c r="U31" s="19" t="s">
        <v>75</v>
      </c>
      <c r="V31" s="23"/>
      <c r="W31" s="23"/>
      <c r="X31" s="23"/>
      <c r="Y31" s="24">
        <v>5.0</v>
      </c>
      <c r="Z31" s="28"/>
      <c r="AA31" s="28"/>
      <c r="AB31" s="28"/>
      <c r="AC31" s="28"/>
      <c r="AD31" s="28"/>
      <c r="AE31" s="28"/>
      <c r="AF31" s="28"/>
      <c r="AG31" s="29"/>
      <c r="AH31" s="30"/>
      <c r="AI31" s="39"/>
      <c r="AJ31" s="28"/>
      <c r="AK31" s="28"/>
      <c r="AL31" s="28"/>
      <c r="AM31" s="28"/>
      <c r="AN31" s="28"/>
      <c r="AO31" s="28"/>
      <c r="AP31" s="28"/>
    </row>
    <row r="32">
      <c r="A32" s="8" t="s">
        <v>220</v>
      </c>
      <c r="B32" s="8" t="s">
        <v>221</v>
      </c>
      <c r="C32" s="8" t="s">
        <v>44</v>
      </c>
      <c r="D32" s="8" t="s">
        <v>45</v>
      </c>
      <c r="E32" s="8" t="s">
        <v>46</v>
      </c>
      <c r="F32" s="8" t="s">
        <v>47</v>
      </c>
      <c r="G32" s="8" t="s">
        <v>48</v>
      </c>
      <c r="H32" s="8" t="s">
        <v>49</v>
      </c>
      <c r="I32" s="8" t="s">
        <v>50</v>
      </c>
      <c r="J32" s="8" t="s">
        <v>51</v>
      </c>
      <c r="K32" s="9" t="s">
        <v>52</v>
      </c>
      <c r="L32" s="8" t="s">
        <v>53</v>
      </c>
      <c r="M32" s="8" t="s">
        <v>54</v>
      </c>
      <c r="N32" s="8" t="s">
        <v>55</v>
      </c>
      <c r="O32" s="8" t="s">
        <v>86</v>
      </c>
      <c r="P32" s="8" t="s">
        <v>222</v>
      </c>
      <c r="Q32" s="9" t="s">
        <v>58</v>
      </c>
      <c r="R32" s="8" t="s">
        <v>223</v>
      </c>
      <c r="S32" s="8" t="s">
        <v>224</v>
      </c>
      <c r="T32" s="10">
        <v>5.73178361307E11</v>
      </c>
      <c r="U32" s="8" t="s">
        <v>225</v>
      </c>
      <c r="V32" s="11"/>
      <c r="W32" s="11"/>
      <c r="X32" s="11"/>
      <c r="Y32" s="33">
        <v>45779.0</v>
      </c>
      <c r="Z32" s="28"/>
      <c r="AA32" s="28"/>
      <c r="AB32" s="28"/>
      <c r="AC32" s="28"/>
      <c r="AD32" s="28"/>
      <c r="AE32" s="28"/>
      <c r="AF32" s="29"/>
      <c r="AG32" s="29"/>
      <c r="AH32" s="30"/>
      <c r="AI32" s="31"/>
      <c r="AJ32" s="28"/>
      <c r="AK32" s="32"/>
      <c r="AL32" s="32"/>
      <c r="AM32" s="32"/>
      <c r="AN32" s="32"/>
      <c r="AO32" s="28"/>
      <c r="AP32" s="29"/>
    </row>
    <row r="33">
      <c r="A33" s="1" t="s">
        <v>226</v>
      </c>
      <c r="B33" s="2" t="s">
        <v>227</v>
      </c>
      <c r="C33" s="1" t="s">
        <v>44</v>
      </c>
      <c r="D33" s="1" t="s">
        <v>45</v>
      </c>
      <c r="E33" s="1" t="s">
        <v>46</v>
      </c>
      <c r="F33" s="1" t="s">
        <v>47</v>
      </c>
      <c r="G33" s="1" t="s">
        <v>48</v>
      </c>
      <c r="H33" s="1" t="s">
        <v>49</v>
      </c>
      <c r="I33" s="1" t="s">
        <v>50</v>
      </c>
      <c r="J33" s="1" t="s">
        <v>51</v>
      </c>
      <c r="K33" s="18" t="s">
        <v>52</v>
      </c>
      <c r="L33" s="1" t="s">
        <v>53</v>
      </c>
      <c r="M33" s="19" t="s">
        <v>54</v>
      </c>
      <c r="N33" s="19" t="s">
        <v>55</v>
      </c>
      <c r="O33" s="2" t="s">
        <v>70</v>
      </c>
      <c r="P33" s="25" t="s">
        <v>132</v>
      </c>
      <c r="Q33" s="26" t="s">
        <v>58</v>
      </c>
      <c r="R33" s="25" t="s">
        <v>228</v>
      </c>
      <c r="S33" s="25" t="s">
        <v>229</v>
      </c>
      <c r="T33" s="27">
        <v>5.73122908465E11</v>
      </c>
      <c r="U33" s="19" t="s">
        <v>75</v>
      </c>
      <c r="V33" s="23"/>
      <c r="W33" s="23"/>
      <c r="X33" s="23"/>
      <c r="Y33" s="24">
        <v>5.0</v>
      </c>
      <c r="Z33" s="28"/>
      <c r="AA33" s="28"/>
      <c r="AB33" s="28"/>
      <c r="AC33" s="28"/>
      <c r="AD33" s="28"/>
      <c r="AE33" s="28"/>
      <c r="AF33" s="29"/>
      <c r="AG33" s="29"/>
      <c r="AH33" s="30"/>
      <c r="AI33" s="31"/>
      <c r="AJ33" s="28"/>
      <c r="AK33" s="32"/>
      <c r="AL33" s="32"/>
      <c r="AM33" s="32"/>
      <c r="AN33" s="32"/>
      <c r="AO33" s="28"/>
      <c r="AP33" s="29"/>
    </row>
    <row r="34">
      <c r="A34" s="1" t="s">
        <v>230</v>
      </c>
      <c r="B34" s="2" t="s">
        <v>231</v>
      </c>
      <c r="C34" s="1" t="s">
        <v>44</v>
      </c>
      <c r="D34" s="1" t="s">
        <v>45</v>
      </c>
      <c r="E34" s="1" t="s">
        <v>46</v>
      </c>
      <c r="F34" s="1" t="s">
        <v>47</v>
      </c>
      <c r="G34" s="1" t="s">
        <v>48</v>
      </c>
      <c r="H34" s="1" t="s">
        <v>49</v>
      </c>
      <c r="I34" s="1" t="s">
        <v>50</v>
      </c>
      <c r="J34" s="1" t="s">
        <v>51</v>
      </c>
      <c r="K34" s="18" t="s">
        <v>52</v>
      </c>
      <c r="L34" s="1" t="s">
        <v>53</v>
      </c>
      <c r="M34" s="19" t="s">
        <v>69</v>
      </c>
      <c r="N34" s="19" t="s">
        <v>55</v>
      </c>
      <c r="O34" s="2" t="s">
        <v>70</v>
      </c>
      <c r="P34" s="25" t="s">
        <v>232</v>
      </c>
      <c r="Q34" s="26" t="s">
        <v>111</v>
      </c>
      <c r="R34" s="25" t="s">
        <v>198</v>
      </c>
      <c r="S34" s="25" t="s">
        <v>233</v>
      </c>
      <c r="T34" s="27">
        <v>5.73013666575E11</v>
      </c>
      <c r="U34" s="19" t="s">
        <v>75</v>
      </c>
      <c r="V34" s="23"/>
      <c r="W34" s="23"/>
      <c r="X34" s="23"/>
      <c r="Y34" s="24">
        <v>5.0</v>
      </c>
      <c r="Z34" s="28"/>
      <c r="AA34" s="28"/>
      <c r="AB34" s="28"/>
      <c r="AC34" s="28"/>
      <c r="AD34" s="28"/>
      <c r="AE34" s="28"/>
      <c r="AF34" s="29"/>
      <c r="AG34" s="29"/>
      <c r="AH34" s="30"/>
      <c r="AI34" s="31"/>
      <c r="AJ34" s="28"/>
      <c r="AK34" s="32"/>
      <c r="AL34" s="32"/>
      <c r="AM34" s="32"/>
      <c r="AN34" s="32"/>
      <c r="AO34" s="28"/>
      <c r="AP34" s="29"/>
    </row>
    <row r="35">
      <c r="A35" s="1" t="s">
        <v>234</v>
      </c>
      <c r="B35" s="2" t="s">
        <v>235</v>
      </c>
      <c r="C35" s="1" t="s">
        <v>44</v>
      </c>
      <c r="D35" s="1" t="s">
        <v>45</v>
      </c>
      <c r="E35" s="1" t="s">
        <v>46</v>
      </c>
      <c r="F35" s="1" t="s">
        <v>47</v>
      </c>
      <c r="G35" s="1" t="s">
        <v>48</v>
      </c>
      <c r="H35" s="1" t="s">
        <v>49</v>
      </c>
      <c r="I35" s="1" t="s">
        <v>50</v>
      </c>
      <c r="J35" s="1" t="s">
        <v>51</v>
      </c>
      <c r="K35" s="18" t="s">
        <v>52</v>
      </c>
      <c r="L35" s="1" t="s">
        <v>53</v>
      </c>
      <c r="M35" s="19" t="s">
        <v>69</v>
      </c>
      <c r="N35" s="19" t="s">
        <v>55</v>
      </c>
      <c r="O35" s="2" t="s">
        <v>70</v>
      </c>
      <c r="P35" s="25" t="s">
        <v>152</v>
      </c>
      <c r="Q35" s="26" t="s">
        <v>111</v>
      </c>
      <c r="R35" s="25" t="s">
        <v>236</v>
      </c>
      <c r="S35" s="25" t="s">
        <v>237</v>
      </c>
      <c r="T35" s="27" t="s">
        <v>238</v>
      </c>
      <c r="U35" s="19" t="s">
        <v>61</v>
      </c>
      <c r="V35" s="23"/>
      <c r="W35" s="23"/>
      <c r="X35" s="23"/>
      <c r="Y35" s="24">
        <v>5.0</v>
      </c>
      <c r="Z35" s="28"/>
      <c r="AA35" s="28"/>
      <c r="AB35" s="28"/>
      <c r="AC35" s="28"/>
      <c r="AD35" s="28"/>
      <c r="AE35" s="28"/>
      <c r="AF35" s="29"/>
      <c r="AG35" s="29"/>
      <c r="AH35" s="30"/>
      <c r="AI35" s="31"/>
      <c r="AJ35" s="28"/>
      <c r="AK35" s="32"/>
      <c r="AL35" s="32"/>
      <c r="AM35" s="32"/>
      <c r="AN35" s="32"/>
      <c r="AO35" s="28"/>
      <c r="AP35" s="29"/>
    </row>
    <row r="36">
      <c r="A36" s="1" t="s">
        <v>239</v>
      </c>
      <c r="B36" s="2" t="s">
        <v>240</v>
      </c>
      <c r="C36" s="1" t="s">
        <v>44</v>
      </c>
      <c r="D36" s="1" t="s">
        <v>45</v>
      </c>
      <c r="E36" s="1" t="s">
        <v>46</v>
      </c>
      <c r="F36" s="1" t="s">
        <v>47</v>
      </c>
      <c r="G36" s="1" t="s">
        <v>48</v>
      </c>
      <c r="H36" s="1" t="s">
        <v>49</v>
      </c>
      <c r="I36" s="1" t="s">
        <v>50</v>
      </c>
      <c r="J36" s="1" t="s">
        <v>51</v>
      </c>
      <c r="K36" s="18" t="s">
        <v>52</v>
      </c>
      <c r="L36" s="1" t="s">
        <v>53</v>
      </c>
      <c r="M36" s="8" t="s">
        <v>54</v>
      </c>
      <c r="N36" s="8" t="s">
        <v>55</v>
      </c>
      <c r="O36" s="8" t="s">
        <v>86</v>
      </c>
      <c r="P36" s="8" t="s">
        <v>241</v>
      </c>
      <c r="Q36" s="9" t="s">
        <v>122</v>
      </c>
      <c r="R36" s="8" t="s">
        <v>242</v>
      </c>
      <c r="S36" s="8" t="s">
        <v>243</v>
      </c>
      <c r="T36" s="10">
        <v>5.73154145906E11</v>
      </c>
      <c r="U36" s="19" t="s">
        <v>75</v>
      </c>
      <c r="V36" s="23"/>
      <c r="W36" s="23"/>
      <c r="X36" s="23"/>
      <c r="Y36" s="33">
        <v>45779.0</v>
      </c>
      <c r="Z36" s="40"/>
      <c r="AA36" s="40"/>
      <c r="AB36" s="40"/>
      <c r="AC36" s="40"/>
      <c r="AD36" s="40"/>
      <c r="AE36" s="40"/>
      <c r="AF36" s="41"/>
      <c r="AG36" s="41"/>
      <c r="AH36" s="42"/>
      <c r="AI36" s="42"/>
      <c r="AJ36" s="40"/>
      <c r="AK36" s="43"/>
      <c r="AL36" s="43"/>
      <c r="AM36" s="43"/>
      <c r="AN36" s="43"/>
      <c r="AO36" s="40"/>
      <c r="AP36" s="41"/>
    </row>
    <row r="37">
      <c r="A37" s="1" t="s">
        <v>244</v>
      </c>
      <c r="B37" s="2" t="s">
        <v>245</v>
      </c>
      <c r="C37" s="1" t="s">
        <v>44</v>
      </c>
      <c r="D37" s="1" t="s">
        <v>45</v>
      </c>
      <c r="E37" s="1" t="s">
        <v>46</v>
      </c>
      <c r="F37" s="1" t="s">
        <v>47</v>
      </c>
      <c r="G37" s="1" t="s">
        <v>48</v>
      </c>
      <c r="H37" s="1" t="s">
        <v>49</v>
      </c>
      <c r="I37" s="1" t="s">
        <v>50</v>
      </c>
      <c r="J37" s="1" t="s">
        <v>51</v>
      </c>
      <c r="K37" s="18" t="s">
        <v>52</v>
      </c>
      <c r="L37" s="1" t="s">
        <v>53</v>
      </c>
      <c r="M37" s="19" t="s">
        <v>69</v>
      </c>
      <c r="N37" s="19" t="s">
        <v>55</v>
      </c>
      <c r="O37" s="44" t="s">
        <v>70</v>
      </c>
      <c r="P37" s="25" t="s">
        <v>246</v>
      </c>
      <c r="Q37" s="25" t="s">
        <v>247</v>
      </c>
      <c r="R37" s="25" t="s">
        <v>248</v>
      </c>
      <c r="S37" s="25" t="s">
        <v>249</v>
      </c>
      <c r="T37" s="27">
        <v>5.7315616162E11</v>
      </c>
      <c r="U37" s="19" t="s">
        <v>61</v>
      </c>
      <c r="V37" s="23"/>
      <c r="W37" s="23"/>
      <c r="X37" s="23"/>
      <c r="Y37" s="45">
        <v>5.0</v>
      </c>
      <c r="Z37" s="28"/>
      <c r="AA37" s="28"/>
      <c r="AB37" s="28"/>
      <c r="AC37" s="28"/>
      <c r="AD37" s="28"/>
      <c r="AE37" s="28"/>
      <c r="AF37" s="29"/>
      <c r="AG37" s="29"/>
      <c r="AH37" s="30"/>
      <c r="AI37" s="31"/>
      <c r="AJ37" s="28"/>
      <c r="AK37" s="32"/>
      <c r="AL37" s="32"/>
      <c r="AM37" s="32"/>
      <c r="AN37" s="32"/>
      <c r="AO37" s="28"/>
      <c r="AP37" s="29"/>
    </row>
    <row r="38">
      <c r="A38" s="1" t="s">
        <v>250</v>
      </c>
      <c r="B38" s="2" t="s">
        <v>251</v>
      </c>
      <c r="C38" s="1" t="s">
        <v>44</v>
      </c>
      <c r="D38" s="1" t="s">
        <v>45</v>
      </c>
      <c r="E38" s="1" t="s">
        <v>46</v>
      </c>
      <c r="F38" s="1" t="s">
        <v>47</v>
      </c>
      <c r="G38" s="1" t="s">
        <v>48</v>
      </c>
      <c r="H38" s="1" t="s">
        <v>49</v>
      </c>
      <c r="I38" s="1" t="s">
        <v>50</v>
      </c>
      <c r="J38" s="1" t="s">
        <v>51</v>
      </c>
      <c r="K38" s="18" t="s">
        <v>52</v>
      </c>
      <c r="L38" s="1" t="s">
        <v>53</v>
      </c>
      <c r="M38" s="19" t="s">
        <v>69</v>
      </c>
      <c r="N38" s="19" t="s">
        <v>55</v>
      </c>
      <c r="O38" s="44" t="s">
        <v>70</v>
      </c>
      <c r="P38" s="25" t="s">
        <v>57</v>
      </c>
      <c r="Q38" s="26" t="s">
        <v>111</v>
      </c>
      <c r="R38" s="25" t="s">
        <v>173</v>
      </c>
      <c r="S38" s="25" t="s">
        <v>252</v>
      </c>
      <c r="T38" s="27">
        <v>3.04290546E9</v>
      </c>
      <c r="U38" s="19" t="s">
        <v>61</v>
      </c>
      <c r="V38" s="23"/>
      <c r="W38" s="23"/>
      <c r="X38" s="23"/>
      <c r="Y38" s="45">
        <v>5.0</v>
      </c>
      <c r="Z38" s="28"/>
      <c r="AA38" s="28"/>
      <c r="AB38" s="28"/>
      <c r="AC38" s="28"/>
      <c r="AD38" s="28"/>
      <c r="AE38" s="28"/>
      <c r="AF38" s="29"/>
      <c r="AG38" s="29"/>
      <c r="AH38" s="30"/>
      <c r="AI38" s="31"/>
      <c r="AJ38" s="28"/>
      <c r="AK38" s="32"/>
      <c r="AL38" s="32"/>
      <c r="AM38" s="32"/>
      <c r="AN38" s="32"/>
      <c r="AO38" s="28"/>
      <c r="AP38" s="29"/>
    </row>
    <row r="39">
      <c r="A39" s="1" t="s">
        <v>253</v>
      </c>
      <c r="B39" s="2" t="s">
        <v>254</v>
      </c>
      <c r="C39" s="1" t="s">
        <v>44</v>
      </c>
      <c r="D39" s="1" t="s">
        <v>45</v>
      </c>
      <c r="E39" s="1" t="s">
        <v>46</v>
      </c>
      <c r="F39" s="1" t="s">
        <v>47</v>
      </c>
      <c r="G39" s="1" t="s">
        <v>48</v>
      </c>
      <c r="H39" s="1" t="s">
        <v>49</v>
      </c>
      <c r="I39" s="1" t="s">
        <v>50</v>
      </c>
      <c r="J39" s="1" t="s">
        <v>51</v>
      </c>
      <c r="K39" s="18" t="s">
        <v>52</v>
      </c>
      <c r="L39" s="1" t="s">
        <v>53</v>
      </c>
      <c r="M39" s="46" t="s">
        <v>54</v>
      </c>
      <c r="N39" s="46" t="s">
        <v>85</v>
      </c>
      <c r="O39" s="47" t="s">
        <v>86</v>
      </c>
      <c r="P39" s="8" t="s">
        <v>255</v>
      </c>
      <c r="Q39" s="9" t="s">
        <v>111</v>
      </c>
      <c r="R39" s="8" t="s">
        <v>256</v>
      </c>
      <c r="S39" s="8" t="s">
        <v>257</v>
      </c>
      <c r="T39" s="10">
        <v>5.73105962676E11</v>
      </c>
      <c r="U39" s="19" t="s">
        <v>61</v>
      </c>
      <c r="V39" s="23"/>
      <c r="W39" s="23"/>
      <c r="X39" s="23"/>
      <c r="Y39" s="48">
        <v>45779.0</v>
      </c>
      <c r="Z39" s="28"/>
      <c r="AA39" s="28"/>
      <c r="AB39" s="28"/>
      <c r="AC39" s="28"/>
      <c r="AD39" s="28"/>
      <c r="AE39" s="28"/>
      <c r="AF39" s="29"/>
      <c r="AG39" s="29"/>
      <c r="AH39" s="30"/>
      <c r="AI39" s="31"/>
      <c r="AJ39" s="28"/>
      <c r="AK39" s="32"/>
      <c r="AL39" s="32"/>
      <c r="AM39" s="32"/>
      <c r="AN39" s="32"/>
      <c r="AO39" s="28"/>
      <c r="AP39" s="29"/>
    </row>
    <row r="40">
      <c r="A40" s="1" t="s">
        <v>258</v>
      </c>
      <c r="B40" s="2" t="s">
        <v>259</v>
      </c>
      <c r="C40" s="1" t="s">
        <v>44</v>
      </c>
      <c r="D40" s="1" t="s">
        <v>45</v>
      </c>
      <c r="E40" s="1" t="s">
        <v>46</v>
      </c>
      <c r="F40" s="1" t="s">
        <v>47</v>
      </c>
      <c r="G40" s="1" t="s">
        <v>48</v>
      </c>
      <c r="H40" s="1" t="s">
        <v>49</v>
      </c>
      <c r="I40" s="1" t="s">
        <v>50</v>
      </c>
      <c r="J40" s="1" t="s">
        <v>51</v>
      </c>
      <c r="K40" s="18" t="s">
        <v>52</v>
      </c>
      <c r="L40" s="1" t="s">
        <v>53</v>
      </c>
      <c r="M40" s="19" t="s">
        <v>69</v>
      </c>
      <c r="N40" s="19" t="s">
        <v>55</v>
      </c>
      <c r="O40" s="44" t="s">
        <v>70</v>
      </c>
      <c r="P40" s="25" t="s">
        <v>260</v>
      </c>
      <c r="Q40" s="26" t="s">
        <v>94</v>
      </c>
      <c r="R40" s="25" t="s">
        <v>261</v>
      </c>
      <c r="S40" s="25" t="s">
        <v>262</v>
      </c>
      <c r="T40" s="27">
        <v>5.73205404055E11</v>
      </c>
      <c r="U40" s="19" t="s">
        <v>61</v>
      </c>
      <c r="V40" s="23"/>
      <c r="W40" s="23"/>
      <c r="X40" s="23"/>
      <c r="Y40" s="45">
        <v>5.0</v>
      </c>
      <c r="Z40" s="28"/>
      <c r="AA40" s="28"/>
      <c r="AB40" s="28"/>
      <c r="AC40" s="28"/>
      <c r="AD40" s="28"/>
      <c r="AE40" s="28"/>
      <c r="AF40" s="29"/>
      <c r="AG40" s="29"/>
      <c r="AH40" s="30"/>
      <c r="AI40" s="31"/>
      <c r="AJ40" s="28"/>
      <c r="AK40" s="32"/>
      <c r="AL40" s="32"/>
      <c r="AM40" s="32"/>
      <c r="AN40" s="32"/>
      <c r="AO40" s="28"/>
      <c r="AP40" s="29"/>
    </row>
    <row r="41">
      <c r="A41" s="1" t="s">
        <v>263</v>
      </c>
      <c r="B41" s="2" t="s">
        <v>264</v>
      </c>
      <c r="C41" s="1" t="s">
        <v>44</v>
      </c>
      <c r="D41" s="1" t="s">
        <v>45</v>
      </c>
      <c r="E41" s="1" t="s">
        <v>46</v>
      </c>
      <c r="F41" s="1" t="s">
        <v>47</v>
      </c>
      <c r="G41" s="1" t="s">
        <v>48</v>
      </c>
      <c r="H41" s="1" t="s">
        <v>49</v>
      </c>
      <c r="I41" s="1" t="s">
        <v>50</v>
      </c>
      <c r="J41" s="1" t="s">
        <v>51</v>
      </c>
      <c r="K41" s="18" t="s">
        <v>52</v>
      </c>
      <c r="L41" s="1" t="s">
        <v>53</v>
      </c>
      <c r="M41" s="19" t="s">
        <v>69</v>
      </c>
      <c r="N41" s="19" t="s">
        <v>55</v>
      </c>
      <c r="O41" s="44" t="s">
        <v>70</v>
      </c>
      <c r="P41" s="25" t="s">
        <v>132</v>
      </c>
      <c r="Q41" s="26" t="s">
        <v>111</v>
      </c>
      <c r="R41" s="25" t="s">
        <v>256</v>
      </c>
      <c r="S41" s="25" t="s">
        <v>265</v>
      </c>
      <c r="T41" s="27">
        <v>5.73164986615E11</v>
      </c>
      <c r="U41" s="19" t="s">
        <v>75</v>
      </c>
      <c r="V41" s="23"/>
      <c r="W41" s="23"/>
      <c r="X41" s="23"/>
      <c r="Y41" s="45">
        <v>5.0</v>
      </c>
      <c r="Z41" s="49"/>
      <c r="AA41" s="49"/>
      <c r="AB41" s="49"/>
      <c r="AC41" s="49"/>
      <c r="AD41" s="49"/>
      <c r="AE41" s="49"/>
      <c r="AF41" s="50"/>
      <c r="AG41" s="50"/>
      <c r="AH41" s="51"/>
      <c r="AI41" s="51"/>
      <c r="AJ41" s="49"/>
      <c r="AK41" s="52"/>
      <c r="AL41" s="52"/>
      <c r="AM41" s="52"/>
      <c r="AN41" s="52"/>
      <c r="AO41" s="49"/>
      <c r="AP41" s="50"/>
    </row>
    <row r="42">
      <c r="A42" s="1" t="s">
        <v>266</v>
      </c>
      <c r="B42" s="2" t="s">
        <v>267</v>
      </c>
      <c r="C42" s="1" t="s">
        <v>44</v>
      </c>
      <c r="D42" s="1" t="s">
        <v>45</v>
      </c>
      <c r="E42" s="1" t="s">
        <v>46</v>
      </c>
      <c r="F42" s="1" t="s">
        <v>47</v>
      </c>
      <c r="G42" s="1" t="s">
        <v>48</v>
      </c>
      <c r="H42" s="1" t="s">
        <v>49</v>
      </c>
      <c r="I42" s="1" t="s">
        <v>50</v>
      </c>
      <c r="J42" s="1" t="s">
        <v>51</v>
      </c>
      <c r="K42" s="18" t="s">
        <v>52</v>
      </c>
      <c r="L42" s="1" t="s">
        <v>53</v>
      </c>
      <c r="M42" s="19" t="s">
        <v>69</v>
      </c>
      <c r="N42" s="19" t="s">
        <v>55</v>
      </c>
      <c r="O42" s="44" t="s">
        <v>70</v>
      </c>
      <c r="P42" s="25" t="s">
        <v>211</v>
      </c>
      <c r="Q42" s="26" t="s">
        <v>94</v>
      </c>
      <c r="R42" s="25" t="s">
        <v>154</v>
      </c>
      <c r="S42" s="25" t="s">
        <v>268</v>
      </c>
      <c r="T42" s="27">
        <v>5.73004816339E11</v>
      </c>
      <c r="U42" s="19" t="s">
        <v>61</v>
      </c>
      <c r="V42" s="23"/>
      <c r="W42" s="23"/>
      <c r="X42" s="23"/>
      <c r="Y42" s="45">
        <v>5.0</v>
      </c>
      <c r="Z42" s="28"/>
      <c r="AA42" s="28"/>
      <c r="AB42" s="28"/>
      <c r="AC42" s="28"/>
      <c r="AD42" s="28"/>
      <c r="AE42" s="28"/>
      <c r="AF42" s="29"/>
      <c r="AG42" s="29"/>
      <c r="AH42" s="30"/>
      <c r="AI42" s="31"/>
      <c r="AJ42" s="28"/>
      <c r="AK42" s="32"/>
      <c r="AL42" s="32"/>
      <c r="AM42" s="32"/>
      <c r="AN42" s="32"/>
      <c r="AO42" s="28"/>
      <c r="AP42" s="29"/>
    </row>
    <row r="43">
      <c r="A43" s="1" t="s">
        <v>269</v>
      </c>
      <c r="B43" s="2" t="s">
        <v>270</v>
      </c>
      <c r="C43" s="1" t="s">
        <v>44</v>
      </c>
      <c r="D43" s="1" t="s">
        <v>45</v>
      </c>
      <c r="E43" s="1" t="s">
        <v>46</v>
      </c>
      <c r="F43" s="1" t="s">
        <v>47</v>
      </c>
      <c r="G43" s="1" t="s">
        <v>48</v>
      </c>
      <c r="H43" s="1" t="s">
        <v>49</v>
      </c>
      <c r="I43" s="1" t="s">
        <v>50</v>
      </c>
      <c r="J43" s="1" t="s">
        <v>51</v>
      </c>
      <c r="K43" s="18" t="s">
        <v>52</v>
      </c>
      <c r="L43" s="1" t="s">
        <v>53</v>
      </c>
      <c r="M43" s="19" t="s">
        <v>69</v>
      </c>
      <c r="N43" s="19" t="s">
        <v>55</v>
      </c>
      <c r="O43" s="44" t="s">
        <v>70</v>
      </c>
      <c r="P43" s="20" t="s">
        <v>271</v>
      </c>
      <c r="Q43" s="21" t="s">
        <v>58</v>
      </c>
      <c r="R43" s="20" t="s">
        <v>272</v>
      </c>
      <c r="S43" s="20" t="s">
        <v>273</v>
      </c>
      <c r="T43" s="22">
        <v>5.73003936209E11</v>
      </c>
      <c r="U43" s="19" t="s">
        <v>75</v>
      </c>
      <c r="V43" s="23"/>
      <c r="W43" s="23"/>
      <c r="X43" s="23"/>
      <c r="Y43" s="45">
        <v>5.0</v>
      </c>
      <c r="Z43" s="28"/>
      <c r="AA43" s="28"/>
      <c r="AB43" s="28"/>
      <c r="AC43" s="28"/>
      <c r="AD43" s="28"/>
      <c r="AE43" s="28"/>
      <c r="AF43" s="29"/>
      <c r="AG43" s="29"/>
      <c r="AH43" s="30"/>
      <c r="AI43" s="31"/>
      <c r="AJ43" s="28"/>
      <c r="AK43" s="32"/>
      <c r="AL43" s="32"/>
      <c r="AM43" s="32"/>
      <c r="AN43" s="32"/>
      <c r="AO43" s="28"/>
      <c r="AP43" s="29"/>
    </row>
    <row r="44">
      <c r="A44" s="1" t="s">
        <v>274</v>
      </c>
      <c r="B44" s="2" t="s">
        <v>275</v>
      </c>
      <c r="C44" s="1" t="s">
        <v>44</v>
      </c>
      <c r="D44" s="1" t="s">
        <v>45</v>
      </c>
      <c r="E44" s="1" t="s">
        <v>46</v>
      </c>
      <c r="F44" s="1" t="s">
        <v>47</v>
      </c>
      <c r="G44" s="1" t="s">
        <v>48</v>
      </c>
      <c r="H44" s="1" t="s">
        <v>276</v>
      </c>
      <c r="I44" s="1" t="s">
        <v>50</v>
      </c>
      <c r="J44" s="1" t="s">
        <v>51</v>
      </c>
      <c r="K44" s="18" t="s">
        <v>52</v>
      </c>
      <c r="L44" s="1" t="s">
        <v>53</v>
      </c>
      <c r="M44" s="19" t="s">
        <v>54</v>
      </c>
      <c r="N44" s="19" t="s">
        <v>55</v>
      </c>
      <c r="O44" s="44" t="s">
        <v>70</v>
      </c>
      <c r="P44" s="25" t="s">
        <v>277</v>
      </c>
      <c r="Q44" s="26" t="s">
        <v>72</v>
      </c>
      <c r="R44" s="25" t="s">
        <v>278</v>
      </c>
      <c r="S44" s="25" t="s">
        <v>279</v>
      </c>
      <c r="T44" s="27">
        <v>5.73214433782E11</v>
      </c>
      <c r="U44" s="19" t="s">
        <v>75</v>
      </c>
      <c r="V44" s="23"/>
      <c r="W44" s="23"/>
      <c r="X44" s="23"/>
      <c r="Y44" s="45">
        <v>5.0</v>
      </c>
      <c r="Z44" s="28"/>
      <c r="AA44" s="28"/>
      <c r="AB44" s="28"/>
      <c r="AC44" s="28"/>
      <c r="AD44" s="28"/>
      <c r="AE44" s="28"/>
      <c r="AF44" s="29"/>
      <c r="AG44" s="29"/>
      <c r="AH44" s="30"/>
      <c r="AI44" s="31"/>
      <c r="AJ44" s="28"/>
      <c r="AK44" s="32"/>
      <c r="AL44" s="32"/>
      <c r="AM44" s="32"/>
      <c r="AN44" s="32"/>
      <c r="AO44" s="28"/>
      <c r="AP44" s="29"/>
    </row>
    <row r="45">
      <c r="A45" s="1" t="s">
        <v>280</v>
      </c>
      <c r="B45" s="2" t="s">
        <v>281</v>
      </c>
      <c r="C45" s="1" t="s">
        <v>44</v>
      </c>
      <c r="D45" s="1" t="s">
        <v>45</v>
      </c>
      <c r="E45" s="1" t="s">
        <v>46</v>
      </c>
      <c r="F45" s="1" t="s">
        <v>47</v>
      </c>
      <c r="G45" s="1" t="s">
        <v>48</v>
      </c>
      <c r="H45" s="1" t="s">
        <v>276</v>
      </c>
      <c r="I45" s="1" t="s">
        <v>50</v>
      </c>
      <c r="J45" s="1" t="s">
        <v>51</v>
      </c>
      <c r="K45" s="18" t="s">
        <v>52</v>
      </c>
      <c r="L45" s="1" t="s">
        <v>53</v>
      </c>
      <c r="M45" s="19" t="s">
        <v>69</v>
      </c>
      <c r="N45" s="19" t="s">
        <v>55</v>
      </c>
      <c r="O45" s="44" t="s">
        <v>70</v>
      </c>
      <c r="P45" s="25" t="s">
        <v>282</v>
      </c>
      <c r="Q45" s="26" t="s">
        <v>58</v>
      </c>
      <c r="R45" s="25" t="s">
        <v>283</v>
      </c>
      <c r="S45" s="25" t="s">
        <v>284</v>
      </c>
      <c r="T45" s="27">
        <v>5.73117053808E11</v>
      </c>
      <c r="U45" s="19" t="s">
        <v>61</v>
      </c>
      <c r="V45" s="23"/>
      <c r="W45" s="23"/>
      <c r="X45" s="23"/>
      <c r="Y45" s="45">
        <v>5.0</v>
      </c>
      <c r="Z45" s="28"/>
      <c r="AA45" s="28"/>
      <c r="AB45" s="28"/>
      <c r="AC45" s="28"/>
      <c r="AD45" s="28"/>
      <c r="AE45" s="28"/>
      <c r="AF45" s="29"/>
      <c r="AG45" s="29"/>
      <c r="AH45" s="30"/>
      <c r="AI45" s="31"/>
      <c r="AJ45" s="28"/>
      <c r="AK45" s="32"/>
      <c r="AL45" s="32"/>
      <c r="AM45" s="32"/>
      <c r="AN45" s="32"/>
      <c r="AO45" s="28"/>
      <c r="AP45" s="29"/>
    </row>
    <row r="46">
      <c r="A46" s="8" t="s">
        <v>285</v>
      </c>
      <c r="B46" s="8" t="s">
        <v>286</v>
      </c>
      <c r="C46" s="8" t="s">
        <v>44</v>
      </c>
      <c r="D46" s="8" t="s">
        <v>45</v>
      </c>
      <c r="E46" s="8" t="s">
        <v>46</v>
      </c>
      <c r="F46" s="8" t="s">
        <v>47</v>
      </c>
      <c r="G46" s="8" t="s">
        <v>48</v>
      </c>
      <c r="H46" s="8" t="s">
        <v>276</v>
      </c>
      <c r="I46" s="8" t="s">
        <v>50</v>
      </c>
      <c r="J46" s="8" t="s">
        <v>51</v>
      </c>
      <c r="K46" s="9" t="s">
        <v>52</v>
      </c>
      <c r="L46" s="8" t="s">
        <v>53</v>
      </c>
      <c r="M46" s="8" t="s">
        <v>54</v>
      </c>
      <c r="N46" s="8" t="s">
        <v>55</v>
      </c>
      <c r="O46" s="8" t="s">
        <v>86</v>
      </c>
      <c r="P46" s="8" t="s">
        <v>287</v>
      </c>
      <c r="Q46" s="9" t="s">
        <v>111</v>
      </c>
      <c r="R46" s="8" t="s">
        <v>288</v>
      </c>
      <c r="S46" s="8" t="s">
        <v>289</v>
      </c>
      <c r="T46" s="10">
        <v>5.730455285E11</v>
      </c>
      <c r="U46" s="53" t="s">
        <v>61</v>
      </c>
      <c r="V46" s="11"/>
      <c r="W46" s="11"/>
      <c r="X46" s="11"/>
      <c r="Y46" s="33">
        <v>45779.0</v>
      </c>
      <c r="Z46" s="13"/>
      <c r="AA46" s="13"/>
      <c r="AB46" s="13"/>
      <c r="AC46" s="13"/>
      <c r="AD46" s="13"/>
      <c r="AE46" s="13"/>
      <c r="AF46" s="14"/>
      <c r="AG46" s="14"/>
      <c r="AH46" s="15"/>
      <c r="AI46" s="16"/>
      <c r="AJ46" s="13"/>
      <c r="AK46" s="17"/>
      <c r="AL46" s="17"/>
      <c r="AM46" s="17"/>
      <c r="AN46" s="17"/>
      <c r="AO46" s="13"/>
      <c r="AP46" s="14"/>
    </row>
    <row r="47">
      <c r="A47" s="8" t="s">
        <v>290</v>
      </c>
      <c r="B47" s="8" t="s">
        <v>291</v>
      </c>
      <c r="C47" s="8" t="s">
        <v>292</v>
      </c>
      <c r="D47" s="8" t="s">
        <v>293</v>
      </c>
      <c r="E47" s="8" t="s">
        <v>294</v>
      </c>
      <c r="F47" s="8" t="s">
        <v>295</v>
      </c>
      <c r="G47" s="8" t="s">
        <v>48</v>
      </c>
      <c r="H47" s="8" t="s">
        <v>276</v>
      </c>
      <c r="I47" s="8" t="s">
        <v>50</v>
      </c>
      <c r="J47" s="8" t="s">
        <v>51</v>
      </c>
      <c r="K47" s="9" t="s">
        <v>52</v>
      </c>
      <c r="L47" s="8" t="s">
        <v>53</v>
      </c>
      <c r="M47" s="8" t="s">
        <v>54</v>
      </c>
      <c r="N47" s="8" t="s">
        <v>85</v>
      </c>
      <c r="O47" s="8" t="s">
        <v>56</v>
      </c>
      <c r="P47" s="8" t="s">
        <v>99</v>
      </c>
      <c r="Q47" s="9" t="s">
        <v>58</v>
      </c>
      <c r="R47" s="8" t="s">
        <v>296</v>
      </c>
      <c r="S47" s="8" t="s">
        <v>297</v>
      </c>
      <c r="T47" s="10">
        <v>5.7317740474E11</v>
      </c>
      <c r="U47" s="53" t="s">
        <v>75</v>
      </c>
      <c r="V47" s="11"/>
      <c r="W47" s="11"/>
      <c r="X47" s="11"/>
      <c r="Y47" s="12" t="s">
        <v>62</v>
      </c>
      <c r="Z47" s="13"/>
      <c r="AA47" s="13"/>
      <c r="AB47" s="13"/>
      <c r="AC47" s="13"/>
      <c r="AD47" s="13"/>
      <c r="AE47" s="13"/>
      <c r="AF47" s="14"/>
      <c r="AG47" s="14"/>
      <c r="AH47" s="15"/>
      <c r="AI47" s="16"/>
      <c r="AJ47" s="13"/>
      <c r="AK47" s="17"/>
      <c r="AL47" s="17"/>
      <c r="AM47" s="17"/>
      <c r="AN47" s="17"/>
      <c r="AO47" s="13"/>
      <c r="AP47" s="14"/>
    </row>
    <row r="48">
      <c r="A48" s="8" t="s">
        <v>298</v>
      </c>
      <c r="B48" s="8" t="s">
        <v>299</v>
      </c>
      <c r="C48" s="8" t="s">
        <v>292</v>
      </c>
      <c r="D48" s="8" t="s">
        <v>293</v>
      </c>
      <c r="E48" s="8" t="s">
        <v>294</v>
      </c>
      <c r="F48" s="8" t="s">
        <v>295</v>
      </c>
      <c r="G48" s="8" t="s">
        <v>48</v>
      </c>
      <c r="H48" s="8" t="s">
        <v>276</v>
      </c>
      <c r="I48" s="8" t="s">
        <v>50</v>
      </c>
      <c r="J48" s="8" t="s">
        <v>51</v>
      </c>
      <c r="K48" s="9" t="s">
        <v>52</v>
      </c>
      <c r="L48" s="8" t="s">
        <v>53</v>
      </c>
      <c r="M48" s="8" t="s">
        <v>54</v>
      </c>
      <c r="N48" s="53" t="s">
        <v>137</v>
      </c>
      <c r="O48" s="53" t="s">
        <v>70</v>
      </c>
      <c r="P48" s="20" t="s">
        <v>57</v>
      </c>
      <c r="Q48" s="21" t="s">
        <v>94</v>
      </c>
      <c r="R48" s="20" t="s">
        <v>300</v>
      </c>
      <c r="S48" s="20" t="s">
        <v>301</v>
      </c>
      <c r="T48" s="22">
        <v>3.014128609E9</v>
      </c>
      <c r="U48" s="53" t="s">
        <v>75</v>
      </c>
      <c r="V48" s="11"/>
      <c r="W48" s="11"/>
      <c r="X48" s="11"/>
      <c r="Y48" s="54">
        <v>5.0</v>
      </c>
      <c r="Z48" s="13"/>
      <c r="AA48" s="13"/>
      <c r="AB48" s="13"/>
      <c r="AC48" s="13"/>
      <c r="AD48" s="13"/>
      <c r="AE48" s="13"/>
      <c r="AF48" s="14"/>
      <c r="AG48" s="14"/>
      <c r="AH48" s="15"/>
      <c r="AI48" s="16"/>
      <c r="AJ48" s="13"/>
      <c r="AK48" s="17"/>
      <c r="AL48" s="17"/>
      <c r="AM48" s="17"/>
      <c r="AN48" s="17"/>
      <c r="AO48" s="13"/>
      <c r="AP48" s="14"/>
    </row>
    <row r="49">
      <c r="A49" s="8" t="s">
        <v>302</v>
      </c>
      <c r="B49" s="8" t="s">
        <v>303</v>
      </c>
      <c r="C49" s="8" t="s">
        <v>65</v>
      </c>
      <c r="D49" s="8" t="s">
        <v>66</v>
      </c>
      <c r="E49" s="8" t="s">
        <v>67</v>
      </c>
      <c r="F49" s="8" t="s">
        <v>68</v>
      </c>
      <c r="G49" s="8" t="s">
        <v>48</v>
      </c>
      <c r="H49" s="8" t="s">
        <v>276</v>
      </c>
      <c r="I49" s="8" t="s">
        <v>50</v>
      </c>
      <c r="J49" s="8" t="s">
        <v>51</v>
      </c>
      <c r="K49" s="9" t="s">
        <v>52</v>
      </c>
      <c r="L49" s="8" t="s">
        <v>53</v>
      </c>
      <c r="M49" s="8" t="s">
        <v>54</v>
      </c>
      <c r="N49" s="53" t="s">
        <v>55</v>
      </c>
      <c r="O49" s="53" t="s">
        <v>70</v>
      </c>
      <c r="P49" s="20" t="s">
        <v>57</v>
      </c>
      <c r="Q49" s="21" t="s">
        <v>111</v>
      </c>
      <c r="R49" s="20" t="s">
        <v>304</v>
      </c>
      <c r="S49" s="20" t="s">
        <v>305</v>
      </c>
      <c r="T49" s="22">
        <v>5.73006038555E11</v>
      </c>
      <c r="U49" s="53" t="s">
        <v>61</v>
      </c>
      <c r="V49" s="11"/>
      <c r="W49" s="11"/>
      <c r="X49" s="11"/>
      <c r="Y49" s="54">
        <v>5.0</v>
      </c>
      <c r="Z49" s="13"/>
      <c r="AA49" s="13"/>
      <c r="AB49" s="13"/>
      <c r="AC49" s="13"/>
      <c r="AD49" s="13"/>
      <c r="AE49" s="13"/>
      <c r="AF49" s="14"/>
      <c r="AG49" s="14"/>
      <c r="AH49" s="15"/>
      <c r="AI49" s="16"/>
      <c r="AJ49" s="13"/>
      <c r="AK49" s="17"/>
      <c r="AL49" s="17"/>
      <c r="AM49" s="17"/>
      <c r="AN49" s="17"/>
      <c r="AO49" s="13"/>
      <c r="AP49" s="14"/>
    </row>
    <row r="50">
      <c r="A50" s="8" t="s">
        <v>306</v>
      </c>
      <c r="B50" s="8" t="s">
        <v>307</v>
      </c>
      <c r="C50" s="8" t="s">
        <v>292</v>
      </c>
      <c r="D50" s="8" t="s">
        <v>293</v>
      </c>
      <c r="E50" s="8" t="s">
        <v>294</v>
      </c>
      <c r="F50" s="8" t="s">
        <v>295</v>
      </c>
      <c r="G50" s="8" t="s">
        <v>48</v>
      </c>
      <c r="H50" s="8" t="s">
        <v>276</v>
      </c>
      <c r="I50" s="8" t="s">
        <v>50</v>
      </c>
      <c r="J50" s="8" t="s">
        <v>51</v>
      </c>
      <c r="K50" s="9" t="s">
        <v>52</v>
      </c>
      <c r="L50" s="8" t="s">
        <v>53</v>
      </c>
      <c r="M50" s="8" t="s">
        <v>54</v>
      </c>
      <c r="N50" s="53" t="s">
        <v>55</v>
      </c>
      <c r="O50" s="53" t="s">
        <v>70</v>
      </c>
      <c r="P50" s="20" t="s">
        <v>308</v>
      </c>
      <c r="Q50" s="21" t="s">
        <v>94</v>
      </c>
      <c r="R50" s="20" t="s">
        <v>228</v>
      </c>
      <c r="S50" s="20" t="s">
        <v>309</v>
      </c>
      <c r="T50" s="22">
        <v>5.73105257243E11</v>
      </c>
      <c r="U50" s="53" t="s">
        <v>61</v>
      </c>
      <c r="V50" s="11"/>
      <c r="W50" s="11"/>
      <c r="X50" s="11"/>
      <c r="Y50" s="54">
        <v>5.0</v>
      </c>
      <c r="Z50" s="13"/>
      <c r="AA50" s="13"/>
      <c r="AB50" s="13"/>
      <c r="AC50" s="13"/>
      <c r="AD50" s="13"/>
      <c r="AE50" s="13"/>
      <c r="AF50" s="14"/>
      <c r="AG50" s="14"/>
      <c r="AH50" s="15"/>
      <c r="AI50" s="16"/>
      <c r="AJ50" s="13"/>
      <c r="AK50" s="17"/>
      <c r="AL50" s="17"/>
      <c r="AM50" s="17"/>
      <c r="AN50" s="17"/>
      <c r="AO50" s="13"/>
      <c r="AP50" s="14"/>
    </row>
    <row r="51">
      <c r="A51" s="8" t="s">
        <v>310</v>
      </c>
      <c r="B51" s="8" t="s">
        <v>311</v>
      </c>
      <c r="C51" s="8" t="s">
        <v>292</v>
      </c>
      <c r="D51" s="8" t="s">
        <v>293</v>
      </c>
      <c r="E51" s="8" t="s">
        <v>294</v>
      </c>
      <c r="F51" s="8" t="s">
        <v>295</v>
      </c>
      <c r="G51" s="8" t="s">
        <v>48</v>
      </c>
      <c r="H51" s="8" t="s">
        <v>276</v>
      </c>
      <c r="I51" s="8" t="s">
        <v>50</v>
      </c>
      <c r="J51" s="8" t="s">
        <v>51</v>
      </c>
      <c r="K51" s="9" t="s">
        <v>52</v>
      </c>
      <c r="L51" s="8" t="s">
        <v>53</v>
      </c>
      <c r="M51" s="8" t="s">
        <v>69</v>
      </c>
      <c r="N51" s="53" t="s">
        <v>55</v>
      </c>
      <c r="O51" s="53" t="s">
        <v>70</v>
      </c>
      <c r="P51" s="20" t="s">
        <v>104</v>
      </c>
      <c r="Q51" s="21" t="s">
        <v>312</v>
      </c>
      <c r="R51" s="21" t="s">
        <v>313</v>
      </c>
      <c r="S51" s="20" t="s">
        <v>314</v>
      </c>
      <c r="T51" s="22">
        <v>1.3043780348E10</v>
      </c>
      <c r="U51" s="53" t="s">
        <v>61</v>
      </c>
      <c r="V51" s="11"/>
      <c r="W51" s="11"/>
      <c r="X51" s="11"/>
      <c r="Y51" s="54">
        <v>5.0</v>
      </c>
      <c r="Z51" s="13"/>
      <c r="AA51" s="13"/>
      <c r="AB51" s="13"/>
      <c r="AC51" s="13"/>
      <c r="AD51" s="13"/>
      <c r="AE51" s="13"/>
      <c r="AF51" s="14"/>
      <c r="AG51" s="14"/>
      <c r="AH51" s="15"/>
      <c r="AI51" s="16"/>
      <c r="AJ51" s="13"/>
      <c r="AK51" s="17"/>
      <c r="AL51" s="17"/>
      <c r="AM51" s="17"/>
      <c r="AN51" s="17"/>
      <c r="AO51" s="13"/>
      <c r="AP51" s="14"/>
    </row>
    <row r="52">
      <c r="A52" s="8" t="s">
        <v>315</v>
      </c>
      <c r="B52" s="8" t="s">
        <v>316</v>
      </c>
      <c r="C52" s="8" t="s">
        <v>292</v>
      </c>
      <c r="D52" s="8" t="s">
        <v>293</v>
      </c>
      <c r="E52" s="8" t="s">
        <v>294</v>
      </c>
      <c r="F52" s="8" t="s">
        <v>295</v>
      </c>
      <c r="G52" s="8" t="s">
        <v>48</v>
      </c>
      <c r="H52" s="8" t="s">
        <v>276</v>
      </c>
      <c r="I52" s="8" t="s">
        <v>50</v>
      </c>
      <c r="J52" s="8" t="s">
        <v>51</v>
      </c>
      <c r="K52" s="9" t="s">
        <v>52</v>
      </c>
      <c r="L52" s="8" t="s">
        <v>53</v>
      </c>
      <c r="M52" s="8" t="s">
        <v>54</v>
      </c>
      <c r="N52" s="53" t="s">
        <v>137</v>
      </c>
      <c r="O52" s="53" t="s">
        <v>70</v>
      </c>
      <c r="P52" s="20" t="s">
        <v>317</v>
      </c>
      <c r="Q52" s="21" t="s">
        <v>183</v>
      </c>
      <c r="R52" s="20" t="s">
        <v>318</v>
      </c>
      <c r="S52" s="20" t="s">
        <v>319</v>
      </c>
      <c r="T52" s="22">
        <v>5.73126216267E11</v>
      </c>
      <c r="U52" s="53" t="s">
        <v>61</v>
      </c>
      <c r="V52" s="11"/>
      <c r="W52" s="11"/>
      <c r="X52" s="11"/>
      <c r="Y52" s="54">
        <v>5.0</v>
      </c>
      <c r="Z52" s="13"/>
      <c r="AA52" s="13"/>
      <c r="AB52" s="13"/>
      <c r="AC52" s="13"/>
      <c r="AD52" s="13"/>
      <c r="AE52" s="13"/>
      <c r="AF52" s="14"/>
      <c r="AG52" s="14"/>
      <c r="AH52" s="15"/>
      <c r="AI52" s="16"/>
      <c r="AJ52" s="13"/>
      <c r="AK52" s="17"/>
      <c r="AL52" s="17"/>
      <c r="AM52" s="17"/>
      <c r="AN52" s="17"/>
      <c r="AO52" s="13"/>
      <c r="AP52" s="14"/>
    </row>
    <row r="53">
      <c r="A53" s="8" t="s">
        <v>320</v>
      </c>
      <c r="B53" s="8" t="s">
        <v>321</v>
      </c>
      <c r="C53" s="8" t="s">
        <v>44</v>
      </c>
      <c r="D53" s="8" t="s">
        <v>45</v>
      </c>
      <c r="E53" s="8" t="s">
        <v>46</v>
      </c>
      <c r="F53" s="8" t="s">
        <v>47</v>
      </c>
      <c r="G53" s="8" t="s">
        <v>48</v>
      </c>
      <c r="H53" s="8" t="s">
        <v>276</v>
      </c>
      <c r="I53" s="8" t="s">
        <v>50</v>
      </c>
      <c r="J53" s="8" t="s">
        <v>51</v>
      </c>
      <c r="K53" s="9" t="s">
        <v>52</v>
      </c>
      <c r="L53" s="8" t="s">
        <v>53</v>
      </c>
      <c r="M53" s="8" t="s">
        <v>54</v>
      </c>
      <c r="N53" s="8" t="s">
        <v>85</v>
      </c>
      <c r="O53" s="8" t="s">
        <v>86</v>
      </c>
      <c r="P53" s="8" t="s">
        <v>322</v>
      </c>
      <c r="Q53" s="9" t="s">
        <v>111</v>
      </c>
      <c r="R53" s="9" t="s">
        <v>323</v>
      </c>
      <c r="S53" s="8" t="s">
        <v>324</v>
      </c>
      <c r="T53" s="10">
        <v>5.7315633862E11</v>
      </c>
      <c r="U53" s="53" t="s">
        <v>61</v>
      </c>
      <c r="V53" s="11"/>
      <c r="W53" s="11"/>
      <c r="X53" s="11"/>
      <c r="Y53" s="33">
        <v>45779.0</v>
      </c>
      <c r="Z53" s="13"/>
      <c r="AA53" s="13"/>
      <c r="AB53" s="13"/>
      <c r="AC53" s="13"/>
      <c r="AD53" s="13"/>
      <c r="AE53" s="13"/>
      <c r="AF53" s="14"/>
      <c r="AG53" s="14"/>
      <c r="AH53" s="15"/>
      <c r="AI53" s="16"/>
      <c r="AJ53" s="13"/>
      <c r="AK53" s="17"/>
      <c r="AL53" s="17"/>
      <c r="AM53" s="17"/>
      <c r="AN53" s="17"/>
      <c r="AO53" s="13"/>
      <c r="AP53" s="14"/>
    </row>
    <row r="54">
      <c r="A54" s="8" t="s">
        <v>325</v>
      </c>
      <c r="B54" s="8" t="s">
        <v>326</v>
      </c>
      <c r="C54" s="8" t="s">
        <v>44</v>
      </c>
      <c r="D54" s="8" t="s">
        <v>45</v>
      </c>
      <c r="E54" s="8" t="s">
        <v>46</v>
      </c>
      <c r="F54" s="8" t="s">
        <v>47</v>
      </c>
      <c r="G54" s="8" t="s">
        <v>48</v>
      </c>
      <c r="H54" s="8" t="s">
        <v>276</v>
      </c>
      <c r="I54" s="8" t="s">
        <v>50</v>
      </c>
      <c r="J54" s="8" t="s">
        <v>51</v>
      </c>
      <c r="K54" s="9" t="s">
        <v>52</v>
      </c>
      <c r="L54" s="8" t="s">
        <v>84</v>
      </c>
      <c r="M54" s="8" t="s">
        <v>69</v>
      </c>
      <c r="N54" s="53" t="s">
        <v>55</v>
      </c>
      <c r="O54" s="53" t="s">
        <v>70</v>
      </c>
      <c r="P54" s="20" t="s">
        <v>211</v>
      </c>
      <c r="Q54" s="21" t="s">
        <v>94</v>
      </c>
      <c r="R54" s="20" t="s">
        <v>327</v>
      </c>
      <c r="S54" s="20" t="s">
        <v>328</v>
      </c>
      <c r="T54" s="22">
        <v>5.7319655902E11</v>
      </c>
      <c r="U54" s="53" t="s">
        <v>75</v>
      </c>
      <c r="V54" s="11"/>
      <c r="W54" s="11"/>
      <c r="X54" s="11"/>
      <c r="Y54" s="54">
        <v>5.0</v>
      </c>
      <c r="Z54" s="13"/>
      <c r="AA54" s="13"/>
      <c r="AB54" s="13"/>
      <c r="AC54" s="13"/>
      <c r="AD54" s="13"/>
      <c r="AE54" s="13"/>
      <c r="AF54" s="14"/>
      <c r="AG54" s="14"/>
      <c r="AH54" s="15"/>
      <c r="AI54" s="16"/>
      <c r="AJ54" s="13"/>
      <c r="AK54" s="17"/>
      <c r="AL54" s="17"/>
      <c r="AM54" s="17"/>
      <c r="AN54" s="17"/>
      <c r="AO54" s="13"/>
      <c r="AP54" s="14"/>
    </row>
    <row r="55">
      <c r="A55" s="8" t="s">
        <v>329</v>
      </c>
      <c r="B55" s="8" t="s">
        <v>330</v>
      </c>
      <c r="C55" s="8" t="s">
        <v>44</v>
      </c>
      <c r="D55" s="8" t="s">
        <v>45</v>
      </c>
      <c r="E55" s="8" t="s">
        <v>46</v>
      </c>
      <c r="F55" s="8" t="s">
        <v>47</v>
      </c>
      <c r="G55" s="8" t="s">
        <v>48</v>
      </c>
      <c r="H55" s="8" t="s">
        <v>276</v>
      </c>
      <c r="I55" s="8" t="s">
        <v>50</v>
      </c>
      <c r="J55" s="8" t="s">
        <v>51</v>
      </c>
      <c r="K55" s="9" t="s">
        <v>52</v>
      </c>
      <c r="L55" s="8" t="s">
        <v>53</v>
      </c>
      <c r="M55" s="8" t="s">
        <v>54</v>
      </c>
      <c r="N55" s="8" t="s">
        <v>55</v>
      </c>
      <c r="O55" s="8" t="s">
        <v>56</v>
      </c>
      <c r="P55" s="8" t="s">
        <v>331</v>
      </c>
      <c r="Q55" s="9" t="s">
        <v>105</v>
      </c>
      <c r="R55" s="8" t="s">
        <v>332</v>
      </c>
      <c r="S55" s="8" t="s">
        <v>333</v>
      </c>
      <c r="T55" s="10">
        <v>5.73134659707E11</v>
      </c>
      <c r="U55" s="53" t="s">
        <v>61</v>
      </c>
      <c r="V55" s="11"/>
      <c r="W55" s="11"/>
      <c r="X55" s="11"/>
      <c r="Y55" s="12" t="s">
        <v>62</v>
      </c>
      <c r="Z55" s="28"/>
      <c r="AA55" s="28"/>
      <c r="AB55" s="28"/>
      <c r="AC55" s="29"/>
      <c r="AD55" s="29"/>
      <c r="AE55" s="29"/>
      <c r="AF55" s="29"/>
      <c r="AG55" s="29"/>
      <c r="AH55" s="30"/>
      <c r="AI55" s="31"/>
      <c r="AJ55" s="32"/>
      <c r="AK55" s="32"/>
      <c r="AL55" s="32"/>
      <c r="AM55" s="32"/>
      <c r="AN55" s="32"/>
      <c r="AO55" s="32"/>
      <c r="AP55" s="29"/>
    </row>
    <row r="56">
      <c r="A56" s="8" t="s">
        <v>334</v>
      </c>
      <c r="B56" s="8" t="s">
        <v>335</v>
      </c>
      <c r="C56" s="8" t="s">
        <v>44</v>
      </c>
      <c r="D56" s="8" t="s">
        <v>45</v>
      </c>
      <c r="E56" s="8" t="s">
        <v>46</v>
      </c>
      <c r="F56" s="8" t="s">
        <v>47</v>
      </c>
      <c r="G56" s="8" t="s">
        <v>48</v>
      </c>
      <c r="H56" s="8" t="s">
        <v>276</v>
      </c>
      <c r="I56" s="8" t="s">
        <v>50</v>
      </c>
      <c r="J56" s="8" t="s">
        <v>51</v>
      </c>
      <c r="K56" s="9" t="s">
        <v>52</v>
      </c>
      <c r="L56" s="8" t="s">
        <v>53</v>
      </c>
      <c r="M56" s="8" t="s">
        <v>54</v>
      </c>
      <c r="N56" s="8" t="s">
        <v>137</v>
      </c>
      <c r="O56" s="8" t="s">
        <v>56</v>
      </c>
      <c r="P56" s="8" t="s">
        <v>336</v>
      </c>
      <c r="Q56" s="9" t="s">
        <v>111</v>
      </c>
      <c r="R56" s="8" t="s">
        <v>337</v>
      </c>
      <c r="S56" s="8" t="s">
        <v>338</v>
      </c>
      <c r="T56" s="10">
        <v>5.73016759747E11</v>
      </c>
      <c r="U56" s="53" t="s">
        <v>75</v>
      </c>
      <c r="V56" s="11"/>
      <c r="W56" s="11"/>
      <c r="X56" s="11"/>
      <c r="Y56" s="12" t="s">
        <v>62</v>
      </c>
      <c r="Z56" s="28"/>
      <c r="AA56" s="28"/>
      <c r="AB56" s="28"/>
      <c r="AC56" s="28"/>
      <c r="AD56" s="28"/>
      <c r="AE56" s="28"/>
      <c r="AF56" s="29"/>
      <c r="AG56" s="29"/>
      <c r="AH56" s="30"/>
      <c r="AI56" s="31"/>
      <c r="AJ56" s="28"/>
      <c r="AK56" s="32"/>
      <c r="AL56" s="32"/>
      <c r="AM56" s="32"/>
      <c r="AN56" s="32"/>
      <c r="AO56" s="28"/>
      <c r="AP56" s="29"/>
    </row>
    <row r="57">
      <c r="A57" s="8" t="s">
        <v>339</v>
      </c>
      <c r="B57" s="8" t="s">
        <v>340</v>
      </c>
      <c r="C57" s="8" t="s">
        <v>341</v>
      </c>
      <c r="D57" s="8" t="s">
        <v>293</v>
      </c>
      <c r="E57" s="8" t="s">
        <v>342</v>
      </c>
      <c r="F57" s="8" t="s">
        <v>295</v>
      </c>
      <c r="G57" s="8" t="s">
        <v>343</v>
      </c>
      <c r="H57" s="8" t="s">
        <v>344</v>
      </c>
      <c r="I57" s="8" t="s">
        <v>50</v>
      </c>
      <c r="J57" s="8" t="s">
        <v>51</v>
      </c>
      <c r="K57" s="9" t="s">
        <v>52</v>
      </c>
      <c r="L57" s="8" t="s">
        <v>53</v>
      </c>
      <c r="M57" s="8" t="s">
        <v>69</v>
      </c>
      <c r="N57" s="53" t="s">
        <v>137</v>
      </c>
      <c r="O57" s="53" t="s">
        <v>70</v>
      </c>
      <c r="P57" s="55" t="s">
        <v>211</v>
      </c>
      <c r="Q57" s="56" t="s">
        <v>111</v>
      </c>
      <c r="R57" s="55" t="s">
        <v>189</v>
      </c>
      <c r="S57" s="55" t="s">
        <v>345</v>
      </c>
      <c r="T57" s="57">
        <v>5.73107453798E11</v>
      </c>
      <c r="U57" s="53" t="s">
        <v>61</v>
      </c>
      <c r="V57" s="11"/>
      <c r="W57" s="11"/>
      <c r="X57" s="11"/>
      <c r="Y57" s="54">
        <v>5.0</v>
      </c>
      <c r="Z57" s="28"/>
      <c r="AA57" s="28"/>
      <c r="AB57" s="28"/>
      <c r="AC57" s="28"/>
      <c r="AD57" s="28"/>
      <c r="AE57" s="28"/>
      <c r="AF57" s="29"/>
      <c r="AG57" s="29"/>
      <c r="AH57" s="30"/>
      <c r="AI57" s="31"/>
      <c r="AJ57" s="28"/>
      <c r="AK57" s="32"/>
      <c r="AL57" s="32"/>
      <c r="AM57" s="32"/>
      <c r="AN57" s="32"/>
      <c r="AO57" s="28"/>
      <c r="AP57" s="29"/>
    </row>
    <row r="58">
      <c r="A58" s="8" t="s">
        <v>346</v>
      </c>
      <c r="B58" s="8" t="s">
        <v>347</v>
      </c>
      <c r="C58" s="8" t="s">
        <v>348</v>
      </c>
      <c r="D58" s="8" t="s">
        <v>45</v>
      </c>
      <c r="E58" s="8" t="s">
        <v>349</v>
      </c>
      <c r="F58" s="8" t="s">
        <v>47</v>
      </c>
      <c r="G58" s="8" t="s">
        <v>350</v>
      </c>
      <c r="H58" s="8" t="s">
        <v>351</v>
      </c>
      <c r="I58" s="8" t="s">
        <v>50</v>
      </c>
      <c r="J58" s="8" t="s">
        <v>51</v>
      </c>
      <c r="K58" s="9" t="s">
        <v>52</v>
      </c>
      <c r="L58" s="8" t="s">
        <v>84</v>
      </c>
      <c r="M58" s="8" t="s">
        <v>54</v>
      </c>
      <c r="N58" s="8" t="s">
        <v>55</v>
      </c>
      <c r="O58" s="8" t="s">
        <v>56</v>
      </c>
      <c r="P58" s="8" t="s">
        <v>352</v>
      </c>
      <c r="Q58" s="9" t="s">
        <v>111</v>
      </c>
      <c r="R58" s="8" t="s">
        <v>353</v>
      </c>
      <c r="S58" s="8" t="s">
        <v>354</v>
      </c>
      <c r="T58" s="10">
        <v>5.73124637383E11</v>
      </c>
      <c r="U58" s="53" t="s">
        <v>75</v>
      </c>
      <c r="V58" s="11"/>
      <c r="W58" s="11"/>
      <c r="X58" s="11"/>
      <c r="Y58" s="12" t="s">
        <v>62</v>
      </c>
      <c r="Z58" s="28"/>
      <c r="AA58" s="28"/>
      <c r="AB58" s="28"/>
      <c r="AC58" s="28"/>
      <c r="AD58" s="28"/>
      <c r="AE58" s="28"/>
      <c r="AF58" s="29"/>
      <c r="AG58" s="29"/>
      <c r="AH58" s="30"/>
      <c r="AI58" s="31"/>
      <c r="AJ58" s="28"/>
      <c r="AK58" s="32"/>
      <c r="AL58" s="32"/>
      <c r="AM58" s="32"/>
      <c r="AN58" s="32"/>
      <c r="AO58" s="28"/>
      <c r="AP58" s="29"/>
    </row>
    <row r="59">
      <c r="A59" s="8" t="s">
        <v>355</v>
      </c>
      <c r="B59" s="8" t="s">
        <v>356</v>
      </c>
      <c r="C59" s="8" t="s">
        <v>357</v>
      </c>
      <c r="D59" s="8" t="s">
        <v>66</v>
      </c>
      <c r="E59" s="8" t="s">
        <v>358</v>
      </c>
      <c r="F59" s="8" t="s">
        <v>68</v>
      </c>
      <c r="G59" s="8" t="s">
        <v>359</v>
      </c>
      <c r="H59" s="8" t="s">
        <v>360</v>
      </c>
      <c r="I59" s="8" t="s">
        <v>50</v>
      </c>
      <c r="J59" s="8" t="s">
        <v>51</v>
      </c>
      <c r="K59" s="9" t="s">
        <v>52</v>
      </c>
      <c r="L59" s="8" t="s">
        <v>53</v>
      </c>
      <c r="M59" s="8" t="s">
        <v>69</v>
      </c>
      <c r="N59" s="8" t="s">
        <v>85</v>
      </c>
      <c r="O59" s="8" t="s">
        <v>56</v>
      </c>
      <c r="P59" s="8" t="s">
        <v>361</v>
      </c>
      <c r="Q59" s="9" t="s">
        <v>111</v>
      </c>
      <c r="R59" s="8" t="s">
        <v>362</v>
      </c>
      <c r="S59" s="8" t="s">
        <v>363</v>
      </c>
      <c r="T59" s="10">
        <v>5.73028453183E11</v>
      </c>
      <c r="U59" s="53" t="s">
        <v>75</v>
      </c>
      <c r="V59" s="11"/>
      <c r="W59" s="11"/>
      <c r="X59" s="11"/>
      <c r="Y59" s="12" t="s">
        <v>62</v>
      </c>
      <c r="Z59" s="28"/>
      <c r="AA59" s="28"/>
      <c r="AB59" s="28"/>
      <c r="AC59" s="28"/>
      <c r="AD59" s="28"/>
      <c r="AE59" s="28"/>
      <c r="AF59" s="29"/>
      <c r="AG59" s="29"/>
      <c r="AH59" s="30"/>
      <c r="AI59" s="31"/>
      <c r="AJ59" s="28"/>
      <c r="AK59" s="32"/>
      <c r="AL59" s="32"/>
      <c r="AM59" s="32"/>
      <c r="AN59" s="32"/>
      <c r="AO59" s="28"/>
      <c r="AP59" s="29"/>
    </row>
    <row r="60">
      <c r="A60" s="8" t="s">
        <v>364</v>
      </c>
      <c r="B60" s="8" t="s">
        <v>365</v>
      </c>
      <c r="C60" s="8" t="s">
        <v>357</v>
      </c>
      <c r="D60" s="8" t="s">
        <v>66</v>
      </c>
      <c r="E60" s="8" t="s">
        <v>358</v>
      </c>
      <c r="F60" s="8" t="s">
        <v>68</v>
      </c>
      <c r="G60" s="8" t="s">
        <v>359</v>
      </c>
      <c r="H60" s="8" t="s">
        <v>360</v>
      </c>
      <c r="I60" s="8" t="s">
        <v>50</v>
      </c>
      <c r="J60" s="8" t="s">
        <v>51</v>
      </c>
      <c r="K60" s="9" t="s">
        <v>52</v>
      </c>
      <c r="L60" s="8" t="s">
        <v>53</v>
      </c>
      <c r="M60" s="8" t="s">
        <v>69</v>
      </c>
      <c r="N60" s="53" t="s">
        <v>137</v>
      </c>
      <c r="O60" s="53" t="s">
        <v>70</v>
      </c>
      <c r="P60" s="20" t="s">
        <v>366</v>
      </c>
      <c r="Q60" s="21" t="s">
        <v>72</v>
      </c>
      <c r="R60" s="20" t="s">
        <v>79</v>
      </c>
      <c r="S60" s="20" t="s">
        <v>367</v>
      </c>
      <c r="T60" s="22">
        <v>5.73042495673E11</v>
      </c>
      <c r="U60" s="53" t="s">
        <v>61</v>
      </c>
      <c r="V60" s="11"/>
      <c r="W60" s="11"/>
      <c r="X60" s="11"/>
      <c r="Y60" s="54">
        <v>5.0</v>
      </c>
      <c r="Z60" s="28"/>
      <c r="AA60" s="28"/>
      <c r="AB60" s="28"/>
      <c r="AC60" s="28"/>
      <c r="AD60" s="28"/>
      <c r="AE60" s="28"/>
      <c r="AF60" s="29"/>
      <c r="AG60" s="29"/>
      <c r="AH60" s="30"/>
      <c r="AI60" s="31"/>
      <c r="AJ60" s="28"/>
      <c r="AK60" s="32"/>
      <c r="AL60" s="32"/>
      <c r="AM60" s="32"/>
      <c r="AN60" s="32"/>
      <c r="AO60" s="28"/>
      <c r="AP60" s="29"/>
    </row>
    <row r="61">
      <c r="A61" s="8" t="s">
        <v>368</v>
      </c>
      <c r="B61" s="8" t="s">
        <v>369</v>
      </c>
      <c r="C61" s="8" t="s">
        <v>357</v>
      </c>
      <c r="D61" s="8" t="s">
        <v>66</v>
      </c>
      <c r="E61" s="8" t="s">
        <v>358</v>
      </c>
      <c r="F61" s="8" t="s">
        <v>68</v>
      </c>
      <c r="G61" s="8" t="s">
        <v>359</v>
      </c>
      <c r="H61" s="8" t="s">
        <v>360</v>
      </c>
      <c r="I61" s="8" t="s">
        <v>50</v>
      </c>
      <c r="J61" s="8" t="s">
        <v>51</v>
      </c>
      <c r="K61" s="9" t="s">
        <v>52</v>
      </c>
      <c r="L61" s="8" t="s">
        <v>53</v>
      </c>
      <c r="M61" s="8" t="s">
        <v>54</v>
      </c>
      <c r="N61" s="53" t="s">
        <v>55</v>
      </c>
      <c r="O61" s="53" t="s">
        <v>70</v>
      </c>
      <c r="P61" s="20" t="s">
        <v>141</v>
      </c>
      <c r="Q61" s="21" t="s">
        <v>111</v>
      </c>
      <c r="R61" s="20" t="s">
        <v>370</v>
      </c>
      <c r="S61" s="20" t="s">
        <v>371</v>
      </c>
      <c r="T61" s="22">
        <v>5.73016614333E11</v>
      </c>
      <c r="U61" s="53" t="s">
        <v>61</v>
      </c>
      <c r="V61" s="11"/>
      <c r="W61" s="11"/>
      <c r="X61" s="11"/>
      <c r="Y61" s="54">
        <v>5.0</v>
      </c>
      <c r="Z61" s="28"/>
      <c r="AA61" s="28"/>
      <c r="AB61" s="28"/>
      <c r="AC61" s="28"/>
      <c r="AD61" s="28"/>
      <c r="AE61" s="28"/>
      <c r="AF61" s="29"/>
      <c r="AG61" s="29"/>
      <c r="AH61" s="30"/>
      <c r="AI61" s="31"/>
      <c r="AJ61" s="28"/>
      <c r="AK61" s="32"/>
      <c r="AL61" s="32"/>
      <c r="AM61" s="32"/>
      <c r="AN61" s="32"/>
      <c r="AO61" s="28"/>
      <c r="AP61" s="29"/>
    </row>
    <row r="62">
      <c r="A62" s="8" t="s">
        <v>372</v>
      </c>
      <c r="B62" s="8" t="s">
        <v>373</v>
      </c>
      <c r="C62" s="8" t="s">
        <v>348</v>
      </c>
      <c r="D62" s="8" t="s">
        <v>45</v>
      </c>
      <c r="E62" s="8" t="s">
        <v>349</v>
      </c>
      <c r="F62" s="8" t="s">
        <v>47</v>
      </c>
      <c r="G62" s="8" t="s">
        <v>350</v>
      </c>
      <c r="H62" s="8" t="s">
        <v>351</v>
      </c>
      <c r="I62" s="8" t="s">
        <v>50</v>
      </c>
      <c r="J62" s="8" t="s">
        <v>51</v>
      </c>
      <c r="K62" s="9" t="s">
        <v>52</v>
      </c>
      <c r="L62" s="8" t="s">
        <v>53</v>
      </c>
      <c r="M62" s="8" t="s">
        <v>69</v>
      </c>
      <c r="N62" s="53" t="s">
        <v>137</v>
      </c>
      <c r="O62" s="53" t="s">
        <v>70</v>
      </c>
      <c r="P62" s="20" t="s">
        <v>211</v>
      </c>
      <c r="Q62" s="21" t="s">
        <v>147</v>
      </c>
      <c r="R62" s="20" t="s">
        <v>374</v>
      </c>
      <c r="S62" s="20" t="s">
        <v>375</v>
      </c>
      <c r="T62" s="22">
        <v>5.73137856983E11</v>
      </c>
      <c r="U62" s="53" t="s">
        <v>75</v>
      </c>
      <c r="V62" s="11"/>
      <c r="W62" s="11"/>
      <c r="X62" s="11"/>
      <c r="Y62" s="54">
        <v>5.0</v>
      </c>
      <c r="Z62" s="28"/>
      <c r="AA62" s="28"/>
      <c r="AB62" s="28"/>
      <c r="AC62" s="28"/>
      <c r="AD62" s="28"/>
      <c r="AE62" s="28"/>
      <c r="AF62" s="29"/>
      <c r="AG62" s="29"/>
      <c r="AH62" s="30"/>
      <c r="AI62" s="31"/>
      <c r="AJ62" s="28"/>
      <c r="AK62" s="32"/>
      <c r="AL62" s="32"/>
      <c r="AM62" s="32"/>
      <c r="AN62" s="32"/>
      <c r="AO62" s="28"/>
      <c r="AP62" s="29"/>
    </row>
    <row r="63">
      <c r="A63" s="8" t="s">
        <v>376</v>
      </c>
      <c r="B63" s="8" t="s">
        <v>377</v>
      </c>
      <c r="C63" s="8" t="s">
        <v>357</v>
      </c>
      <c r="D63" s="8" t="s">
        <v>66</v>
      </c>
      <c r="E63" s="8" t="s">
        <v>358</v>
      </c>
      <c r="F63" s="8" t="s">
        <v>68</v>
      </c>
      <c r="G63" s="8" t="s">
        <v>359</v>
      </c>
      <c r="H63" s="8" t="s">
        <v>360</v>
      </c>
      <c r="I63" s="8" t="s">
        <v>50</v>
      </c>
      <c r="J63" s="8" t="s">
        <v>51</v>
      </c>
      <c r="K63" s="9" t="s">
        <v>52</v>
      </c>
      <c r="L63" s="8" t="s">
        <v>53</v>
      </c>
      <c r="M63" s="8" t="s">
        <v>54</v>
      </c>
      <c r="N63" s="53" t="s">
        <v>55</v>
      </c>
      <c r="O63" s="53" t="s">
        <v>70</v>
      </c>
      <c r="P63" s="20" t="s">
        <v>132</v>
      </c>
      <c r="Q63" s="21" t="s">
        <v>111</v>
      </c>
      <c r="R63" s="20" t="s">
        <v>158</v>
      </c>
      <c r="S63" s="20" t="s">
        <v>378</v>
      </c>
      <c r="T63" s="22">
        <v>3.046754652E9</v>
      </c>
      <c r="U63" s="53" t="s">
        <v>61</v>
      </c>
      <c r="V63" s="11"/>
      <c r="W63" s="11"/>
      <c r="X63" s="11"/>
      <c r="Y63" s="54">
        <v>5.0</v>
      </c>
      <c r="Z63" s="28"/>
      <c r="AA63" s="28"/>
      <c r="AB63" s="28"/>
      <c r="AC63" s="28"/>
      <c r="AD63" s="28"/>
      <c r="AE63" s="28"/>
      <c r="AF63" s="29"/>
      <c r="AG63" s="29"/>
      <c r="AH63" s="30"/>
      <c r="AI63" s="31"/>
      <c r="AJ63" s="28"/>
      <c r="AK63" s="32"/>
      <c r="AL63" s="32"/>
      <c r="AM63" s="32"/>
      <c r="AN63" s="32"/>
      <c r="AO63" s="28"/>
      <c r="AP63" s="29"/>
    </row>
    <row r="64">
      <c r="A64" s="8" t="s">
        <v>379</v>
      </c>
      <c r="B64" s="8" t="s">
        <v>380</v>
      </c>
      <c r="C64" s="8" t="s">
        <v>357</v>
      </c>
      <c r="D64" s="8" t="s">
        <v>66</v>
      </c>
      <c r="E64" s="8" t="s">
        <v>358</v>
      </c>
      <c r="F64" s="8" t="s">
        <v>68</v>
      </c>
      <c r="G64" s="8" t="s">
        <v>359</v>
      </c>
      <c r="H64" s="8" t="s">
        <v>360</v>
      </c>
      <c r="I64" s="8" t="s">
        <v>50</v>
      </c>
      <c r="J64" s="8" t="s">
        <v>51</v>
      </c>
      <c r="K64" s="9" t="s">
        <v>52</v>
      </c>
      <c r="L64" s="8" t="s">
        <v>53</v>
      </c>
      <c r="M64" s="8" t="s">
        <v>54</v>
      </c>
      <c r="N64" s="53" t="s">
        <v>55</v>
      </c>
      <c r="O64" s="53" t="s">
        <v>70</v>
      </c>
      <c r="P64" s="20" t="s">
        <v>381</v>
      </c>
      <c r="Q64" s="21" t="s">
        <v>72</v>
      </c>
      <c r="R64" s="20" t="s">
        <v>382</v>
      </c>
      <c r="S64" s="20" t="s">
        <v>383</v>
      </c>
      <c r="T64" s="22">
        <v>5.73042909653E11</v>
      </c>
      <c r="U64" s="53" t="s">
        <v>61</v>
      </c>
      <c r="V64" s="11"/>
      <c r="W64" s="11"/>
      <c r="X64" s="11"/>
      <c r="Y64" s="54">
        <v>5.0</v>
      </c>
      <c r="Z64" s="13"/>
      <c r="AA64" s="13"/>
      <c r="AB64" s="13"/>
      <c r="AC64" s="13"/>
      <c r="AD64" s="13"/>
      <c r="AE64" s="13"/>
      <c r="AF64" s="14"/>
      <c r="AG64" s="14"/>
      <c r="AH64" s="15"/>
      <c r="AI64" s="16"/>
      <c r="AJ64" s="13"/>
      <c r="AK64" s="17"/>
      <c r="AL64" s="17"/>
      <c r="AM64" s="17"/>
      <c r="AN64" s="17"/>
      <c r="AO64" s="13"/>
      <c r="AP64" s="14"/>
    </row>
    <row r="65">
      <c r="A65" s="8" t="s">
        <v>384</v>
      </c>
      <c r="B65" s="8" t="s">
        <v>385</v>
      </c>
      <c r="C65" s="8" t="s">
        <v>341</v>
      </c>
      <c r="D65" s="8" t="s">
        <v>293</v>
      </c>
      <c r="E65" s="8" t="s">
        <v>342</v>
      </c>
      <c r="F65" s="8" t="s">
        <v>295</v>
      </c>
      <c r="G65" s="8" t="s">
        <v>343</v>
      </c>
      <c r="H65" s="8" t="s">
        <v>344</v>
      </c>
      <c r="I65" s="8" t="s">
        <v>50</v>
      </c>
      <c r="J65" s="8" t="s">
        <v>51</v>
      </c>
      <c r="K65" s="9" t="s">
        <v>52</v>
      </c>
      <c r="L65" s="8" t="s">
        <v>53</v>
      </c>
      <c r="M65" s="8" t="s">
        <v>69</v>
      </c>
      <c r="N65" s="53" t="s">
        <v>137</v>
      </c>
      <c r="O65" s="53" t="s">
        <v>70</v>
      </c>
      <c r="P65" s="20" t="s">
        <v>386</v>
      </c>
      <c r="Q65" s="21" t="s">
        <v>111</v>
      </c>
      <c r="R65" s="20" t="s">
        <v>117</v>
      </c>
      <c r="S65" s="20" t="s">
        <v>387</v>
      </c>
      <c r="T65" s="22">
        <v>5.73163442706E11</v>
      </c>
      <c r="U65" s="53" t="s">
        <v>61</v>
      </c>
      <c r="V65" s="11"/>
      <c r="W65" s="11"/>
      <c r="X65" s="11"/>
      <c r="Y65" s="54">
        <v>5.0</v>
      </c>
      <c r="Z65" s="13"/>
      <c r="AA65" s="13"/>
      <c r="AB65" s="13"/>
      <c r="AC65" s="13"/>
      <c r="AD65" s="13"/>
      <c r="AE65" s="13"/>
      <c r="AF65" s="14"/>
      <c r="AG65" s="14"/>
      <c r="AH65" s="15"/>
      <c r="AI65" s="16"/>
      <c r="AJ65" s="13"/>
      <c r="AK65" s="17"/>
      <c r="AL65" s="17"/>
      <c r="AM65" s="17"/>
      <c r="AN65" s="17"/>
      <c r="AO65" s="13"/>
      <c r="AP65" s="14"/>
    </row>
    <row r="66">
      <c r="A66" s="8" t="s">
        <v>388</v>
      </c>
      <c r="B66" s="8" t="s">
        <v>389</v>
      </c>
      <c r="C66" s="8" t="s">
        <v>357</v>
      </c>
      <c r="D66" s="8" t="s">
        <v>66</v>
      </c>
      <c r="E66" s="8" t="s">
        <v>358</v>
      </c>
      <c r="F66" s="8" t="s">
        <v>68</v>
      </c>
      <c r="G66" s="8" t="s">
        <v>359</v>
      </c>
      <c r="H66" s="8" t="s">
        <v>360</v>
      </c>
      <c r="I66" s="8" t="s">
        <v>50</v>
      </c>
      <c r="J66" s="8" t="s">
        <v>51</v>
      </c>
      <c r="K66" s="9" t="s">
        <v>52</v>
      </c>
      <c r="L66" s="8" t="s">
        <v>53</v>
      </c>
      <c r="M66" s="8" t="s">
        <v>69</v>
      </c>
      <c r="N66" s="53" t="s">
        <v>55</v>
      </c>
      <c r="O66" s="53" t="s">
        <v>70</v>
      </c>
      <c r="P66" s="20" t="s">
        <v>277</v>
      </c>
      <c r="Q66" s="21" t="s">
        <v>122</v>
      </c>
      <c r="R66" s="20" t="s">
        <v>272</v>
      </c>
      <c r="S66" s="20" t="s">
        <v>390</v>
      </c>
      <c r="T66" s="22">
        <v>3.105870626E9</v>
      </c>
      <c r="U66" s="53" t="s">
        <v>75</v>
      </c>
      <c r="V66" s="11"/>
      <c r="W66" s="11"/>
      <c r="X66" s="11"/>
      <c r="Y66" s="54">
        <v>5.0</v>
      </c>
      <c r="Z66" s="13"/>
      <c r="AA66" s="13"/>
      <c r="AB66" s="13"/>
      <c r="AC66" s="13"/>
      <c r="AD66" s="13"/>
      <c r="AE66" s="13"/>
      <c r="AF66" s="14"/>
      <c r="AG66" s="14"/>
      <c r="AH66" s="15"/>
      <c r="AI66" s="16"/>
      <c r="AJ66" s="13"/>
      <c r="AK66" s="17"/>
      <c r="AL66" s="17"/>
      <c r="AM66" s="17"/>
      <c r="AN66" s="17"/>
      <c r="AO66" s="13"/>
      <c r="AP66" s="14"/>
    </row>
    <row r="67">
      <c r="A67" s="8" t="s">
        <v>391</v>
      </c>
      <c r="B67" s="8" t="s">
        <v>392</v>
      </c>
      <c r="C67" s="8" t="s">
        <v>357</v>
      </c>
      <c r="D67" s="8" t="s">
        <v>66</v>
      </c>
      <c r="E67" s="8" t="s">
        <v>358</v>
      </c>
      <c r="F67" s="8" t="s">
        <v>68</v>
      </c>
      <c r="G67" s="8" t="s">
        <v>359</v>
      </c>
      <c r="H67" s="8" t="s">
        <v>360</v>
      </c>
      <c r="I67" s="8" t="s">
        <v>50</v>
      </c>
      <c r="J67" s="8" t="s">
        <v>51</v>
      </c>
      <c r="K67" s="9" t="s">
        <v>52</v>
      </c>
      <c r="L67" s="8" t="s">
        <v>53</v>
      </c>
      <c r="M67" s="8" t="s">
        <v>69</v>
      </c>
      <c r="N67" s="53" t="s">
        <v>137</v>
      </c>
      <c r="O67" s="53" t="s">
        <v>70</v>
      </c>
      <c r="P67" s="20" t="s">
        <v>393</v>
      </c>
      <c r="Q67" s="21" t="s">
        <v>58</v>
      </c>
      <c r="R67" s="21" t="s">
        <v>394</v>
      </c>
      <c r="S67" s="20" t="s">
        <v>395</v>
      </c>
      <c r="T67" s="22">
        <v>5.84147338978E11</v>
      </c>
      <c r="U67" s="53" t="s">
        <v>75</v>
      </c>
      <c r="V67" s="11"/>
      <c r="W67" s="11"/>
      <c r="X67" s="11"/>
      <c r="Y67" s="54">
        <v>5.0</v>
      </c>
      <c r="Z67" s="13"/>
      <c r="AA67" s="13"/>
      <c r="AB67" s="13"/>
      <c r="AC67" s="13"/>
      <c r="AD67" s="13"/>
      <c r="AE67" s="13"/>
      <c r="AF67" s="14"/>
      <c r="AG67" s="14"/>
      <c r="AH67" s="15"/>
      <c r="AI67" s="16"/>
      <c r="AJ67" s="13"/>
      <c r="AK67" s="17"/>
      <c r="AL67" s="17"/>
      <c r="AM67" s="17"/>
      <c r="AN67" s="17"/>
      <c r="AO67" s="13"/>
      <c r="AP67" s="14"/>
    </row>
    <row r="68">
      <c r="A68" s="8" t="s">
        <v>396</v>
      </c>
      <c r="B68" s="8" t="s">
        <v>397</v>
      </c>
      <c r="C68" s="8" t="s">
        <v>357</v>
      </c>
      <c r="D68" s="8" t="s">
        <v>66</v>
      </c>
      <c r="E68" s="8" t="s">
        <v>358</v>
      </c>
      <c r="F68" s="8" t="s">
        <v>68</v>
      </c>
      <c r="G68" s="8" t="s">
        <v>359</v>
      </c>
      <c r="H68" s="8" t="s">
        <v>360</v>
      </c>
      <c r="I68" s="8" t="s">
        <v>50</v>
      </c>
      <c r="J68" s="8" t="s">
        <v>51</v>
      </c>
      <c r="K68" s="9" t="s">
        <v>52</v>
      </c>
      <c r="L68" s="8" t="s">
        <v>53</v>
      </c>
      <c r="M68" s="8" t="s">
        <v>54</v>
      </c>
      <c r="N68" s="53" t="s">
        <v>85</v>
      </c>
      <c r="O68" s="58" t="s">
        <v>56</v>
      </c>
      <c r="P68" s="58" t="s">
        <v>398</v>
      </c>
      <c r="Q68" s="59" t="s">
        <v>111</v>
      </c>
      <c r="R68" s="58" t="s">
        <v>73</v>
      </c>
      <c r="S68" s="58" t="s">
        <v>399</v>
      </c>
      <c r="T68" s="60">
        <v>5.73004596979E11</v>
      </c>
      <c r="U68" s="53" t="s">
        <v>75</v>
      </c>
      <c r="V68" s="11"/>
      <c r="W68" s="11"/>
      <c r="X68" s="11"/>
      <c r="Y68" s="12" t="s">
        <v>62</v>
      </c>
      <c r="Z68" s="13"/>
      <c r="AA68" s="13"/>
      <c r="AB68" s="13"/>
      <c r="AC68" s="13"/>
      <c r="AD68" s="13"/>
      <c r="AE68" s="13"/>
      <c r="AF68" s="14"/>
      <c r="AG68" s="14"/>
      <c r="AH68" s="15"/>
      <c r="AI68" s="16"/>
      <c r="AJ68" s="13"/>
      <c r="AK68" s="17"/>
      <c r="AL68" s="17"/>
      <c r="AM68" s="17"/>
      <c r="AN68" s="17"/>
      <c r="AO68" s="13"/>
      <c r="AP68" s="14"/>
    </row>
    <row r="69">
      <c r="A69" s="8" t="s">
        <v>400</v>
      </c>
      <c r="B69" s="8" t="s">
        <v>401</v>
      </c>
      <c r="C69" s="8" t="s">
        <v>357</v>
      </c>
      <c r="D69" s="8" t="s">
        <v>66</v>
      </c>
      <c r="E69" s="8" t="s">
        <v>358</v>
      </c>
      <c r="F69" s="8" t="s">
        <v>68</v>
      </c>
      <c r="G69" s="8" t="s">
        <v>359</v>
      </c>
      <c r="H69" s="8" t="s">
        <v>360</v>
      </c>
      <c r="I69" s="8" t="s">
        <v>50</v>
      </c>
      <c r="J69" s="8" t="s">
        <v>51</v>
      </c>
      <c r="K69" s="9" t="s">
        <v>52</v>
      </c>
      <c r="L69" s="8" t="s">
        <v>53</v>
      </c>
      <c r="M69" s="8" t="s">
        <v>54</v>
      </c>
      <c r="N69" s="53" t="s">
        <v>55</v>
      </c>
      <c r="O69" s="8" t="s">
        <v>86</v>
      </c>
      <c r="P69" s="8" t="s">
        <v>132</v>
      </c>
      <c r="Q69" s="9" t="s">
        <v>111</v>
      </c>
      <c r="R69" s="8" t="s">
        <v>402</v>
      </c>
      <c r="S69" s="8" t="s">
        <v>403</v>
      </c>
      <c r="T69" s="10">
        <v>5.73124388282E11</v>
      </c>
      <c r="U69" s="53" t="s">
        <v>75</v>
      </c>
      <c r="V69" s="11"/>
      <c r="W69" s="11"/>
      <c r="X69" s="11"/>
      <c r="Y69" s="33">
        <v>45779.0</v>
      </c>
      <c r="Z69" s="13"/>
      <c r="AA69" s="13"/>
      <c r="AB69" s="13"/>
      <c r="AC69" s="13"/>
      <c r="AD69" s="13"/>
      <c r="AE69" s="13"/>
      <c r="AF69" s="14"/>
      <c r="AG69" s="14"/>
      <c r="AH69" s="15"/>
      <c r="AI69" s="16"/>
      <c r="AJ69" s="13"/>
      <c r="AK69" s="17"/>
      <c r="AL69" s="17"/>
      <c r="AM69" s="17"/>
      <c r="AN69" s="17"/>
      <c r="AO69" s="13"/>
      <c r="AP69" s="14"/>
    </row>
    <row r="70">
      <c r="A70" s="8" t="s">
        <v>404</v>
      </c>
      <c r="B70" s="8" t="s">
        <v>405</v>
      </c>
      <c r="C70" s="8" t="s">
        <v>348</v>
      </c>
      <c r="D70" s="8" t="s">
        <v>45</v>
      </c>
      <c r="E70" s="8" t="s">
        <v>349</v>
      </c>
      <c r="F70" s="8" t="s">
        <v>47</v>
      </c>
      <c r="G70" s="8" t="s">
        <v>350</v>
      </c>
      <c r="H70" s="8" t="s">
        <v>351</v>
      </c>
      <c r="I70" s="8" t="s">
        <v>50</v>
      </c>
      <c r="J70" s="8" t="s">
        <v>51</v>
      </c>
      <c r="K70" s="9" t="s">
        <v>52</v>
      </c>
      <c r="L70" s="8" t="s">
        <v>53</v>
      </c>
      <c r="M70" s="8" t="s">
        <v>69</v>
      </c>
      <c r="N70" s="53" t="s">
        <v>55</v>
      </c>
      <c r="O70" s="53" t="s">
        <v>70</v>
      </c>
      <c r="P70" s="20" t="s">
        <v>110</v>
      </c>
      <c r="Q70" s="21" t="s">
        <v>111</v>
      </c>
      <c r="R70" s="20" t="s">
        <v>173</v>
      </c>
      <c r="S70" s="20" t="s">
        <v>406</v>
      </c>
      <c r="T70" s="22">
        <v>5.73135318657E11</v>
      </c>
      <c r="U70" s="53" t="s">
        <v>75</v>
      </c>
      <c r="V70" s="11"/>
      <c r="W70" s="11"/>
      <c r="X70" s="11"/>
      <c r="Y70" s="54">
        <v>5.0</v>
      </c>
      <c r="Z70" s="28"/>
      <c r="AA70" s="28"/>
      <c r="AB70" s="28"/>
      <c r="AC70" s="28"/>
      <c r="AD70" s="29"/>
      <c r="AE70" s="29"/>
      <c r="AF70" s="29"/>
      <c r="AG70" s="29"/>
      <c r="AH70" s="30"/>
      <c r="AI70" s="31"/>
      <c r="AJ70" s="28"/>
      <c r="AK70" s="32"/>
      <c r="AL70" s="32"/>
      <c r="AM70" s="32"/>
      <c r="AN70" s="32"/>
      <c r="AO70" s="28"/>
      <c r="AP70" s="29"/>
    </row>
    <row r="71">
      <c r="A71" s="8" t="s">
        <v>407</v>
      </c>
      <c r="B71" s="8" t="s">
        <v>408</v>
      </c>
      <c r="C71" s="8" t="s">
        <v>357</v>
      </c>
      <c r="D71" s="8" t="s">
        <v>66</v>
      </c>
      <c r="E71" s="8" t="s">
        <v>358</v>
      </c>
      <c r="F71" s="8" t="s">
        <v>68</v>
      </c>
      <c r="G71" s="8" t="s">
        <v>359</v>
      </c>
      <c r="H71" s="8" t="s">
        <v>360</v>
      </c>
      <c r="I71" s="8" t="s">
        <v>50</v>
      </c>
      <c r="J71" s="8" t="s">
        <v>51</v>
      </c>
      <c r="K71" s="9" t="s">
        <v>52</v>
      </c>
      <c r="L71" s="8" t="s">
        <v>53</v>
      </c>
      <c r="M71" s="8" t="s">
        <v>69</v>
      </c>
      <c r="N71" s="53" t="s">
        <v>137</v>
      </c>
      <c r="O71" s="53" t="s">
        <v>70</v>
      </c>
      <c r="P71" s="20" t="s">
        <v>409</v>
      </c>
      <c r="Q71" s="21" t="s">
        <v>147</v>
      </c>
      <c r="R71" s="20" t="s">
        <v>410</v>
      </c>
      <c r="S71" s="20" t="s">
        <v>411</v>
      </c>
      <c r="T71" s="22">
        <v>5.73184935771E11</v>
      </c>
      <c r="U71" s="53" t="s">
        <v>61</v>
      </c>
      <c r="V71" s="11"/>
      <c r="W71" s="11"/>
      <c r="X71" s="11"/>
      <c r="Y71" s="54">
        <v>5.0</v>
      </c>
      <c r="Z71" s="28"/>
      <c r="AA71" s="28"/>
      <c r="AB71" s="28"/>
      <c r="AC71" s="28"/>
      <c r="AD71" s="28"/>
      <c r="AE71" s="28"/>
      <c r="AF71" s="29"/>
      <c r="AG71" s="29"/>
      <c r="AH71" s="30"/>
      <c r="AI71" s="31"/>
      <c r="AJ71" s="28"/>
      <c r="AK71" s="32"/>
      <c r="AL71" s="32"/>
      <c r="AM71" s="32"/>
      <c r="AN71" s="32"/>
      <c r="AO71" s="28"/>
      <c r="AP71" s="29"/>
    </row>
    <row r="72">
      <c r="A72" s="8" t="s">
        <v>412</v>
      </c>
      <c r="B72" s="8" t="s">
        <v>413</v>
      </c>
      <c r="C72" s="8" t="s">
        <v>348</v>
      </c>
      <c r="D72" s="8" t="s">
        <v>45</v>
      </c>
      <c r="E72" s="8" t="s">
        <v>349</v>
      </c>
      <c r="F72" s="8" t="s">
        <v>47</v>
      </c>
      <c r="G72" s="8" t="s">
        <v>350</v>
      </c>
      <c r="H72" s="8" t="s">
        <v>351</v>
      </c>
      <c r="I72" s="8" t="s">
        <v>50</v>
      </c>
      <c r="J72" s="8" t="s">
        <v>51</v>
      </c>
      <c r="K72" s="9" t="s">
        <v>52</v>
      </c>
      <c r="L72" s="8" t="s">
        <v>53</v>
      </c>
      <c r="M72" s="8" t="s">
        <v>69</v>
      </c>
      <c r="N72" s="53" t="s">
        <v>85</v>
      </c>
      <c r="O72" s="53" t="s">
        <v>70</v>
      </c>
      <c r="P72" s="20" t="s">
        <v>141</v>
      </c>
      <c r="Q72" s="21" t="s">
        <v>111</v>
      </c>
      <c r="R72" s="20" t="s">
        <v>414</v>
      </c>
      <c r="S72" s="20" t="s">
        <v>415</v>
      </c>
      <c r="T72" s="22">
        <v>5.73014046129E11</v>
      </c>
      <c r="U72" s="53" t="s">
        <v>61</v>
      </c>
      <c r="V72" s="11"/>
      <c r="W72" s="11"/>
      <c r="X72" s="11"/>
      <c r="Y72" s="54">
        <v>5.0</v>
      </c>
      <c r="Z72" s="28"/>
      <c r="AA72" s="28"/>
      <c r="AB72" s="28"/>
      <c r="AC72" s="28"/>
      <c r="AD72" s="28"/>
      <c r="AE72" s="28"/>
      <c r="AF72" s="29"/>
      <c r="AG72" s="29"/>
      <c r="AH72" s="30"/>
      <c r="AI72" s="31"/>
      <c r="AJ72" s="28"/>
      <c r="AK72" s="32"/>
      <c r="AL72" s="32"/>
      <c r="AM72" s="32"/>
      <c r="AN72" s="32"/>
      <c r="AO72" s="28"/>
      <c r="AP72" s="29"/>
    </row>
    <row r="73">
      <c r="A73" s="8" t="s">
        <v>416</v>
      </c>
      <c r="B73" s="8" t="s">
        <v>417</v>
      </c>
      <c r="C73" s="8" t="s">
        <v>341</v>
      </c>
      <c r="D73" s="8" t="s">
        <v>293</v>
      </c>
      <c r="E73" s="8" t="s">
        <v>342</v>
      </c>
      <c r="F73" s="8" t="s">
        <v>295</v>
      </c>
      <c r="G73" s="8" t="s">
        <v>343</v>
      </c>
      <c r="H73" s="8" t="s">
        <v>344</v>
      </c>
      <c r="I73" s="8" t="s">
        <v>50</v>
      </c>
      <c r="J73" s="8" t="s">
        <v>51</v>
      </c>
      <c r="K73" s="9" t="s">
        <v>52</v>
      </c>
      <c r="L73" s="8" t="s">
        <v>53</v>
      </c>
      <c r="M73" s="8" t="s">
        <v>69</v>
      </c>
      <c r="N73" s="53" t="s">
        <v>137</v>
      </c>
      <c r="O73" s="53" t="s">
        <v>70</v>
      </c>
      <c r="P73" s="20" t="s">
        <v>418</v>
      </c>
      <c r="Q73" s="21" t="s">
        <v>72</v>
      </c>
      <c r="R73" s="20" t="s">
        <v>419</v>
      </c>
      <c r="S73" s="20" t="s">
        <v>420</v>
      </c>
      <c r="T73" s="22">
        <v>5.73145311228E11</v>
      </c>
      <c r="U73" s="53" t="s">
        <v>75</v>
      </c>
      <c r="V73" s="11"/>
      <c r="W73" s="11"/>
      <c r="X73" s="11"/>
      <c r="Y73" s="54">
        <v>5.0</v>
      </c>
      <c r="Z73" s="13"/>
      <c r="AA73" s="13"/>
      <c r="AB73" s="13"/>
      <c r="AC73" s="13"/>
      <c r="AD73" s="13"/>
      <c r="AE73" s="13"/>
      <c r="AF73" s="14"/>
      <c r="AG73" s="14"/>
      <c r="AH73" s="15"/>
      <c r="AI73" s="16"/>
      <c r="AJ73" s="13"/>
      <c r="AK73" s="17"/>
      <c r="AL73" s="17"/>
      <c r="AM73" s="17"/>
      <c r="AN73" s="17"/>
      <c r="AO73" s="13"/>
      <c r="AP73" s="14"/>
    </row>
    <row r="74">
      <c r="A74" s="8" t="s">
        <v>421</v>
      </c>
      <c r="B74" s="8" t="s">
        <v>422</v>
      </c>
      <c r="C74" s="8" t="s">
        <v>348</v>
      </c>
      <c r="D74" s="8" t="s">
        <v>45</v>
      </c>
      <c r="E74" s="8" t="s">
        <v>349</v>
      </c>
      <c r="F74" s="8" t="s">
        <v>47</v>
      </c>
      <c r="G74" s="8" t="s">
        <v>350</v>
      </c>
      <c r="H74" s="8" t="s">
        <v>351</v>
      </c>
      <c r="I74" s="8" t="s">
        <v>50</v>
      </c>
      <c r="J74" s="8" t="s">
        <v>51</v>
      </c>
      <c r="K74" s="9" t="s">
        <v>52</v>
      </c>
      <c r="L74" s="8" t="s">
        <v>53</v>
      </c>
      <c r="M74" s="8" t="s">
        <v>69</v>
      </c>
      <c r="N74" s="53" t="s">
        <v>55</v>
      </c>
      <c r="O74" s="53" t="s">
        <v>70</v>
      </c>
      <c r="P74" s="20" t="s">
        <v>141</v>
      </c>
      <c r="Q74" s="21" t="s">
        <v>111</v>
      </c>
      <c r="R74" s="20" t="s">
        <v>173</v>
      </c>
      <c r="S74" s="20" t="s">
        <v>423</v>
      </c>
      <c r="T74" s="22">
        <v>5.7312423822E11</v>
      </c>
      <c r="U74" s="53" t="s">
        <v>61</v>
      </c>
      <c r="V74" s="11"/>
      <c r="W74" s="11"/>
      <c r="X74" s="11"/>
      <c r="Y74" s="54">
        <v>5.0</v>
      </c>
      <c r="Z74" s="34"/>
      <c r="AA74" s="34"/>
      <c r="AB74" s="34"/>
      <c r="AC74" s="34"/>
      <c r="AD74" s="34"/>
      <c r="AE74" s="34"/>
      <c r="AF74" s="35"/>
      <c r="AG74" s="35"/>
      <c r="AH74" s="36"/>
      <c r="AI74" s="37"/>
      <c r="AJ74" s="34"/>
      <c r="AK74" s="38"/>
      <c r="AL74" s="38"/>
      <c r="AM74" s="38"/>
      <c r="AN74" s="38"/>
      <c r="AO74" s="34"/>
      <c r="AP74" s="35"/>
    </row>
    <row r="75">
      <c r="A75" s="61" t="s">
        <v>424</v>
      </c>
      <c r="B75" s="61" t="s">
        <v>425</v>
      </c>
      <c r="C75" s="61" t="s">
        <v>341</v>
      </c>
      <c r="D75" s="61" t="s">
        <v>293</v>
      </c>
      <c r="E75" s="61" t="s">
        <v>342</v>
      </c>
      <c r="F75" s="61" t="s">
        <v>295</v>
      </c>
      <c r="G75" s="61" t="s">
        <v>343</v>
      </c>
      <c r="H75" s="61" t="s">
        <v>344</v>
      </c>
      <c r="I75" s="61" t="s">
        <v>50</v>
      </c>
      <c r="J75" s="61" t="s">
        <v>51</v>
      </c>
      <c r="K75" s="62" t="s">
        <v>52</v>
      </c>
      <c r="L75" s="61" t="s">
        <v>84</v>
      </c>
      <c r="M75" s="61" t="s">
        <v>69</v>
      </c>
      <c r="N75" s="63" t="s">
        <v>55</v>
      </c>
      <c r="O75" s="63" t="s">
        <v>70</v>
      </c>
      <c r="P75" s="63" t="s">
        <v>426</v>
      </c>
      <c r="Q75" s="64" t="s">
        <v>111</v>
      </c>
      <c r="R75" s="63" t="s">
        <v>73</v>
      </c>
      <c r="S75" s="63" t="s">
        <v>427</v>
      </c>
      <c r="T75" s="65">
        <v>5.73202703048E11</v>
      </c>
      <c r="U75" s="63" t="s">
        <v>75</v>
      </c>
      <c r="V75" s="66"/>
      <c r="W75" s="66"/>
      <c r="X75" s="66"/>
      <c r="Y75" s="67">
        <v>5.0</v>
      </c>
      <c r="Z75" s="34"/>
      <c r="AA75" s="34"/>
      <c r="AB75" s="34"/>
      <c r="AC75" s="34"/>
      <c r="AD75" s="34"/>
      <c r="AE75" s="34"/>
      <c r="AF75" s="35"/>
      <c r="AG75" s="35"/>
      <c r="AH75" s="36"/>
      <c r="AI75" s="37"/>
      <c r="AJ75" s="34"/>
      <c r="AK75" s="38"/>
      <c r="AL75" s="38"/>
      <c r="AM75" s="38"/>
      <c r="AN75" s="38"/>
      <c r="AO75" s="34"/>
      <c r="AP75" s="35"/>
    </row>
    <row r="76">
      <c r="A76" s="8" t="s">
        <v>428</v>
      </c>
      <c r="B76" s="8" t="s">
        <v>429</v>
      </c>
      <c r="C76" s="8" t="s">
        <v>348</v>
      </c>
      <c r="D76" s="8" t="s">
        <v>45</v>
      </c>
      <c r="E76" s="8" t="s">
        <v>349</v>
      </c>
      <c r="F76" s="8" t="s">
        <v>47</v>
      </c>
      <c r="G76" s="8" t="s">
        <v>350</v>
      </c>
      <c r="H76" s="8" t="s">
        <v>351</v>
      </c>
      <c r="I76" s="8" t="s">
        <v>50</v>
      </c>
      <c r="J76" s="8" t="s">
        <v>51</v>
      </c>
      <c r="K76" s="9" t="s">
        <v>52</v>
      </c>
      <c r="L76" s="8" t="s">
        <v>53</v>
      </c>
      <c r="M76" s="8" t="s">
        <v>54</v>
      </c>
      <c r="N76" s="53" t="s">
        <v>55</v>
      </c>
      <c r="O76" s="53" t="s">
        <v>70</v>
      </c>
      <c r="P76" s="20" t="s">
        <v>104</v>
      </c>
      <c r="Q76" s="21" t="s">
        <v>72</v>
      </c>
      <c r="R76" s="20" t="s">
        <v>228</v>
      </c>
      <c r="S76" s="20" t="s">
        <v>430</v>
      </c>
      <c r="T76" s="22">
        <v>5.73147353627E11</v>
      </c>
      <c r="U76" s="53" t="s">
        <v>75</v>
      </c>
      <c r="V76" s="11"/>
      <c r="W76" s="11"/>
      <c r="X76" s="11"/>
      <c r="Y76" s="54">
        <v>5.0</v>
      </c>
      <c r="Z76" s="13"/>
      <c r="AA76" s="13"/>
      <c r="AB76" s="13"/>
      <c r="AC76" s="13"/>
      <c r="AD76" s="13"/>
      <c r="AE76" s="13"/>
      <c r="AF76" s="14"/>
      <c r="AG76" s="14"/>
      <c r="AH76" s="15"/>
      <c r="AI76" s="16"/>
      <c r="AJ76" s="13"/>
      <c r="AK76" s="17"/>
      <c r="AL76" s="17"/>
      <c r="AM76" s="17"/>
      <c r="AN76" s="17"/>
      <c r="AO76" s="13"/>
      <c r="AP76" s="14"/>
    </row>
    <row r="77">
      <c r="A77" s="8" t="s">
        <v>431</v>
      </c>
      <c r="B77" s="8" t="s">
        <v>432</v>
      </c>
      <c r="C77" s="8" t="s">
        <v>348</v>
      </c>
      <c r="D77" s="8" t="s">
        <v>45</v>
      </c>
      <c r="E77" s="8" t="s">
        <v>349</v>
      </c>
      <c r="F77" s="8" t="s">
        <v>47</v>
      </c>
      <c r="G77" s="8" t="s">
        <v>350</v>
      </c>
      <c r="H77" s="8" t="s">
        <v>351</v>
      </c>
      <c r="I77" s="8" t="s">
        <v>50</v>
      </c>
      <c r="J77" s="8" t="s">
        <v>51</v>
      </c>
      <c r="K77" s="9" t="s">
        <v>52</v>
      </c>
      <c r="L77" s="8" t="s">
        <v>53</v>
      </c>
      <c r="M77" s="8" t="s">
        <v>54</v>
      </c>
      <c r="N77" s="53" t="s">
        <v>55</v>
      </c>
      <c r="O77" s="8" t="s">
        <v>56</v>
      </c>
      <c r="P77" s="8" t="s">
        <v>433</v>
      </c>
      <c r="Q77" s="9" t="s">
        <v>111</v>
      </c>
      <c r="R77" s="8" t="s">
        <v>332</v>
      </c>
      <c r="S77" s="8" t="s">
        <v>434</v>
      </c>
      <c r="T77" s="10">
        <v>5.73218422079E11</v>
      </c>
      <c r="U77" s="53" t="s">
        <v>75</v>
      </c>
      <c r="V77" s="11"/>
      <c r="W77" s="11"/>
      <c r="X77" s="11"/>
      <c r="Y77" s="12" t="s">
        <v>62</v>
      </c>
      <c r="Z77" s="28"/>
      <c r="AA77" s="28"/>
      <c r="AB77" s="28"/>
      <c r="AC77" s="28"/>
      <c r="AD77" s="28"/>
      <c r="AE77" s="28"/>
      <c r="AF77" s="29"/>
      <c r="AG77" s="29"/>
      <c r="AH77" s="30"/>
      <c r="AI77" s="31"/>
      <c r="AJ77" s="28"/>
      <c r="AK77" s="32"/>
      <c r="AL77" s="32"/>
      <c r="AM77" s="32"/>
      <c r="AN77" s="32"/>
      <c r="AO77" s="28"/>
      <c r="AP77" s="29"/>
    </row>
    <row r="78">
      <c r="A78" s="61" t="s">
        <v>435</v>
      </c>
      <c r="B78" s="61" t="s">
        <v>436</v>
      </c>
      <c r="C78" s="61" t="s">
        <v>357</v>
      </c>
      <c r="D78" s="61" t="s">
        <v>66</v>
      </c>
      <c r="E78" s="61" t="s">
        <v>358</v>
      </c>
      <c r="F78" s="61" t="s">
        <v>68</v>
      </c>
      <c r="G78" s="61" t="s">
        <v>359</v>
      </c>
      <c r="H78" s="61" t="s">
        <v>360</v>
      </c>
      <c r="I78" s="61" t="s">
        <v>50</v>
      </c>
      <c r="J78" s="61" t="s">
        <v>51</v>
      </c>
      <c r="K78" s="62" t="s">
        <v>52</v>
      </c>
      <c r="L78" s="61" t="s">
        <v>53</v>
      </c>
      <c r="M78" s="61" t="s">
        <v>54</v>
      </c>
      <c r="N78" s="63" t="s">
        <v>55</v>
      </c>
      <c r="O78" s="63" t="s">
        <v>70</v>
      </c>
      <c r="P78" s="63" t="s">
        <v>127</v>
      </c>
      <c r="Q78" s="64" t="s">
        <v>72</v>
      </c>
      <c r="R78" s="63" t="s">
        <v>437</v>
      </c>
      <c r="S78" s="63" t="s">
        <v>438</v>
      </c>
      <c r="T78" s="65">
        <v>5.73174939816E11</v>
      </c>
      <c r="U78" s="63" t="s">
        <v>61</v>
      </c>
      <c r="V78" s="66"/>
      <c r="W78" s="66"/>
      <c r="X78" s="66"/>
      <c r="Y78" s="67">
        <v>5.0</v>
      </c>
      <c r="Z78" s="13"/>
      <c r="AA78" s="13"/>
      <c r="AB78" s="13"/>
      <c r="AC78" s="13"/>
      <c r="AD78" s="13"/>
      <c r="AE78" s="13"/>
      <c r="AF78" s="14"/>
      <c r="AG78" s="14"/>
      <c r="AH78" s="15"/>
      <c r="AI78" s="16"/>
      <c r="AJ78" s="13"/>
      <c r="AK78" s="17"/>
      <c r="AL78" s="17"/>
      <c r="AM78" s="17"/>
      <c r="AN78" s="17"/>
      <c r="AO78" s="13"/>
      <c r="AP78" s="14"/>
    </row>
    <row r="79">
      <c r="A79" s="8" t="s">
        <v>439</v>
      </c>
      <c r="B79" s="8" t="s">
        <v>440</v>
      </c>
      <c r="C79" s="8" t="s">
        <v>357</v>
      </c>
      <c r="D79" s="8" t="s">
        <v>66</v>
      </c>
      <c r="E79" s="8" t="s">
        <v>358</v>
      </c>
      <c r="F79" s="8" t="s">
        <v>68</v>
      </c>
      <c r="G79" s="8" t="s">
        <v>359</v>
      </c>
      <c r="H79" s="8" t="s">
        <v>360</v>
      </c>
      <c r="I79" s="8" t="s">
        <v>50</v>
      </c>
      <c r="J79" s="8" t="s">
        <v>51</v>
      </c>
      <c r="K79" s="9" t="s">
        <v>52</v>
      </c>
      <c r="L79" s="8" t="s">
        <v>53</v>
      </c>
      <c r="M79" s="8" t="s">
        <v>69</v>
      </c>
      <c r="N79" s="53" t="s">
        <v>137</v>
      </c>
      <c r="O79" s="53" t="s">
        <v>70</v>
      </c>
      <c r="P79" s="8" t="s">
        <v>211</v>
      </c>
      <c r="Q79" s="9" t="s">
        <v>183</v>
      </c>
      <c r="R79" s="8" t="s">
        <v>441</v>
      </c>
      <c r="S79" s="8" t="s">
        <v>442</v>
      </c>
      <c r="T79" s="10">
        <v>5.73122969363E11</v>
      </c>
      <c r="U79" s="53" t="s">
        <v>61</v>
      </c>
      <c r="V79" s="11"/>
      <c r="W79" s="11"/>
      <c r="X79" s="11"/>
      <c r="Y79" s="54">
        <v>5.0</v>
      </c>
      <c r="Z79" s="34"/>
      <c r="AA79" s="34"/>
      <c r="AB79" s="34"/>
      <c r="AC79" s="34"/>
      <c r="AD79" s="34"/>
      <c r="AE79" s="34"/>
      <c r="AF79" s="35"/>
      <c r="AG79" s="35"/>
      <c r="AH79" s="36"/>
      <c r="AI79" s="37"/>
      <c r="AJ79" s="34"/>
      <c r="AK79" s="38"/>
      <c r="AL79" s="38"/>
      <c r="AM79" s="38"/>
      <c r="AN79" s="38"/>
      <c r="AO79" s="34"/>
      <c r="AP79" s="35"/>
    </row>
    <row r="80">
      <c r="A80" s="8" t="s">
        <v>443</v>
      </c>
      <c r="B80" s="8" t="s">
        <v>444</v>
      </c>
      <c r="C80" s="8" t="s">
        <v>357</v>
      </c>
      <c r="D80" s="8" t="s">
        <v>66</v>
      </c>
      <c r="E80" s="8" t="s">
        <v>358</v>
      </c>
      <c r="F80" s="8" t="s">
        <v>68</v>
      </c>
      <c r="G80" s="8" t="s">
        <v>359</v>
      </c>
      <c r="H80" s="8" t="s">
        <v>360</v>
      </c>
      <c r="I80" s="8" t="s">
        <v>50</v>
      </c>
      <c r="J80" s="8" t="s">
        <v>51</v>
      </c>
      <c r="K80" s="9" t="s">
        <v>52</v>
      </c>
      <c r="L80" s="8" t="s">
        <v>53</v>
      </c>
      <c r="M80" s="8" t="s">
        <v>54</v>
      </c>
      <c r="N80" s="53" t="s">
        <v>85</v>
      </c>
      <c r="O80" s="53" t="s">
        <v>70</v>
      </c>
      <c r="P80" s="20" t="s">
        <v>445</v>
      </c>
      <c r="Q80" s="21" t="s">
        <v>105</v>
      </c>
      <c r="R80" s="20" t="s">
        <v>173</v>
      </c>
      <c r="S80" s="20" t="s">
        <v>446</v>
      </c>
      <c r="T80" s="22">
        <v>3.158096287E9</v>
      </c>
      <c r="U80" s="53" t="s">
        <v>75</v>
      </c>
      <c r="V80" s="11"/>
      <c r="W80" s="11"/>
      <c r="X80" s="11"/>
      <c r="Y80" s="54">
        <v>5.0</v>
      </c>
      <c r="Z80" s="13"/>
      <c r="AA80" s="13"/>
      <c r="AB80" s="13"/>
      <c r="AC80" s="13"/>
      <c r="AD80" s="13"/>
      <c r="AE80" s="13"/>
      <c r="AF80" s="14"/>
      <c r="AG80" s="14"/>
      <c r="AH80" s="15"/>
      <c r="AI80" s="16"/>
      <c r="AJ80" s="13"/>
      <c r="AK80" s="17"/>
      <c r="AL80" s="17"/>
      <c r="AM80" s="17"/>
      <c r="AN80" s="17"/>
      <c r="AO80" s="13"/>
      <c r="AP80" s="14"/>
    </row>
    <row r="81">
      <c r="A81" s="8" t="s">
        <v>447</v>
      </c>
      <c r="B81" s="8" t="s">
        <v>448</v>
      </c>
      <c r="C81" s="8" t="s">
        <v>341</v>
      </c>
      <c r="D81" s="8" t="s">
        <v>293</v>
      </c>
      <c r="E81" s="8" t="s">
        <v>342</v>
      </c>
      <c r="F81" s="8" t="s">
        <v>295</v>
      </c>
      <c r="G81" s="8" t="s">
        <v>343</v>
      </c>
      <c r="H81" s="8" t="s">
        <v>344</v>
      </c>
      <c r="I81" s="8" t="s">
        <v>50</v>
      </c>
      <c r="J81" s="8" t="s">
        <v>51</v>
      </c>
      <c r="K81" s="9" t="s">
        <v>52</v>
      </c>
      <c r="L81" s="8" t="s">
        <v>53</v>
      </c>
      <c r="M81" s="8" t="s">
        <v>69</v>
      </c>
      <c r="N81" s="53" t="s">
        <v>55</v>
      </c>
      <c r="O81" s="53" t="s">
        <v>70</v>
      </c>
      <c r="P81" s="20" t="s">
        <v>449</v>
      </c>
      <c r="Q81" s="21" t="s">
        <v>94</v>
      </c>
      <c r="R81" s="20" t="s">
        <v>79</v>
      </c>
      <c r="S81" s="20" t="s">
        <v>450</v>
      </c>
      <c r="T81" s="22">
        <v>5.73137976841E11</v>
      </c>
      <c r="U81" s="53" t="s">
        <v>61</v>
      </c>
      <c r="V81" s="11"/>
      <c r="W81" s="11"/>
      <c r="X81" s="11"/>
      <c r="Y81" s="54">
        <v>5.0</v>
      </c>
      <c r="Z81" s="13"/>
      <c r="AA81" s="13"/>
      <c r="AB81" s="13"/>
      <c r="AC81" s="13"/>
      <c r="AD81" s="13"/>
      <c r="AE81" s="13"/>
      <c r="AF81" s="14"/>
      <c r="AG81" s="14"/>
      <c r="AH81" s="15"/>
      <c r="AI81" s="16"/>
      <c r="AJ81" s="13"/>
      <c r="AK81" s="17"/>
      <c r="AL81" s="17"/>
      <c r="AM81" s="17"/>
      <c r="AN81" s="17"/>
      <c r="AO81" s="13"/>
      <c r="AP81" s="14"/>
    </row>
    <row r="82">
      <c r="A82" s="8" t="s">
        <v>451</v>
      </c>
      <c r="B82" s="8" t="s">
        <v>452</v>
      </c>
      <c r="C82" s="8" t="s">
        <v>348</v>
      </c>
      <c r="D82" s="8" t="s">
        <v>45</v>
      </c>
      <c r="E82" s="8" t="s">
        <v>349</v>
      </c>
      <c r="F82" s="8" t="s">
        <v>47</v>
      </c>
      <c r="G82" s="8" t="s">
        <v>350</v>
      </c>
      <c r="H82" s="8" t="s">
        <v>351</v>
      </c>
      <c r="I82" s="8" t="s">
        <v>50</v>
      </c>
      <c r="J82" s="8" t="s">
        <v>51</v>
      </c>
      <c r="K82" s="9" t="s">
        <v>52</v>
      </c>
      <c r="L82" s="8" t="s">
        <v>53</v>
      </c>
      <c r="M82" s="8" t="s">
        <v>54</v>
      </c>
      <c r="N82" s="53" t="s">
        <v>55</v>
      </c>
      <c r="O82" s="53" t="s">
        <v>70</v>
      </c>
      <c r="P82" s="20" t="s">
        <v>453</v>
      </c>
      <c r="Q82" s="21" t="s">
        <v>58</v>
      </c>
      <c r="R82" s="20" t="s">
        <v>454</v>
      </c>
      <c r="S82" s="20" t="s">
        <v>455</v>
      </c>
      <c r="T82" s="22">
        <v>5.7322534335E11</v>
      </c>
      <c r="U82" s="53" t="s">
        <v>61</v>
      </c>
      <c r="V82" s="11"/>
      <c r="W82" s="11"/>
      <c r="X82" s="11"/>
      <c r="Y82" s="54">
        <v>5.0</v>
      </c>
      <c r="Z82" s="28"/>
      <c r="AA82" s="28"/>
      <c r="AB82" s="28"/>
      <c r="AC82" s="28"/>
      <c r="AD82" s="28"/>
      <c r="AE82" s="28"/>
      <c r="AF82" s="29"/>
      <c r="AG82" s="29"/>
      <c r="AH82" s="30"/>
      <c r="AI82" s="31"/>
      <c r="AJ82" s="28"/>
      <c r="AK82" s="32"/>
      <c r="AL82" s="32"/>
      <c r="AM82" s="32"/>
      <c r="AN82" s="32"/>
      <c r="AO82" s="28"/>
      <c r="AP82" s="29"/>
    </row>
    <row r="83">
      <c r="A83" s="8" t="s">
        <v>456</v>
      </c>
      <c r="B83" s="8" t="s">
        <v>457</v>
      </c>
      <c r="C83" s="8" t="s">
        <v>348</v>
      </c>
      <c r="D83" s="8" t="s">
        <v>45</v>
      </c>
      <c r="E83" s="8" t="s">
        <v>349</v>
      </c>
      <c r="F83" s="8" t="s">
        <v>47</v>
      </c>
      <c r="G83" s="8" t="s">
        <v>350</v>
      </c>
      <c r="H83" s="8" t="s">
        <v>351</v>
      </c>
      <c r="I83" s="8" t="s">
        <v>50</v>
      </c>
      <c r="J83" s="8" t="s">
        <v>51</v>
      </c>
      <c r="K83" s="9" t="s">
        <v>52</v>
      </c>
      <c r="L83" s="8" t="s">
        <v>53</v>
      </c>
      <c r="M83" s="8" t="s">
        <v>69</v>
      </c>
      <c r="N83" s="53" t="s">
        <v>55</v>
      </c>
      <c r="O83" s="53" t="s">
        <v>70</v>
      </c>
      <c r="P83" s="20" t="s">
        <v>132</v>
      </c>
      <c r="Q83" s="21" t="s">
        <v>94</v>
      </c>
      <c r="R83" s="20" t="s">
        <v>458</v>
      </c>
      <c r="S83" s="20" t="s">
        <v>459</v>
      </c>
      <c r="T83" s="22">
        <v>5.73113478311E11</v>
      </c>
      <c r="U83" s="53" t="s">
        <v>61</v>
      </c>
      <c r="V83" s="11"/>
      <c r="W83" s="11"/>
      <c r="X83" s="11"/>
      <c r="Y83" s="54">
        <v>5.0</v>
      </c>
      <c r="Z83" s="28"/>
      <c r="AA83" s="28"/>
      <c r="AB83" s="28"/>
      <c r="AC83" s="28"/>
      <c r="AD83" s="28"/>
      <c r="AE83" s="28"/>
      <c r="AF83" s="29"/>
      <c r="AG83" s="29"/>
      <c r="AH83" s="30"/>
      <c r="AI83" s="31"/>
      <c r="AJ83" s="28"/>
      <c r="AK83" s="32"/>
      <c r="AL83" s="32"/>
      <c r="AM83" s="32"/>
      <c r="AN83" s="32"/>
      <c r="AO83" s="28"/>
      <c r="AP83" s="29"/>
    </row>
    <row r="84">
      <c r="A84" s="8" t="s">
        <v>460</v>
      </c>
      <c r="B84" s="8" t="s">
        <v>461</v>
      </c>
      <c r="C84" s="8" t="s">
        <v>341</v>
      </c>
      <c r="D84" s="8" t="s">
        <v>293</v>
      </c>
      <c r="E84" s="8" t="s">
        <v>342</v>
      </c>
      <c r="F84" s="8" t="s">
        <v>295</v>
      </c>
      <c r="G84" s="8" t="s">
        <v>343</v>
      </c>
      <c r="H84" s="8" t="s">
        <v>344</v>
      </c>
      <c r="I84" s="8" t="s">
        <v>50</v>
      </c>
      <c r="J84" s="8" t="s">
        <v>51</v>
      </c>
      <c r="K84" s="9" t="s">
        <v>52</v>
      </c>
      <c r="L84" s="8" t="s">
        <v>53</v>
      </c>
      <c r="M84" s="8" t="s">
        <v>69</v>
      </c>
      <c r="N84" s="53" t="s">
        <v>55</v>
      </c>
      <c r="O84" s="53" t="s">
        <v>70</v>
      </c>
      <c r="P84" s="20" t="s">
        <v>462</v>
      </c>
      <c r="Q84" s="21" t="s">
        <v>94</v>
      </c>
      <c r="R84" s="20" t="s">
        <v>437</v>
      </c>
      <c r="S84" s="20" t="s">
        <v>463</v>
      </c>
      <c r="T84" s="22">
        <v>3.233047631E9</v>
      </c>
      <c r="U84" s="53" t="s">
        <v>61</v>
      </c>
      <c r="V84" s="11"/>
      <c r="W84" s="11"/>
      <c r="X84" s="11"/>
      <c r="Y84" s="54">
        <v>5.0</v>
      </c>
      <c r="Z84" s="34"/>
      <c r="AA84" s="34"/>
      <c r="AB84" s="34"/>
      <c r="AC84" s="34"/>
      <c r="AD84" s="34"/>
      <c r="AE84" s="34"/>
      <c r="AF84" s="35"/>
      <c r="AG84" s="35"/>
      <c r="AH84" s="36"/>
      <c r="AI84" s="37"/>
      <c r="AJ84" s="34"/>
      <c r="AK84" s="38"/>
      <c r="AL84" s="38"/>
      <c r="AM84" s="38"/>
      <c r="AN84" s="38"/>
      <c r="AO84" s="34"/>
      <c r="AP84" s="35"/>
    </row>
    <row r="85">
      <c r="A85" s="8" t="s">
        <v>464</v>
      </c>
      <c r="B85" s="8" t="s">
        <v>465</v>
      </c>
      <c r="C85" s="8" t="s">
        <v>357</v>
      </c>
      <c r="D85" s="8" t="s">
        <v>66</v>
      </c>
      <c r="E85" s="8" t="s">
        <v>358</v>
      </c>
      <c r="F85" s="8" t="s">
        <v>68</v>
      </c>
      <c r="G85" s="8" t="s">
        <v>359</v>
      </c>
      <c r="H85" s="8" t="s">
        <v>360</v>
      </c>
      <c r="I85" s="8" t="s">
        <v>50</v>
      </c>
      <c r="J85" s="8" t="s">
        <v>51</v>
      </c>
      <c r="K85" s="9" t="s">
        <v>52</v>
      </c>
      <c r="L85" s="8" t="s">
        <v>53</v>
      </c>
      <c r="M85" s="8" t="s">
        <v>69</v>
      </c>
      <c r="N85" s="53" t="s">
        <v>137</v>
      </c>
      <c r="O85" s="53" t="s">
        <v>70</v>
      </c>
      <c r="P85" s="20" t="s">
        <v>317</v>
      </c>
      <c r="Q85" s="21" t="s">
        <v>122</v>
      </c>
      <c r="R85" s="20" t="s">
        <v>466</v>
      </c>
      <c r="S85" s="20" t="s">
        <v>467</v>
      </c>
      <c r="T85" s="22">
        <v>5.73013955923E11</v>
      </c>
      <c r="U85" s="53" t="s">
        <v>75</v>
      </c>
      <c r="V85" s="11"/>
      <c r="W85" s="11"/>
      <c r="X85" s="11"/>
      <c r="Y85" s="54">
        <v>5.0</v>
      </c>
      <c r="Z85" s="28"/>
      <c r="AA85" s="28"/>
      <c r="AB85" s="28"/>
      <c r="AC85" s="28"/>
      <c r="AD85" s="28"/>
      <c r="AE85" s="28"/>
      <c r="AF85" s="29"/>
      <c r="AG85" s="29"/>
      <c r="AH85" s="30"/>
      <c r="AI85" s="31"/>
      <c r="AJ85" s="28"/>
      <c r="AK85" s="32"/>
      <c r="AL85" s="32"/>
      <c r="AM85" s="32"/>
      <c r="AN85" s="32"/>
      <c r="AO85" s="28"/>
      <c r="AP85" s="29"/>
    </row>
    <row r="86">
      <c r="A86" s="8" t="s">
        <v>468</v>
      </c>
      <c r="B86" s="8" t="s">
        <v>469</v>
      </c>
      <c r="C86" s="8" t="s">
        <v>341</v>
      </c>
      <c r="D86" s="8" t="s">
        <v>293</v>
      </c>
      <c r="E86" s="8" t="s">
        <v>342</v>
      </c>
      <c r="F86" s="8" t="s">
        <v>295</v>
      </c>
      <c r="G86" s="8" t="s">
        <v>343</v>
      </c>
      <c r="H86" s="8" t="s">
        <v>344</v>
      </c>
      <c r="I86" s="8" t="s">
        <v>50</v>
      </c>
      <c r="J86" s="8" t="s">
        <v>51</v>
      </c>
      <c r="K86" s="9" t="s">
        <v>52</v>
      </c>
      <c r="L86" s="8" t="s">
        <v>84</v>
      </c>
      <c r="M86" s="8" t="s">
        <v>54</v>
      </c>
      <c r="N86" s="53" t="s">
        <v>85</v>
      </c>
      <c r="O86" s="53" t="s">
        <v>70</v>
      </c>
      <c r="P86" s="20" t="s">
        <v>470</v>
      </c>
      <c r="Q86" s="21" t="s">
        <v>94</v>
      </c>
      <c r="R86" s="20" t="s">
        <v>189</v>
      </c>
      <c r="S86" s="20" t="s">
        <v>471</v>
      </c>
      <c r="T86" s="22">
        <v>1.3233937423E10</v>
      </c>
      <c r="U86" s="53" t="s">
        <v>75</v>
      </c>
      <c r="V86" s="11"/>
      <c r="W86" s="11"/>
      <c r="X86" s="11"/>
      <c r="Y86" s="54">
        <v>5.0</v>
      </c>
      <c r="Z86" s="28"/>
      <c r="AA86" s="28"/>
      <c r="AB86" s="28"/>
      <c r="AC86" s="28"/>
      <c r="AD86" s="28"/>
      <c r="AE86" s="28"/>
      <c r="AF86" s="29"/>
      <c r="AG86" s="29"/>
      <c r="AH86" s="30"/>
      <c r="AI86" s="31"/>
      <c r="AJ86" s="28"/>
      <c r="AK86" s="32"/>
      <c r="AL86" s="32"/>
      <c r="AM86" s="32"/>
      <c r="AN86" s="32"/>
      <c r="AO86" s="28"/>
      <c r="AP86" s="29"/>
    </row>
    <row r="87">
      <c r="A87" s="8" t="s">
        <v>472</v>
      </c>
      <c r="B87" s="8" t="s">
        <v>473</v>
      </c>
      <c r="C87" s="8" t="s">
        <v>357</v>
      </c>
      <c r="D87" s="8" t="s">
        <v>66</v>
      </c>
      <c r="E87" s="8" t="s">
        <v>358</v>
      </c>
      <c r="F87" s="8" t="s">
        <v>68</v>
      </c>
      <c r="G87" s="8" t="s">
        <v>359</v>
      </c>
      <c r="H87" s="8" t="s">
        <v>360</v>
      </c>
      <c r="I87" s="8" t="s">
        <v>50</v>
      </c>
      <c r="J87" s="8" t="s">
        <v>51</v>
      </c>
      <c r="K87" s="9" t="s">
        <v>52</v>
      </c>
      <c r="L87" s="8" t="s">
        <v>53</v>
      </c>
      <c r="M87" s="8" t="s">
        <v>54</v>
      </c>
      <c r="N87" s="53" t="s">
        <v>55</v>
      </c>
      <c r="O87" s="53" t="s">
        <v>70</v>
      </c>
      <c r="P87" s="20" t="s">
        <v>474</v>
      </c>
      <c r="Q87" s="21" t="s">
        <v>58</v>
      </c>
      <c r="R87" s="20" t="s">
        <v>475</v>
      </c>
      <c r="S87" s="20" t="s">
        <v>476</v>
      </c>
      <c r="T87" s="22">
        <v>5.73205851453E11</v>
      </c>
      <c r="U87" s="53" t="s">
        <v>75</v>
      </c>
      <c r="V87" s="11"/>
      <c r="W87" s="11"/>
      <c r="X87" s="11"/>
      <c r="Y87" s="54">
        <v>5.0</v>
      </c>
      <c r="Z87" s="28"/>
      <c r="AA87" s="28"/>
      <c r="AB87" s="28"/>
      <c r="AC87" s="28"/>
      <c r="AD87" s="28"/>
      <c r="AE87" s="28"/>
      <c r="AF87" s="29"/>
      <c r="AG87" s="29"/>
      <c r="AH87" s="30"/>
      <c r="AI87" s="31"/>
      <c r="AJ87" s="28"/>
      <c r="AK87" s="32"/>
      <c r="AL87" s="32"/>
      <c r="AM87" s="32"/>
      <c r="AN87" s="32"/>
      <c r="AO87" s="28"/>
      <c r="AP87" s="29"/>
    </row>
    <row r="88">
      <c r="A88" s="8" t="s">
        <v>477</v>
      </c>
      <c r="B88" s="8" t="s">
        <v>478</v>
      </c>
      <c r="C88" s="8" t="s">
        <v>357</v>
      </c>
      <c r="D88" s="8" t="s">
        <v>66</v>
      </c>
      <c r="E88" s="8" t="s">
        <v>358</v>
      </c>
      <c r="F88" s="8" t="s">
        <v>68</v>
      </c>
      <c r="G88" s="8" t="s">
        <v>359</v>
      </c>
      <c r="H88" s="8" t="s">
        <v>360</v>
      </c>
      <c r="I88" s="8" t="s">
        <v>50</v>
      </c>
      <c r="J88" s="8" t="s">
        <v>51</v>
      </c>
      <c r="K88" s="9" t="s">
        <v>52</v>
      </c>
      <c r="L88" s="8" t="s">
        <v>84</v>
      </c>
      <c r="M88" s="8" t="s">
        <v>69</v>
      </c>
      <c r="N88" s="53" t="s">
        <v>55</v>
      </c>
      <c r="O88" s="53" t="s">
        <v>70</v>
      </c>
      <c r="P88" s="20" t="s">
        <v>479</v>
      </c>
      <c r="Q88" s="21" t="s">
        <v>58</v>
      </c>
      <c r="R88" s="20" t="s">
        <v>480</v>
      </c>
      <c r="S88" s="20" t="s">
        <v>481</v>
      </c>
      <c r="T88" s="22">
        <v>5.73012450777E11</v>
      </c>
      <c r="U88" s="53" t="s">
        <v>75</v>
      </c>
      <c r="V88" s="11"/>
      <c r="W88" s="11"/>
      <c r="X88" s="11"/>
      <c r="Y88" s="54">
        <v>5.0</v>
      </c>
      <c r="Z88" s="28"/>
      <c r="AA88" s="28"/>
      <c r="AB88" s="28"/>
      <c r="AC88" s="28"/>
      <c r="AD88" s="28"/>
      <c r="AE88" s="28"/>
      <c r="AF88" s="29"/>
      <c r="AG88" s="29"/>
      <c r="AH88" s="30"/>
      <c r="AI88" s="31"/>
      <c r="AJ88" s="28"/>
      <c r="AK88" s="32"/>
      <c r="AL88" s="32"/>
      <c r="AM88" s="32"/>
      <c r="AN88" s="32"/>
      <c r="AO88" s="28"/>
      <c r="AP88" s="29"/>
    </row>
    <row r="89">
      <c r="A89" s="8" t="s">
        <v>482</v>
      </c>
      <c r="B89" s="8" t="s">
        <v>483</v>
      </c>
      <c r="C89" s="8" t="s">
        <v>357</v>
      </c>
      <c r="D89" s="8" t="s">
        <v>66</v>
      </c>
      <c r="E89" s="8" t="s">
        <v>358</v>
      </c>
      <c r="F89" s="8" t="s">
        <v>68</v>
      </c>
      <c r="G89" s="8" t="s">
        <v>359</v>
      </c>
      <c r="H89" s="8" t="s">
        <v>360</v>
      </c>
      <c r="I89" s="8" t="s">
        <v>50</v>
      </c>
      <c r="J89" s="8" t="s">
        <v>51</v>
      </c>
      <c r="K89" s="9" t="s">
        <v>52</v>
      </c>
      <c r="L89" s="8" t="s">
        <v>53</v>
      </c>
      <c r="M89" s="8" t="s">
        <v>69</v>
      </c>
      <c r="N89" s="53" t="s">
        <v>55</v>
      </c>
      <c r="O89" s="53" t="s">
        <v>70</v>
      </c>
      <c r="P89" s="20" t="s">
        <v>104</v>
      </c>
      <c r="Q89" s="21" t="s">
        <v>58</v>
      </c>
      <c r="R89" s="20" t="s">
        <v>173</v>
      </c>
      <c r="S89" s="20" t="s">
        <v>484</v>
      </c>
      <c r="T89" s="22">
        <v>5.73235800243E11</v>
      </c>
      <c r="U89" s="53" t="s">
        <v>75</v>
      </c>
      <c r="V89" s="11"/>
      <c r="W89" s="11"/>
      <c r="X89" s="11"/>
      <c r="Y89" s="54">
        <v>5.0</v>
      </c>
      <c r="Z89" s="28"/>
      <c r="AA89" s="28"/>
      <c r="AB89" s="28"/>
      <c r="AC89" s="28"/>
      <c r="AD89" s="28"/>
      <c r="AE89" s="28"/>
      <c r="AF89" s="29"/>
      <c r="AG89" s="29"/>
      <c r="AH89" s="30"/>
      <c r="AI89" s="31"/>
      <c r="AJ89" s="28"/>
      <c r="AK89" s="32"/>
      <c r="AL89" s="32"/>
      <c r="AM89" s="32"/>
      <c r="AN89" s="32"/>
      <c r="AO89" s="28"/>
      <c r="AP89" s="29"/>
    </row>
    <row r="90">
      <c r="A90" s="8" t="s">
        <v>485</v>
      </c>
      <c r="B90" s="8" t="s">
        <v>486</v>
      </c>
      <c r="C90" s="8" t="s">
        <v>357</v>
      </c>
      <c r="D90" s="8" t="s">
        <v>66</v>
      </c>
      <c r="E90" s="8" t="s">
        <v>358</v>
      </c>
      <c r="F90" s="8" t="s">
        <v>68</v>
      </c>
      <c r="G90" s="8" t="s">
        <v>359</v>
      </c>
      <c r="H90" s="8" t="s">
        <v>360</v>
      </c>
      <c r="I90" s="8" t="s">
        <v>50</v>
      </c>
      <c r="J90" s="8" t="s">
        <v>51</v>
      </c>
      <c r="K90" s="9" t="s">
        <v>52</v>
      </c>
      <c r="L90" s="8" t="s">
        <v>53</v>
      </c>
      <c r="M90" s="8" t="s">
        <v>69</v>
      </c>
      <c r="N90" s="53" t="s">
        <v>137</v>
      </c>
      <c r="O90" s="53" t="s">
        <v>70</v>
      </c>
      <c r="P90" s="20" t="s">
        <v>57</v>
      </c>
      <c r="Q90" s="21" t="s">
        <v>487</v>
      </c>
      <c r="R90" s="20" t="s">
        <v>304</v>
      </c>
      <c r="S90" s="20" t="s">
        <v>488</v>
      </c>
      <c r="T90" s="22" t="s">
        <v>489</v>
      </c>
      <c r="U90" s="53" t="s">
        <v>75</v>
      </c>
      <c r="V90" s="11"/>
      <c r="W90" s="11"/>
      <c r="X90" s="11"/>
      <c r="Y90" s="54">
        <v>5.0</v>
      </c>
      <c r="Z90" s="28"/>
      <c r="AA90" s="28"/>
      <c r="AB90" s="28"/>
      <c r="AC90" s="28"/>
      <c r="AD90" s="28"/>
      <c r="AE90" s="28"/>
      <c r="AF90" s="29"/>
      <c r="AG90" s="29"/>
      <c r="AH90" s="30"/>
      <c r="AI90" s="31"/>
      <c r="AJ90" s="28"/>
      <c r="AK90" s="32"/>
      <c r="AL90" s="32"/>
      <c r="AM90" s="32"/>
      <c r="AN90" s="32"/>
      <c r="AO90" s="28"/>
      <c r="AP90" s="29"/>
    </row>
    <row r="91">
      <c r="A91" s="46" t="s">
        <v>490</v>
      </c>
      <c r="B91" s="46" t="s">
        <v>491</v>
      </c>
      <c r="C91" s="46" t="s">
        <v>357</v>
      </c>
      <c r="D91" s="46" t="s">
        <v>66</v>
      </c>
      <c r="E91" s="46" t="s">
        <v>358</v>
      </c>
      <c r="F91" s="46" t="s">
        <v>68</v>
      </c>
      <c r="G91" s="46" t="s">
        <v>359</v>
      </c>
      <c r="H91" s="46" t="s">
        <v>360</v>
      </c>
      <c r="I91" s="46" t="s">
        <v>50</v>
      </c>
      <c r="J91" s="46" t="s">
        <v>51</v>
      </c>
      <c r="K91" s="68" t="s">
        <v>52</v>
      </c>
      <c r="L91" s="46" t="s">
        <v>53</v>
      </c>
      <c r="M91" s="46" t="s">
        <v>69</v>
      </c>
      <c r="N91" s="69" t="s">
        <v>55</v>
      </c>
      <c r="O91" s="69" t="s">
        <v>70</v>
      </c>
      <c r="P91" s="20" t="s">
        <v>132</v>
      </c>
      <c r="Q91" s="21" t="s">
        <v>94</v>
      </c>
      <c r="R91" s="20" t="s">
        <v>492</v>
      </c>
      <c r="S91" s="20" t="s">
        <v>493</v>
      </c>
      <c r="T91" s="22">
        <v>5.73004722446E11</v>
      </c>
      <c r="U91" s="69" t="s">
        <v>61</v>
      </c>
      <c r="V91" s="70"/>
      <c r="W91" s="70"/>
      <c r="X91" s="70"/>
      <c r="Y91" s="71">
        <v>5.0</v>
      </c>
      <c r="Z91" s="28"/>
      <c r="AA91" s="28"/>
      <c r="AB91" s="28"/>
      <c r="AC91" s="28"/>
      <c r="AD91" s="28"/>
      <c r="AE91" s="28"/>
      <c r="AF91" s="29"/>
      <c r="AG91" s="29"/>
      <c r="AH91" s="30"/>
      <c r="AI91" s="31"/>
      <c r="AJ91" s="28"/>
      <c r="AK91" s="32"/>
      <c r="AL91" s="32"/>
      <c r="AM91" s="32"/>
      <c r="AN91" s="32"/>
      <c r="AO91" s="28"/>
      <c r="AP91" s="29"/>
    </row>
    <row r="92">
      <c r="A92" s="8" t="s">
        <v>494</v>
      </c>
      <c r="B92" s="8" t="s">
        <v>495</v>
      </c>
      <c r="C92" s="8" t="s">
        <v>348</v>
      </c>
      <c r="D92" s="8" t="s">
        <v>45</v>
      </c>
      <c r="E92" s="8" t="s">
        <v>349</v>
      </c>
      <c r="F92" s="8" t="s">
        <v>47</v>
      </c>
      <c r="G92" s="8" t="s">
        <v>350</v>
      </c>
      <c r="H92" s="8" t="s">
        <v>351</v>
      </c>
      <c r="I92" s="8" t="s">
        <v>50</v>
      </c>
      <c r="J92" s="8" t="s">
        <v>51</v>
      </c>
      <c r="K92" s="9" t="s">
        <v>52</v>
      </c>
      <c r="L92" s="8" t="s">
        <v>53</v>
      </c>
      <c r="M92" s="8" t="s">
        <v>54</v>
      </c>
      <c r="N92" s="53" t="s">
        <v>55</v>
      </c>
      <c r="O92" s="8" t="s">
        <v>56</v>
      </c>
      <c r="P92" s="8" t="s">
        <v>57</v>
      </c>
      <c r="Q92" s="9" t="s">
        <v>94</v>
      </c>
      <c r="R92" s="8" t="s">
        <v>496</v>
      </c>
      <c r="S92" s="8" t="s">
        <v>497</v>
      </c>
      <c r="T92" s="10">
        <v>5.73043780646E11</v>
      </c>
      <c r="U92" s="53" t="s">
        <v>75</v>
      </c>
      <c r="V92" s="11"/>
      <c r="W92" s="11"/>
      <c r="X92" s="11"/>
      <c r="Y92" s="12" t="s">
        <v>62</v>
      </c>
      <c r="Z92" s="13"/>
      <c r="AA92" s="13"/>
      <c r="AB92" s="13"/>
      <c r="AC92" s="13"/>
      <c r="AD92" s="13"/>
      <c r="AE92" s="13"/>
      <c r="AF92" s="14"/>
      <c r="AG92" s="14"/>
      <c r="AH92" s="15"/>
      <c r="AI92" s="16"/>
      <c r="AJ92" s="13"/>
      <c r="AK92" s="17"/>
      <c r="AL92" s="17"/>
      <c r="AM92" s="17"/>
      <c r="AN92" s="17"/>
      <c r="AO92" s="13"/>
      <c r="AP92" s="14"/>
    </row>
    <row r="93">
      <c r="A93" s="8" t="s">
        <v>498</v>
      </c>
      <c r="B93" s="8" t="s">
        <v>499</v>
      </c>
      <c r="C93" s="8" t="s">
        <v>348</v>
      </c>
      <c r="D93" s="8" t="s">
        <v>45</v>
      </c>
      <c r="E93" s="8" t="s">
        <v>349</v>
      </c>
      <c r="F93" s="8" t="s">
        <v>47</v>
      </c>
      <c r="G93" s="8" t="s">
        <v>350</v>
      </c>
      <c r="H93" s="8" t="s">
        <v>351</v>
      </c>
      <c r="I93" s="8" t="s">
        <v>50</v>
      </c>
      <c r="J93" s="8" t="s">
        <v>51</v>
      </c>
      <c r="K93" s="9" t="s">
        <v>52</v>
      </c>
      <c r="L93" s="8" t="s">
        <v>84</v>
      </c>
      <c r="M93" s="8" t="s">
        <v>69</v>
      </c>
      <c r="N93" s="53" t="s">
        <v>137</v>
      </c>
      <c r="O93" s="53" t="s">
        <v>70</v>
      </c>
      <c r="P93" s="20" t="s">
        <v>500</v>
      </c>
      <c r="Q93" s="21" t="s">
        <v>94</v>
      </c>
      <c r="R93" s="20" t="s">
        <v>501</v>
      </c>
      <c r="S93" s="20" t="s">
        <v>502</v>
      </c>
      <c r="T93" s="22">
        <v>5.73173559469E11</v>
      </c>
      <c r="U93" s="53" t="s">
        <v>75</v>
      </c>
      <c r="V93" s="11"/>
      <c r="W93" s="11"/>
      <c r="X93" s="11"/>
      <c r="Y93" s="54">
        <v>5.0</v>
      </c>
      <c r="Z93" s="13"/>
      <c r="AA93" s="13"/>
      <c r="AB93" s="13"/>
      <c r="AC93" s="13"/>
      <c r="AD93" s="13"/>
      <c r="AE93" s="13"/>
      <c r="AF93" s="14"/>
      <c r="AG93" s="14"/>
      <c r="AH93" s="15"/>
      <c r="AI93" s="16"/>
      <c r="AJ93" s="13"/>
      <c r="AK93" s="17"/>
      <c r="AL93" s="17"/>
      <c r="AM93" s="17"/>
      <c r="AN93" s="17"/>
      <c r="AO93" s="13"/>
      <c r="AP93" s="14"/>
    </row>
    <row r="94">
      <c r="A94" s="8" t="s">
        <v>503</v>
      </c>
      <c r="B94" s="8" t="s">
        <v>504</v>
      </c>
      <c r="C94" s="8" t="s">
        <v>357</v>
      </c>
      <c r="D94" s="8" t="s">
        <v>66</v>
      </c>
      <c r="E94" s="8" t="s">
        <v>358</v>
      </c>
      <c r="F94" s="8" t="s">
        <v>68</v>
      </c>
      <c r="G94" s="8" t="s">
        <v>359</v>
      </c>
      <c r="H94" s="8" t="s">
        <v>360</v>
      </c>
      <c r="I94" s="8" t="s">
        <v>50</v>
      </c>
      <c r="J94" s="8" t="s">
        <v>51</v>
      </c>
      <c r="K94" s="9" t="s">
        <v>52</v>
      </c>
      <c r="L94" s="8" t="s">
        <v>53</v>
      </c>
      <c r="M94" s="8" t="s">
        <v>69</v>
      </c>
      <c r="N94" s="53" t="s">
        <v>55</v>
      </c>
      <c r="O94" s="53" t="s">
        <v>70</v>
      </c>
      <c r="P94" s="20" t="s">
        <v>57</v>
      </c>
      <c r="Q94" s="21" t="s">
        <v>58</v>
      </c>
      <c r="R94" s="20" t="s">
        <v>466</v>
      </c>
      <c r="S94" s="20" t="s">
        <v>505</v>
      </c>
      <c r="T94" s="22">
        <v>5.73008645891E11</v>
      </c>
      <c r="U94" s="53" t="s">
        <v>75</v>
      </c>
      <c r="V94" s="11"/>
      <c r="W94" s="11"/>
      <c r="X94" s="11"/>
      <c r="Y94" s="54">
        <v>5.0</v>
      </c>
      <c r="Z94" s="28"/>
      <c r="AA94" s="28"/>
      <c r="AB94" s="28"/>
      <c r="AC94" s="28"/>
      <c r="AD94" s="28"/>
      <c r="AE94" s="28"/>
      <c r="AF94" s="29"/>
      <c r="AG94" s="29"/>
      <c r="AH94" s="30"/>
      <c r="AI94" s="31"/>
      <c r="AJ94" s="28"/>
      <c r="AK94" s="32"/>
      <c r="AL94" s="32"/>
      <c r="AM94" s="32"/>
      <c r="AN94" s="32"/>
      <c r="AO94" s="28"/>
      <c r="AP94" s="29"/>
    </row>
    <row r="95">
      <c r="A95" s="8" t="s">
        <v>506</v>
      </c>
      <c r="B95" s="8" t="s">
        <v>507</v>
      </c>
      <c r="C95" s="8" t="s">
        <v>357</v>
      </c>
      <c r="D95" s="8" t="s">
        <v>66</v>
      </c>
      <c r="E95" s="8" t="s">
        <v>358</v>
      </c>
      <c r="F95" s="8" t="s">
        <v>68</v>
      </c>
      <c r="G95" s="8" t="s">
        <v>359</v>
      </c>
      <c r="H95" s="8" t="s">
        <v>360</v>
      </c>
      <c r="I95" s="8" t="s">
        <v>50</v>
      </c>
      <c r="J95" s="8" t="s">
        <v>51</v>
      </c>
      <c r="K95" s="9" t="s">
        <v>52</v>
      </c>
      <c r="L95" s="8" t="s">
        <v>53</v>
      </c>
      <c r="M95" s="8" t="s">
        <v>69</v>
      </c>
      <c r="N95" s="53" t="s">
        <v>55</v>
      </c>
      <c r="O95" s="53" t="s">
        <v>70</v>
      </c>
      <c r="P95" s="20" t="s">
        <v>211</v>
      </c>
      <c r="Q95" s="21" t="s">
        <v>94</v>
      </c>
      <c r="R95" s="20" t="s">
        <v>508</v>
      </c>
      <c r="S95" s="20" t="s">
        <v>509</v>
      </c>
      <c r="T95" s="22">
        <v>5.73137406506E11</v>
      </c>
      <c r="U95" s="53" t="s">
        <v>61</v>
      </c>
      <c r="V95" s="11"/>
      <c r="W95" s="11"/>
      <c r="X95" s="11"/>
      <c r="Y95" s="54">
        <v>5.0</v>
      </c>
      <c r="Z95" s="28"/>
      <c r="AA95" s="28"/>
      <c r="AB95" s="28"/>
      <c r="AC95" s="28"/>
      <c r="AD95" s="28"/>
      <c r="AE95" s="28"/>
      <c r="AF95" s="29"/>
      <c r="AG95" s="29"/>
      <c r="AH95" s="30"/>
      <c r="AI95" s="31"/>
      <c r="AJ95" s="28"/>
      <c r="AK95" s="32"/>
      <c r="AL95" s="32"/>
      <c r="AM95" s="32"/>
      <c r="AN95" s="32"/>
      <c r="AO95" s="28"/>
      <c r="AP95" s="29"/>
    </row>
    <row r="96">
      <c r="A96" s="8" t="s">
        <v>510</v>
      </c>
      <c r="B96" s="8" t="s">
        <v>511</v>
      </c>
      <c r="C96" s="8" t="s">
        <v>341</v>
      </c>
      <c r="D96" s="8" t="s">
        <v>293</v>
      </c>
      <c r="E96" s="8" t="s">
        <v>342</v>
      </c>
      <c r="F96" s="8" t="s">
        <v>295</v>
      </c>
      <c r="G96" s="8" t="s">
        <v>343</v>
      </c>
      <c r="H96" s="8" t="s">
        <v>344</v>
      </c>
      <c r="I96" s="8" t="s">
        <v>50</v>
      </c>
      <c r="J96" s="8" t="s">
        <v>51</v>
      </c>
      <c r="K96" s="9" t="s">
        <v>52</v>
      </c>
      <c r="L96" s="8" t="s">
        <v>53</v>
      </c>
      <c r="M96" s="8" t="s">
        <v>69</v>
      </c>
      <c r="N96" s="53" t="s">
        <v>55</v>
      </c>
      <c r="O96" s="53" t="s">
        <v>70</v>
      </c>
      <c r="P96" s="20" t="s">
        <v>57</v>
      </c>
      <c r="Q96" s="21" t="s">
        <v>58</v>
      </c>
      <c r="R96" s="20" t="s">
        <v>512</v>
      </c>
      <c r="S96" s="20" t="s">
        <v>513</v>
      </c>
      <c r="T96" s="22">
        <v>5.73183939278E11</v>
      </c>
      <c r="U96" s="53" t="s">
        <v>61</v>
      </c>
      <c r="V96" s="11"/>
      <c r="W96" s="11"/>
      <c r="X96" s="11"/>
      <c r="Y96" s="54">
        <v>5.0</v>
      </c>
      <c r="Z96" s="28"/>
      <c r="AA96" s="28"/>
      <c r="AB96" s="28"/>
      <c r="AC96" s="28"/>
      <c r="AD96" s="28"/>
      <c r="AE96" s="28"/>
      <c r="AF96" s="29"/>
      <c r="AG96" s="29"/>
      <c r="AH96" s="30"/>
      <c r="AI96" s="31"/>
      <c r="AJ96" s="28"/>
      <c r="AK96" s="32"/>
      <c r="AL96" s="32"/>
      <c r="AM96" s="32"/>
      <c r="AN96" s="32"/>
      <c r="AO96" s="28"/>
      <c r="AP96" s="29"/>
    </row>
    <row r="97">
      <c r="A97" s="61" t="s">
        <v>514</v>
      </c>
      <c r="B97" s="61" t="s">
        <v>515</v>
      </c>
      <c r="C97" s="61" t="s">
        <v>357</v>
      </c>
      <c r="D97" s="61" t="s">
        <v>66</v>
      </c>
      <c r="E97" s="61" t="s">
        <v>358</v>
      </c>
      <c r="F97" s="61" t="s">
        <v>68</v>
      </c>
      <c r="G97" s="61" t="s">
        <v>359</v>
      </c>
      <c r="H97" s="61" t="s">
        <v>360</v>
      </c>
      <c r="I97" s="61" t="s">
        <v>50</v>
      </c>
      <c r="J97" s="61" t="s">
        <v>51</v>
      </c>
      <c r="K97" s="62" t="s">
        <v>52</v>
      </c>
      <c r="L97" s="61" t="s">
        <v>53</v>
      </c>
      <c r="M97" s="61" t="s">
        <v>69</v>
      </c>
      <c r="N97" s="63" t="s">
        <v>55</v>
      </c>
      <c r="O97" s="63" t="s">
        <v>70</v>
      </c>
      <c r="P97" s="63" t="s">
        <v>516</v>
      </c>
      <c r="Q97" s="64" t="s">
        <v>111</v>
      </c>
      <c r="R97" s="63" t="s">
        <v>517</v>
      </c>
      <c r="S97" s="63" t="s">
        <v>518</v>
      </c>
      <c r="T97" s="65">
        <v>5.73117492619E11</v>
      </c>
      <c r="U97" s="63" t="s">
        <v>61</v>
      </c>
      <c r="V97" s="66"/>
      <c r="W97" s="66"/>
      <c r="X97" s="66"/>
      <c r="Y97" s="67">
        <v>5.0</v>
      </c>
      <c r="Z97" s="28"/>
      <c r="AA97" s="28"/>
      <c r="AB97" s="28"/>
      <c r="AC97" s="28"/>
      <c r="AD97" s="28"/>
      <c r="AE97" s="28"/>
      <c r="AF97" s="29"/>
      <c r="AG97" s="29"/>
      <c r="AH97" s="30"/>
      <c r="AI97" s="31"/>
      <c r="AJ97" s="28"/>
      <c r="AK97" s="32"/>
      <c r="AL97" s="32"/>
      <c r="AM97" s="32"/>
      <c r="AN97" s="32"/>
      <c r="AO97" s="28"/>
      <c r="AP97" s="29"/>
    </row>
    <row r="98">
      <c r="A98" s="8" t="s">
        <v>519</v>
      </c>
      <c r="B98" s="8" t="s">
        <v>520</v>
      </c>
      <c r="C98" s="8" t="s">
        <v>348</v>
      </c>
      <c r="D98" s="8" t="s">
        <v>45</v>
      </c>
      <c r="E98" s="8" t="s">
        <v>349</v>
      </c>
      <c r="F98" s="8" t="s">
        <v>47</v>
      </c>
      <c r="G98" s="8" t="s">
        <v>350</v>
      </c>
      <c r="H98" s="8" t="s">
        <v>351</v>
      </c>
      <c r="I98" s="8" t="s">
        <v>50</v>
      </c>
      <c r="J98" s="8" t="s">
        <v>51</v>
      </c>
      <c r="K98" s="9" t="s">
        <v>52</v>
      </c>
      <c r="L98" s="8" t="s">
        <v>53</v>
      </c>
      <c r="M98" s="8" t="s">
        <v>54</v>
      </c>
      <c r="N98" s="53" t="s">
        <v>55</v>
      </c>
      <c r="O98" s="53" t="s">
        <v>70</v>
      </c>
      <c r="P98" s="20" t="s">
        <v>521</v>
      </c>
      <c r="Q98" s="21" t="s">
        <v>58</v>
      </c>
      <c r="R98" s="20" t="s">
        <v>522</v>
      </c>
      <c r="S98" s="20" t="s">
        <v>523</v>
      </c>
      <c r="T98" s="22">
        <v>5.73163959405E11</v>
      </c>
      <c r="U98" s="53" t="s">
        <v>75</v>
      </c>
      <c r="V98" s="11"/>
      <c r="W98" s="11"/>
      <c r="X98" s="11"/>
      <c r="Y98" s="54">
        <v>5.0</v>
      </c>
      <c r="Z98" s="28"/>
      <c r="AA98" s="28"/>
      <c r="AB98" s="28"/>
      <c r="AC98" s="28"/>
      <c r="AD98" s="28"/>
      <c r="AE98" s="28"/>
      <c r="AF98" s="29"/>
      <c r="AG98" s="29"/>
      <c r="AH98" s="30"/>
      <c r="AI98" s="31"/>
      <c r="AJ98" s="28"/>
      <c r="AK98" s="32"/>
      <c r="AL98" s="32"/>
      <c r="AM98" s="32"/>
      <c r="AN98" s="32"/>
      <c r="AO98" s="28"/>
      <c r="AP98" s="29"/>
    </row>
    <row r="99">
      <c r="A99" s="8" t="s">
        <v>524</v>
      </c>
      <c r="B99" s="8" t="s">
        <v>525</v>
      </c>
      <c r="C99" s="8" t="s">
        <v>357</v>
      </c>
      <c r="D99" s="8" t="s">
        <v>66</v>
      </c>
      <c r="E99" s="8" t="s">
        <v>358</v>
      </c>
      <c r="F99" s="8" t="s">
        <v>68</v>
      </c>
      <c r="G99" s="8" t="s">
        <v>359</v>
      </c>
      <c r="H99" s="8" t="s">
        <v>360</v>
      </c>
      <c r="I99" s="8" t="s">
        <v>50</v>
      </c>
      <c r="J99" s="8" t="s">
        <v>51</v>
      </c>
      <c r="K99" s="9" t="s">
        <v>52</v>
      </c>
      <c r="L99" s="8" t="s">
        <v>53</v>
      </c>
      <c r="M99" s="8" t="s">
        <v>54</v>
      </c>
      <c r="N99" s="53" t="s">
        <v>55</v>
      </c>
      <c r="O99" s="53" t="s">
        <v>70</v>
      </c>
      <c r="P99" s="20" t="s">
        <v>57</v>
      </c>
      <c r="Q99" s="21" t="s">
        <v>122</v>
      </c>
      <c r="R99" s="20" t="s">
        <v>526</v>
      </c>
      <c r="S99" s="20" t="s">
        <v>527</v>
      </c>
      <c r="T99" s="22">
        <v>5.73125880078E11</v>
      </c>
      <c r="U99" s="53" t="s">
        <v>61</v>
      </c>
      <c r="V99" s="11"/>
      <c r="W99" s="11"/>
      <c r="X99" s="11"/>
      <c r="Y99" s="54">
        <v>5.0</v>
      </c>
      <c r="Z99" s="28"/>
      <c r="AA99" s="28"/>
      <c r="AB99" s="28"/>
      <c r="AC99" s="28"/>
      <c r="AD99" s="28"/>
      <c r="AE99" s="28"/>
      <c r="AF99" s="29"/>
      <c r="AG99" s="29"/>
      <c r="AH99" s="30"/>
      <c r="AI99" s="31"/>
      <c r="AJ99" s="28"/>
      <c r="AK99" s="32"/>
      <c r="AL99" s="32"/>
      <c r="AM99" s="32"/>
      <c r="AN99" s="32"/>
      <c r="AO99" s="28"/>
      <c r="AP99" s="29"/>
    </row>
    <row r="100">
      <c r="A100" s="8" t="s">
        <v>528</v>
      </c>
      <c r="B100" s="8" t="s">
        <v>529</v>
      </c>
      <c r="C100" s="8" t="s">
        <v>357</v>
      </c>
      <c r="D100" s="8" t="s">
        <v>66</v>
      </c>
      <c r="E100" s="8" t="s">
        <v>358</v>
      </c>
      <c r="F100" s="8" t="s">
        <v>68</v>
      </c>
      <c r="G100" s="8" t="s">
        <v>359</v>
      </c>
      <c r="H100" s="8" t="s">
        <v>360</v>
      </c>
      <c r="I100" s="8" t="s">
        <v>50</v>
      </c>
      <c r="J100" s="8" t="s">
        <v>51</v>
      </c>
      <c r="K100" s="9" t="s">
        <v>52</v>
      </c>
      <c r="L100" s="8" t="s">
        <v>53</v>
      </c>
      <c r="M100" s="8" t="s">
        <v>54</v>
      </c>
      <c r="N100" s="53" t="s">
        <v>137</v>
      </c>
      <c r="O100" s="53" t="s">
        <v>70</v>
      </c>
      <c r="P100" s="20" t="s">
        <v>104</v>
      </c>
      <c r="Q100" s="21" t="s">
        <v>183</v>
      </c>
      <c r="R100" s="21" t="s">
        <v>530</v>
      </c>
      <c r="S100" s="20" t="s">
        <v>531</v>
      </c>
      <c r="T100" s="22">
        <v>5.73117797455E11</v>
      </c>
      <c r="U100" s="53" t="s">
        <v>75</v>
      </c>
      <c r="V100" s="11"/>
      <c r="W100" s="11"/>
      <c r="X100" s="11"/>
      <c r="Y100" s="54">
        <v>5.0</v>
      </c>
      <c r="Z100" s="28"/>
      <c r="AA100" s="28"/>
      <c r="AB100" s="28"/>
      <c r="AC100" s="28"/>
      <c r="AD100" s="28"/>
      <c r="AE100" s="28"/>
      <c r="AF100" s="29"/>
      <c r="AG100" s="29"/>
      <c r="AH100" s="30"/>
      <c r="AI100" s="31"/>
      <c r="AJ100" s="28"/>
      <c r="AK100" s="32"/>
      <c r="AL100" s="32"/>
      <c r="AM100" s="32"/>
      <c r="AN100" s="32"/>
      <c r="AO100" s="28"/>
      <c r="AP100" s="29"/>
    </row>
    <row r="101">
      <c r="A101" s="8" t="s">
        <v>532</v>
      </c>
      <c r="B101" s="8" t="s">
        <v>533</v>
      </c>
      <c r="C101" s="8" t="s">
        <v>357</v>
      </c>
      <c r="D101" s="8" t="s">
        <v>66</v>
      </c>
      <c r="E101" s="8" t="s">
        <v>358</v>
      </c>
      <c r="F101" s="8" t="s">
        <v>68</v>
      </c>
      <c r="G101" s="8" t="s">
        <v>359</v>
      </c>
      <c r="H101" s="8" t="s">
        <v>360</v>
      </c>
      <c r="I101" s="8" t="s">
        <v>50</v>
      </c>
      <c r="J101" s="8" t="s">
        <v>51</v>
      </c>
      <c r="K101" s="9" t="s">
        <v>52</v>
      </c>
      <c r="L101" s="8" t="s">
        <v>53</v>
      </c>
      <c r="M101" s="8" t="s">
        <v>69</v>
      </c>
      <c r="N101" s="53" t="s">
        <v>137</v>
      </c>
      <c r="O101" s="53" t="s">
        <v>70</v>
      </c>
      <c r="P101" s="20" t="s">
        <v>534</v>
      </c>
      <c r="Q101" s="21" t="s">
        <v>111</v>
      </c>
      <c r="R101" s="20" t="s">
        <v>535</v>
      </c>
      <c r="S101" s="20" t="s">
        <v>536</v>
      </c>
      <c r="T101" s="22">
        <v>5.73173764199E11</v>
      </c>
      <c r="U101" s="53" t="s">
        <v>61</v>
      </c>
      <c r="V101" s="11"/>
      <c r="W101" s="11"/>
      <c r="X101" s="11"/>
      <c r="Y101" s="54">
        <v>5.0</v>
      </c>
      <c r="Z101" s="28"/>
      <c r="AA101" s="28"/>
      <c r="AB101" s="28"/>
      <c r="AC101" s="28"/>
      <c r="AD101" s="28"/>
      <c r="AE101" s="28"/>
      <c r="AF101" s="29"/>
      <c r="AG101" s="29"/>
      <c r="AH101" s="30"/>
      <c r="AI101" s="31"/>
      <c r="AJ101" s="28"/>
      <c r="AK101" s="32"/>
      <c r="AL101" s="32"/>
      <c r="AM101" s="32"/>
      <c r="AN101" s="32"/>
      <c r="AO101" s="28"/>
      <c r="AP101" s="29"/>
    </row>
    <row r="102">
      <c r="A102" s="61" t="s">
        <v>537</v>
      </c>
      <c r="B102" s="61" t="s">
        <v>538</v>
      </c>
      <c r="C102" s="61" t="s">
        <v>357</v>
      </c>
      <c r="D102" s="61" t="s">
        <v>66</v>
      </c>
      <c r="E102" s="61" t="s">
        <v>358</v>
      </c>
      <c r="F102" s="61" t="s">
        <v>68</v>
      </c>
      <c r="G102" s="61" t="s">
        <v>359</v>
      </c>
      <c r="H102" s="61" t="s">
        <v>360</v>
      </c>
      <c r="I102" s="61" t="s">
        <v>50</v>
      </c>
      <c r="J102" s="61" t="s">
        <v>51</v>
      </c>
      <c r="K102" s="62" t="s">
        <v>52</v>
      </c>
      <c r="L102" s="61" t="s">
        <v>53</v>
      </c>
      <c r="M102" s="61" t="s">
        <v>54</v>
      </c>
      <c r="N102" s="63" t="s">
        <v>55</v>
      </c>
      <c r="O102" s="63" t="s">
        <v>70</v>
      </c>
      <c r="P102" s="63" t="s">
        <v>141</v>
      </c>
      <c r="Q102" s="64" t="s">
        <v>72</v>
      </c>
      <c r="R102" s="63" t="s">
        <v>173</v>
      </c>
      <c r="S102" s="63" t="s">
        <v>539</v>
      </c>
      <c r="T102" s="65">
        <v>5.73108289293E11</v>
      </c>
      <c r="U102" s="63" t="s">
        <v>75</v>
      </c>
      <c r="V102" s="66"/>
      <c r="W102" s="66"/>
      <c r="X102" s="66"/>
      <c r="Y102" s="67">
        <v>5.0</v>
      </c>
      <c r="Z102" s="13"/>
      <c r="AA102" s="13"/>
      <c r="AB102" s="13"/>
      <c r="AC102" s="13"/>
      <c r="AD102" s="13"/>
      <c r="AE102" s="13"/>
      <c r="AF102" s="14"/>
      <c r="AG102" s="14"/>
      <c r="AH102" s="15"/>
      <c r="AI102" s="16"/>
      <c r="AJ102" s="13"/>
      <c r="AK102" s="17"/>
      <c r="AL102" s="17"/>
      <c r="AM102" s="17"/>
      <c r="AN102" s="17"/>
      <c r="AO102" s="13"/>
      <c r="AP102" s="14"/>
    </row>
    <row r="103">
      <c r="A103" s="8" t="s">
        <v>540</v>
      </c>
      <c r="B103" s="8" t="s">
        <v>541</v>
      </c>
      <c r="C103" s="8" t="s">
        <v>357</v>
      </c>
      <c r="D103" s="8" t="s">
        <v>66</v>
      </c>
      <c r="E103" s="8" t="s">
        <v>358</v>
      </c>
      <c r="F103" s="8" t="s">
        <v>68</v>
      </c>
      <c r="G103" s="8" t="s">
        <v>359</v>
      </c>
      <c r="H103" s="8" t="s">
        <v>360</v>
      </c>
      <c r="I103" s="8" t="s">
        <v>50</v>
      </c>
      <c r="J103" s="8" t="s">
        <v>51</v>
      </c>
      <c r="K103" s="9" t="s">
        <v>52</v>
      </c>
      <c r="L103" s="8" t="s">
        <v>53</v>
      </c>
      <c r="M103" s="8" t="s">
        <v>54</v>
      </c>
      <c r="N103" s="53" t="s">
        <v>55</v>
      </c>
      <c r="O103" s="53" t="s">
        <v>70</v>
      </c>
      <c r="P103" s="20" t="s">
        <v>542</v>
      </c>
      <c r="Q103" s="21" t="s">
        <v>94</v>
      </c>
      <c r="R103" s="20" t="s">
        <v>454</v>
      </c>
      <c r="S103" s="20" t="s">
        <v>543</v>
      </c>
      <c r="T103" s="22">
        <v>5.7320305763E11</v>
      </c>
      <c r="U103" s="53" t="s">
        <v>75</v>
      </c>
      <c r="V103" s="11"/>
      <c r="W103" s="11"/>
      <c r="X103" s="11"/>
      <c r="Y103" s="54">
        <v>5.0</v>
      </c>
      <c r="Z103" s="13"/>
      <c r="AA103" s="13"/>
      <c r="AB103" s="13"/>
      <c r="AC103" s="13"/>
      <c r="AD103" s="13"/>
      <c r="AE103" s="13"/>
      <c r="AF103" s="14"/>
      <c r="AG103" s="14"/>
      <c r="AH103" s="15"/>
      <c r="AI103" s="16"/>
      <c r="AJ103" s="13"/>
      <c r="AK103" s="17"/>
      <c r="AL103" s="17"/>
      <c r="AM103" s="17"/>
      <c r="AN103" s="17"/>
      <c r="AO103" s="13"/>
      <c r="AP103" s="14"/>
    </row>
    <row r="104">
      <c r="A104" s="8" t="s">
        <v>544</v>
      </c>
      <c r="B104" s="8" t="s">
        <v>545</v>
      </c>
      <c r="C104" s="8" t="s">
        <v>357</v>
      </c>
      <c r="D104" s="8" t="s">
        <v>66</v>
      </c>
      <c r="E104" s="8" t="s">
        <v>358</v>
      </c>
      <c r="F104" s="8" t="s">
        <v>68</v>
      </c>
      <c r="G104" s="8" t="s">
        <v>359</v>
      </c>
      <c r="H104" s="8" t="s">
        <v>360</v>
      </c>
      <c r="I104" s="8" t="s">
        <v>50</v>
      </c>
      <c r="J104" s="8" t="s">
        <v>51</v>
      </c>
      <c r="K104" s="9" t="s">
        <v>52</v>
      </c>
      <c r="L104" s="8" t="s">
        <v>53</v>
      </c>
      <c r="M104" s="8" t="s">
        <v>54</v>
      </c>
      <c r="N104" s="53" t="s">
        <v>137</v>
      </c>
      <c r="O104" s="53" t="s">
        <v>70</v>
      </c>
      <c r="P104" s="20" t="s">
        <v>546</v>
      </c>
      <c r="Q104" s="21" t="s">
        <v>111</v>
      </c>
      <c r="R104" s="20" t="s">
        <v>547</v>
      </c>
      <c r="S104" s="20" t="s">
        <v>548</v>
      </c>
      <c r="T104" s="22">
        <v>5.73205586431E11</v>
      </c>
      <c r="U104" s="53" t="s">
        <v>61</v>
      </c>
      <c r="V104" s="11"/>
      <c r="W104" s="11"/>
      <c r="X104" s="11"/>
      <c r="Y104" s="54">
        <v>5.0</v>
      </c>
      <c r="Z104" s="13"/>
      <c r="AA104" s="13"/>
      <c r="AB104" s="13"/>
      <c r="AC104" s="13"/>
      <c r="AD104" s="13"/>
      <c r="AE104" s="13"/>
      <c r="AF104" s="14"/>
      <c r="AG104" s="14"/>
      <c r="AH104" s="15"/>
      <c r="AI104" s="16"/>
      <c r="AJ104" s="13"/>
      <c r="AK104" s="17"/>
      <c r="AL104" s="17"/>
      <c r="AM104" s="17"/>
      <c r="AN104" s="17"/>
      <c r="AO104" s="13"/>
      <c r="AP104" s="14"/>
    </row>
    <row r="105">
      <c r="A105" s="8" t="s">
        <v>549</v>
      </c>
      <c r="B105" s="8" t="s">
        <v>550</v>
      </c>
      <c r="C105" s="8" t="s">
        <v>357</v>
      </c>
      <c r="D105" s="8" t="s">
        <v>66</v>
      </c>
      <c r="E105" s="8" t="s">
        <v>358</v>
      </c>
      <c r="F105" s="8" t="s">
        <v>68</v>
      </c>
      <c r="G105" s="8" t="s">
        <v>359</v>
      </c>
      <c r="H105" s="8" t="s">
        <v>360</v>
      </c>
      <c r="I105" s="8" t="s">
        <v>50</v>
      </c>
      <c r="J105" s="8" t="s">
        <v>51</v>
      </c>
      <c r="K105" s="9" t="s">
        <v>52</v>
      </c>
      <c r="L105" s="8" t="s">
        <v>53</v>
      </c>
      <c r="M105" s="8" t="s">
        <v>69</v>
      </c>
      <c r="N105" s="53" t="s">
        <v>85</v>
      </c>
      <c r="O105" s="53" t="s">
        <v>70</v>
      </c>
      <c r="P105" s="20" t="s">
        <v>551</v>
      </c>
      <c r="Q105" s="21" t="s">
        <v>111</v>
      </c>
      <c r="R105" s="20" t="s">
        <v>552</v>
      </c>
      <c r="S105" s="20" t="s">
        <v>553</v>
      </c>
      <c r="T105" s="22">
        <v>5.73054858416E11</v>
      </c>
      <c r="U105" s="53" t="s">
        <v>75</v>
      </c>
      <c r="V105" s="11"/>
      <c r="W105" s="11"/>
      <c r="X105" s="11"/>
      <c r="Y105" s="54">
        <v>5.0</v>
      </c>
      <c r="Z105" s="28"/>
      <c r="AA105" s="28"/>
      <c r="AB105" s="28"/>
      <c r="AC105" s="28"/>
      <c r="AD105" s="28"/>
      <c r="AE105" s="28"/>
      <c r="AF105" s="29"/>
      <c r="AG105" s="29"/>
      <c r="AH105" s="30"/>
      <c r="AI105" s="31"/>
      <c r="AJ105" s="28"/>
      <c r="AK105" s="32"/>
      <c r="AL105" s="32"/>
      <c r="AM105" s="32"/>
      <c r="AN105" s="32"/>
      <c r="AO105" s="28"/>
      <c r="AP105" s="29"/>
    </row>
    <row r="106">
      <c r="A106" s="8" t="s">
        <v>554</v>
      </c>
      <c r="B106" s="8" t="s">
        <v>555</v>
      </c>
      <c r="C106" s="8" t="s">
        <v>348</v>
      </c>
      <c r="D106" s="8" t="s">
        <v>45</v>
      </c>
      <c r="E106" s="8" t="s">
        <v>349</v>
      </c>
      <c r="F106" s="8" t="s">
        <v>47</v>
      </c>
      <c r="G106" s="8" t="s">
        <v>350</v>
      </c>
      <c r="H106" s="8" t="s">
        <v>351</v>
      </c>
      <c r="I106" s="8" t="s">
        <v>50</v>
      </c>
      <c r="J106" s="8" t="s">
        <v>51</v>
      </c>
      <c r="K106" s="9" t="s">
        <v>52</v>
      </c>
      <c r="L106" s="8" t="s">
        <v>53</v>
      </c>
      <c r="M106" s="8" t="s">
        <v>54</v>
      </c>
      <c r="N106" s="53" t="s">
        <v>85</v>
      </c>
      <c r="O106" s="8" t="s">
        <v>56</v>
      </c>
      <c r="P106" s="8" t="s">
        <v>556</v>
      </c>
      <c r="Q106" s="9" t="s">
        <v>111</v>
      </c>
      <c r="R106" s="8" t="s">
        <v>557</v>
      </c>
      <c r="S106" s="8" t="s">
        <v>558</v>
      </c>
      <c r="T106" s="10">
        <v>5.7310857495E11</v>
      </c>
      <c r="U106" s="53" t="s">
        <v>61</v>
      </c>
      <c r="V106" s="11"/>
      <c r="W106" s="11"/>
      <c r="X106" s="11"/>
      <c r="Y106" s="12" t="s">
        <v>62</v>
      </c>
      <c r="Z106" s="28"/>
      <c r="AA106" s="28"/>
      <c r="AB106" s="28"/>
      <c r="AC106" s="28"/>
      <c r="AD106" s="28"/>
      <c r="AE106" s="28"/>
      <c r="AF106" s="29"/>
      <c r="AG106" s="29"/>
      <c r="AH106" s="30"/>
      <c r="AI106" s="31"/>
      <c r="AJ106" s="28"/>
      <c r="AK106" s="32"/>
      <c r="AL106" s="32"/>
      <c r="AM106" s="32"/>
      <c r="AN106" s="32"/>
      <c r="AO106" s="28"/>
      <c r="AP106" s="29"/>
    </row>
    <row r="107">
      <c r="A107" s="8" t="s">
        <v>559</v>
      </c>
      <c r="B107" s="8" t="s">
        <v>560</v>
      </c>
      <c r="C107" s="8" t="s">
        <v>348</v>
      </c>
      <c r="D107" s="8" t="s">
        <v>45</v>
      </c>
      <c r="E107" s="8" t="s">
        <v>349</v>
      </c>
      <c r="F107" s="8" t="s">
        <v>47</v>
      </c>
      <c r="G107" s="8" t="s">
        <v>350</v>
      </c>
      <c r="H107" s="8" t="s">
        <v>351</v>
      </c>
      <c r="I107" s="8" t="s">
        <v>50</v>
      </c>
      <c r="J107" s="8" t="s">
        <v>51</v>
      </c>
      <c r="K107" s="9" t="s">
        <v>52</v>
      </c>
      <c r="L107" s="8" t="s">
        <v>84</v>
      </c>
      <c r="M107" s="8" t="s">
        <v>69</v>
      </c>
      <c r="N107" s="53" t="s">
        <v>55</v>
      </c>
      <c r="O107" s="8" t="s">
        <v>56</v>
      </c>
      <c r="P107" s="8" t="s">
        <v>561</v>
      </c>
      <c r="Q107" s="9" t="s">
        <v>122</v>
      </c>
      <c r="R107" s="8" t="s">
        <v>562</v>
      </c>
      <c r="S107" s="8" t="s">
        <v>563</v>
      </c>
      <c r="T107" s="10">
        <v>5.73157801985E11</v>
      </c>
      <c r="U107" s="53" t="s">
        <v>75</v>
      </c>
      <c r="V107" s="11"/>
      <c r="W107" s="11"/>
      <c r="X107" s="11"/>
      <c r="Y107" s="12" t="s">
        <v>62</v>
      </c>
      <c r="Z107" s="13"/>
      <c r="AA107" s="13"/>
      <c r="AB107" s="13"/>
      <c r="AC107" s="13"/>
      <c r="AD107" s="13"/>
      <c r="AE107" s="13"/>
      <c r="AF107" s="14"/>
      <c r="AG107" s="14"/>
      <c r="AH107" s="15"/>
      <c r="AI107" s="16"/>
      <c r="AJ107" s="13"/>
      <c r="AK107" s="17"/>
      <c r="AL107" s="17"/>
      <c r="AM107" s="17"/>
      <c r="AN107" s="17"/>
      <c r="AO107" s="13"/>
      <c r="AP107" s="14"/>
    </row>
    <row r="108">
      <c r="A108" s="8" t="s">
        <v>564</v>
      </c>
      <c r="B108" s="8" t="s">
        <v>565</v>
      </c>
      <c r="C108" s="8" t="s">
        <v>357</v>
      </c>
      <c r="D108" s="8" t="s">
        <v>66</v>
      </c>
      <c r="E108" s="8" t="s">
        <v>358</v>
      </c>
      <c r="F108" s="8" t="s">
        <v>68</v>
      </c>
      <c r="G108" s="8" t="s">
        <v>359</v>
      </c>
      <c r="H108" s="8" t="s">
        <v>360</v>
      </c>
      <c r="I108" s="8" t="s">
        <v>50</v>
      </c>
      <c r="J108" s="8" t="s">
        <v>51</v>
      </c>
      <c r="K108" s="9" t="s">
        <v>52</v>
      </c>
      <c r="L108" s="8" t="s">
        <v>53</v>
      </c>
      <c r="M108" s="8" t="s">
        <v>69</v>
      </c>
      <c r="N108" s="53" t="s">
        <v>137</v>
      </c>
      <c r="O108" s="53" t="s">
        <v>70</v>
      </c>
      <c r="P108" s="20" t="s">
        <v>308</v>
      </c>
      <c r="Q108" s="21" t="s">
        <v>72</v>
      </c>
      <c r="R108" s="20" t="s">
        <v>173</v>
      </c>
      <c r="S108" s="20" t="s">
        <v>566</v>
      </c>
      <c r="T108" s="22">
        <v>5.73012706486E11</v>
      </c>
      <c r="U108" s="53" t="s">
        <v>61</v>
      </c>
      <c r="V108" s="11"/>
      <c r="W108" s="11"/>
      <c r="X108" s="11"/>
      <c r="Y108" s="54">
        <v>5.0</v>
      </c>
      <c r="Z108" s="28"/>
      <c r="AA108" s="28"/>
      <c r="AB108" s="28"/>
      <c r="AC108" s="28"/>
      <c r="AD108" s="28"/>
      <c r="AE108" s="28"/>
      <c r="AF108" s="29"/>
      <c r="AG108" s="29"/>
      <c r="AH108" s="30"/>
      <c r="AI108" s="31"/>
      <c r="AJ108" s="28"/>
      <c r="AK108" s="32"/>
      <c r="AL108" s="32"/>
      <c r="AM108" s="32"/>
      <c r="AN108" s="32"/>
      <c r="AO108" s="28"/>
      <c r="AP108" s="29"/>
    </row>
    <row r="109">
      <c r="A109" s="8" t="s">
        <v>567</v>
      </c>
      <c r="B109" s="8" t="s">
        <v>568</v>
      </c>
      <c r="C109" s="8" t="s">
        <v>357</v>
      </c>
      <c r="D109" s="8" t="s">
        <v>66</v>
      </c>
      <c r="E109" s="8" t="s">
        <v>358</v>
      </c>
      <c r="F109" s="8" t="s">
        <v>68</v>
      </c>
      <c r="G109" s="8" t="s">
        <v>359</v>
      </c>
      <c r="H109" s="8" t="s">
        <v>360</v>
      </c>
      <c r="I109" s="8" t="s">
        <v>50</v>
      </c>
      <c r="J109" s="8" t="s">
        <v>51</v>
      </c>
      <c r="K109" s="9" t="s">
        <v>52</v>
      </c>
      <c r="L109" s="8" t="s">
        <v>53</v>
      </c>
      <c r="M109" s="8" t="s">
        <v>69</v>
      </c>
      <c r="N109" s="53" t="s">
        <v>55</v>
      </c>
      <c r="O109" s="53" t="s">
        <v>70</v>
      </c>
      <c r="P109" s="20" t="s">
        <v>232</v>
      </c>
      <c r="Q109" s="21" t="s">
        <v>105</v>
      </c>
      <c r="R109" s="20" t="s">
        <v>569</v>
      </c>
      <c r="S109" s="20" t="s">
        <v>570</v>
      </c>
      <c r="T109" s="22">
        <v>3.205222404E9</v>
      </c>
      <c r="U109" s="53" t="s">
        <v>75</v>
      </c>
      <c r="V109" s="11"/>
      <c r="W109" s="11"/>
      <c r="X109" s="11"/>
      <c r="Y109" s="54">
        <v>5.0</v>
      </c>
      <c r="Z109" s="28"/>
      <c r="AA109" s="28"/>
      <c r="AB109" s="28"/>
      <c r="AC109" s="28"/>
      <c r="AD109" s="28"/>
      <c r="AE109" s="28"/>
      <c r="AF109" s="29"/>
      <c r="AG109" s="29"/>
      <c r="AH109" s="30"/>
      <c r="AI109" s="31"/>
      <c r="AJ109" s="28"/>
      <c r="AK109" s="32"/>
      <c r="AL109" s="32"/>
      <c r="AM109" s="32"/>
      <c r="AN109" s="32"/>
      <c r="AO109" s="28"/>
      <c r="AP109" s="29"/>
    </row>
    <row r="110">
      <c r="A110" s="8" t="s">
        <v>571</v>
      </c>
      <c r="B110" s="8" t="s">
        <v>572</v>
      </c>
      <c r="C110" s="8" t="s">
        <v>357</v>
      </c>
      <c r="D110" s="8" t="s">
        <v>66</v>
      </c>
      <c r="E110" s="8" t="s">
        <v>358</v>
      </c>
      <c r="F110" s="8" t="s">
        <v>68</v>
      </c>
      <c r="G110" s="8" t="s">
        <v>359</v>
      </c>
      <c r="H110" s="8" t="s">
        <v>360</v>
      </c>
      <c r="I110" s="8" t="s">
        <v>50</v>
      </c>
      <c r="J110" s="8" t="s">
        <v>51</v>
      </c>
      <c r="K110" s="9" t="s">
        <v>52</v>
      </c>
      <c r="L110" s="8" t="s">
        <v>53</v>
      </c>
      <c r="M110" s="8" t="s">
        <v>69</v>
      </c>
      <c r="N110" s="53" t="s">
        <v>55</v>
      </c>
      <c r="O110" s="53" t="s">
        <v>70</v>
      </c>
      <c r="P110" s="20" t="s">
        <v>573</v>
      </c>
      <c r="Q110" s="21" t="s">
        <v>111</v>
      </c>
      <c r="R110" s="20" t="s">
        <v>207</v>
      </c>
      <c r="S110" s="20" t="s">
        <v>574</v>
      </c>
      <c r="T110" s="22">
        <v>5.73104611565E11</v>
      </c>
      <c r="U110" s="53" t="s">
        <v>75</v>
      </c>
      <c r="V110" s="11"/>
      <c r="W110" s="11"/>
      <c r="X110" s="11"/>
      <c r="Y110" s="54">
        <v>5.0</v>
      </c>
      <c r="Z110" s="28"/>
      <c r="AA110" s="28"/>
      <c r="AB110" s="29"/>
      <c r="AC110" s="29"/>
      <c r="AD110" s="29"/>
      <c r="AE110" s="29"/>
      <c r="AF110" s="29"/>
      <c r="AG110" s="29"/>
      <c r="AH110" s="30"/>
      <c r="AI110" s="31"/>
      <c r="AJ110" s="28"/>
      <c r="AK110" s="28"/>
      <c r="AL110" s="28"/>
      <c r="AM110" s="32"/>
      <c r="AN110" s="32"/>
      <c r="AO110" s="28"/>
      <c r="AP110" s="29"/>
    </row>
    <row r="111">
      <c r="A111" s="8" t="s">
        <v>575</v>
      </c>
      <c r="B111" s="8" t="s">
        <v>576</v>
      </c>
      <c r="C111" s="8" t="s">
        <v>348</v>
      </c>
      <c r="D111" s="8" t="s">
        <v>45</v>
      </c>
      <c r="E111" s="8" t="s">
        <v>349</v>
      </c>
      <c r="F111" s="8" t="s">
        <v>47</v>
      </c>
      <c r="G111" s="8" t="s">
        <v>350</v>
      </c>
      <c r="H111" s="8" t="s">
        <v>351</v>
      </c>
      <c r="I111" s="8" t="s">
        <v>50</v>
      </c>
      <c r="J111" s="8" t="s">
        <v>51</v>
      </c>
      <c r="K111" s="9" t="s">
        <v>52</v>
      </c>
      <c r="L111" s="8" t="s">
        <v>84</v>
      </c>
      <c r="M111" s="8" t="s">
        <v>69</v>
      </c>
      <c r="N111" s="53" t="s">
        <v>85</v>
      </c>
      <c r="O111" s="53" t="s">
        <v>70</v>
      </c>
      <c r="P111" s="20" t="s">
        <v>577</v>
      </c>
      <c r="Q111" s="21" t="s">
        <v>111</v>
      </c>
      <c r="R111" s="20" t="s">
        <v>578</v>
      </c>
      <c r="S111" s="20" t="s">
        <v>579</v>
      </c>
      <c r="T111" s="22">
        <v>5.73204312737E11</v>
      </c>
      <c r="U111" s="53" t="s">
        <v>75</v>
      </c>
      <c r="V111" s="11"/>
      <c r="W111" s="11"/>
      <c r="X111" s="11"/>
      <c r="Y111" s="54">
        <v>5.0</v>
      </c>
      <c r="Z111" s="28"/>
      <c r="AA111" s="28"/>
      <c r="AB111" s="28"/>
      <c r="AC111" s="28"/>
      <c r="AD111" s="28"/>
      <c r="AE111" s="28"/>
      <c r="AF111" s="29"/>
      <c r="AG111" s="29"/>
      <c r="AH111" s="30"/>
      <c r="AI111" s="31"/>
      <c r="AJ111" s="28"/>
      <c r="AK111" s="32"/>
      <c r="AL111" s="32"/>
      <c r="AM111" s="32"/>
      <c r="AN111" s="32"/>
      <c r="AO111" s="28"/>
      <c r="AP111" s="29"/>
    </row>
    <row r="112">
      <c r="A112" s="8" t="s">
        <v>580</v>
      </c>
      <c r="B112" s="8" t="s">
        <v>581</v>
      </c>
      <c r="C112" s="8" t="s">
        <v>348</v>
      </c>
      <c r="D112" s="8" t="s">
        <v>45</v>
      </c>
      <c r="E112" s="8" t="s">
        <v>349</v>
      </c>
      <c r="F112" s="8" t="s">
        <v>47</v>
      </c>
      <c r="G112" s="8" t="s">
        <v>350</v>
      </c>
      <c r="H112" s="8" t="s">
        <v>351</v>
      </c>
      <c r="I112" s="8" t="s">
        <v>50</v>
      </c>
      <c r="J112" s="8" t="s">
        <v>51</v>
      </c>
      <c r="K112" s="9" t="s">
        <v>52</v>
      </c>
      <c r="L112" s="8" t="s">
        <v>53</v>
      </c>
      <c r="M112" s="8" t="s">
        <v>69</v>
      </c>
      <c r="N112" s="53" t="s">
        <v>55</v>
      </c>
      <c r="O112" s="53" t="s">
        <v>70</v>
      </c>
      <c r="P112" s="20" t="s">
        <v>141</v>
      </c>
      <c r="Q112" s="21" t="s">
        <v>582</v>
      </c>
      <c r="R112" s="20" t="s">
        <v>583</v>
      </c>
      <c r="S112" s="20" t="s">
        <v>584</v>
      </c>
      <c r="T112" s="22">
        <v>5.73232924542E11</v>
      </c>
      <c r="U112" s="53" t="s">
        <v>61</v>
      </c>
      <c r="V112" s="11"/>
      <c r="W112" s="11"/>
      <c r="X112" s="11"/>
      <c r="Y112" s="54">
        <v>5.0</v>
      </c>
      <c r="Z112" s="28"/>
      <c r="AA112" s="28"/>
      <c r="AB112" s="28"/>
      <c r="AC112" s="28"/>
      <c r="AD112" s="28"/>
      <c r="AE112" s="28"/>
      <c r="AF112" s="29"/>
      <c r="AG112" s="29"/>
      <c r="AH112" s="30"/>
      <c r="AI112" s="31"/>
      <c r="AJ112" s="28"/>
      <c r="AK112" s="32"/>
      <c r="AL112" s="32"/>
      <c r="AM112" s="32"/>
      <c r="AN112" s="32"/>
      <c r="AO112" s="28"/>
      <c r="AP112" s="29"/>
    </row>
    <row r="113">
      <c r="A113" s="8" t="s">
        <v>585</v>
      </c>
      <c r="B113" s="8" t="s">
        <v>586</v>
      </c>
      <c r="C113" s="8" t="s">
        <v>357</v>
      </c>
      <c r="D113" s="8" t="s">
        <v>66</v>
      </c>
      <c r="E113" s="8" t="s">
        <v>358</v>
      </c>
      <c r="F113" s="8" t="s">
        <v>68</v>
      </c>
      <c r="G113" s="8" t="s">
        <v>359</v>
      </c>
      <c r="H113" s="8" t="s">
        <v>360</v>
      </c>
      <c r="I113" s="8" t="s">
        <v>50</v>
      </c>
      <c r="J113" s="8" t="s">
        <v>51</v>
      </c>
      <c r="K113" s="9" t="s">
        <v>52</v>
      </c>
      <c r="L113" s="8" t="s">
        <v>53</v>
      </c>
      <c r="M113" s="8" t="s">
        <v>54</v>
      </c>
      <c r="N113" s="53" t="s">
        <v>55</v>
      </c>
      <c r="O113" s="8" t="s">
        <v>56</v>
      </c>
      <c r="P113" s="8" t="s">
        <v>433</v>
      </c>
      <c r="Q113" s="9" t="s">
        <v>105</v>
      </c>
      <c r="R113" s="8" t="s">
        <v>587</v>
      </c>
      <c r="S113" s="8" t="s">
        <v>588</v>
      </c>
      <c r="T113" s="10">
        <v>3.184131287E9</v>
      </c>
      <c r="U113" s="53" t="s">
        <v>75</v>
      </c>
      <c r="V113" s="11"/>
      <c r="W113" s="11"/>
      <c r="X113" s="11"/>
      <c r="Y113" s="12" t="s">
        <v>62</v>
      </c>
      <c r="Z113" s="28"/>
      <c r="AA113" s="28"/>
      <c r="AB113" s="28"/>
      <c r="AC113" s="28"/>
      <c r="AD113" s="28"/>
      <c r="AE113" s="28"/>
      <c r="AF113" s="29"/>
      <c r="AG113" s="29"/>
      <c r="AH113" s="30"/>
      <c r="AI113" s="31"/>
      <c r="AJ113" s="28"/>
      <c r="AK113" s="32"/>
      <c r="AL113" s="32"/>
      <c r="AM113" s="32"/>
      <c r="AN113" s="32"/>
      <c r="AO113" s="28"/>
      <c r="AP113" s="29"/>
    </row>
    <row r="114">
      <c r="A114" s="8" t="s">
        <v>589</v>
      </c>
      <c r="B114" s="8" t="s">
        <v>590</v>
      </c>
      <c r="C114" s="8" t="s">
        <v>348</v>
      </c>
      <c r="D114" s="8" t="s">
        <v>45</v>
      </c>
      <c r="E114" s="8" t="s">
        <v>349</v>
      </c>
      <c r="F114" s="8" t="s">
        <v>47</v>
      </c>
      <c r="G114" s="8" t="s">
        <v>350</v>
      </c>
      <c r="H114" s="8" t="s">
        <v>351</v>
      </c>
      <c r="I114" s="8" t="s">
        <v>50</v>
      </c>
      <c r="J114" s="8" t="s">
        <v>51</v>
      </c>
      <c r="K114" s="9" t="s">
        <v>52</v>
      </c>
      <c r="L114" s="8" t="s">
        <v>53</v>
      </c>
      <c r="M114" s="8" t="s">
        <v>54</v>
      </c>
      <c r="N114" s="53" t="s">
        <v>85</v>
      </c>
      <c r="O114" s="8" t="s">
        <v>56</v>
      </c>
      <c r="P114" s="8" t="s">
        <v>591</v>
      </c>
      <c r="Q114" s="9" t="s">
        <v>592</v>
      </c>
      <c r="R114" s="8" t="s">
        <v>593</v>
      </c>
      <c r="S114" s="8" t="s">
        <v>594</v>
      </c>
      <c r="T114" s="10">
        <v>3.017617034E9</v>
      </c>
      <c r="U114" s="53" t="s">
        <v>75</v>
      </c>
      <c r="V114" s="11"/>
      <c r="W114" s="11"/>
      <c r="X114" s="11"/>
      <c r="Y114" s="12" t="s">
        <v>62</v>
      </c>
      <c r="Z114" s="28"/>
      <c r="AA114" s="28"/>
      <c r="AB114" s="28"/>
      <c r="AC114" s="28"/>
      <c r="AD114" s="28"/>
      <c r="AE114" s="28"/>
      <c r="AF114" s="29"/>
      <c r="AG114" s="29"/>
      <c r="AH114" s="72"/>
      <c r="AI114" s="72"/>
      <c r="AJ114" s="28"/>
      <c r="AK114" s="32"/>
      <c r="AL114" s="32"/>
      <c r="AM114" s="32"/>
      <c r="AN114" s="32"/>
      <c r="AO114" s="28"/>
      <c r="AP114" s="29"/>
    </row>
    <row r="115">
      <c r="A115" s="8" t="s">
        <v>595</v>
      </c>
      <c r="B115" s="8" t="s">
        <v>596</v>
      </c>
      <c r="C115" s="8" t="s">
        <v>357</v>
      </c>
      <c r="D115" s="8" t="s">
        <v>66</v>
      </c>
      <c r="E115" s="8" t="s">
        <v>358</v>
      </c>
      <c r="F115" s="8" t="s">
        <v>68</v>
      </c>
      <c r="G115" s="8" t="s">
        <v>359</v>
      </c>
      <c r="H115" s="8" t="s">
        <v>360</v>
      </c>
      <c r="I115" s="8" t="s">
        <v>50</v>
      </c>
      <c r="J115" s="8" t="s">
        <v>51</v>
      </c>
      <c r="K115" s="9" t="s">
        <v>52</v>
      </c>
      <c r="L115" s="8" t="s">
        <v>53</v>
      </c>
      <c r="M115" s="8" t="s">
        <v>54</v>
      </c>
      <c r="N115" s="53" t="s">
        <v>137</v>
      </c>
      <c r="O115" s="53" t="s">
        <v>70</v>
      </c>
      <c r="P115" s="20" t="s">
        <v>127</v>
      </c>
      <c r="Q115" s="21" t="s">
        <v>94</v>
      </c>
      <c r="R115" s="20" t="s">
        <v>597</v>
      </c>
      <c r="S115" s="20" t="s">
        <v>598</v>
      </c>
      <c r="T115" s="22">
        <v>5.73166986023E11</v>
      </c>
      <c r="U115" s="53" t="s">
        <v>61</v>
      </c>
      <c r="V115" s="11"/>
      <c r="W115" s="11"/>
      <c r="X115" s="11"/>
      <c r="Y115" s="54">
        <v>5.0</v>
      </c>
      <c r="Z115" s="28"/>
      <c r="AA115" s="28"/>
      <c r="AB115" s="28"/>
      <c r="AC115" s="28"/>
      <c r="AD115" s="28"/>
      <c r="AE115" s="28"/>
      <c r="AF115" s="29"/>
      <c r="AG115" s="29"/>
      <c r="AH115" s="30"/>
      <c r="AI115" s="31"/>
      <c r="AJ115" s="28"/>
      <c r="AK115" s="32"/>
      <c r="AL115" s="32"/>
      <c r="AM115" s="32"/>
      <c r="AN115" s="32"/>
      <c r="AO115" s="28"/>
      <c r="AP115" s="29"/>
    </row>
    <row r="116">
      <c r="A116" s="8" t="s">
        <v>599</v>
      </c>
      <c r="B116" s="8" t="s">
        <v>600</v>
      </c>
      <c r="C116" s="8" t="s">
        <v>357</v>
      </c>
      <c r="D116" s="8" t="s">
        <v>66</v>
      </c>
      <c r="E116" s="8" t="s">
        <v>358</v>
      </c>
      <c r="F116" s="8" t="s">
        <v>68</v>
      </c>
      <c r="G116" s="8" t="s">
        <v>359</v>
      </c>
      <c r="H116" s="8" t="s">
        <v>360</v>
      </c>
      <c r="I116" s="8" t="s">
        <v>50</v>
      </c>
      <c r="J116" s="8" t="s">
        <v>51</v>
      </c>
      <c r="K116" s="9" t="s">
        <v>52</v>
      </c>
      <c r="L116" s="8" t="s">
        <v>53</v>
      </c>
      <c r="M116" s="8" t="s">
        <v>69</v>
      </c>
      <c r="N116" s="53" t="s">
        <v>55</v>
      </c>
      <c r="O116" s="53" t="s">
        <v>70</v>
      </c>
      <c r="P116" s="20" t="s">
        <v>232</v>
      </c>
      <c r="Q116" s="21" t="s">
        <v>487</v>
      </c>
      <c r="R116" s="20" t="s">
        <v>173</v>
      </c>
      <c r="S116" s="20" t="s">
        <v>601</v>
      </c>
      <c r="T116" s="22">
        <v>5.73022437418E11</v>
      </c>
      <c r="U116" s="53" t="s">
        <v>61</v>
      </c>
      <c r="V116" s="11"/>
      <c r="W116" s="11"/>
      <c r="X116" s="11"/>
      <c r="Y116" s="54">
        <v>5.0</v>
      </c>
      <c r="Z116" s="28"/>
      <c r="AA116" s="28"/>
      <c r="AB116" s="28"/>
      <c r="AC116" s="28"/>
      <c r="AD116" s="28"/>
      <c r="AE116" s="28"/>
      <c r="AF116" s="29"/>
      <c r="AG116" s="29"/>
      <c r="AH116" s="30"/>
      <c r="AI116" s="31"/>
      <c r="AJ116" s="28"/>
      <c r="AK116" s="32"/>
      <c r="AL116" s="32"/>
      <c r="AM116" s="32"/>
      <c r="AN116" s="32"/>
      <c r="AO116" s="28"/>
      <c r="AP116" s="29"/>
    </row>
    <row r="117">
      <c r="A117" s="8" t="s">
        <v>602</v>
      </c>
      <c r="B117" s="8" t="s">
        <v>603</v>
      </c>
      <c r="C117" s="8" t="s">
        <v>341</v>
      </c>
      <c r="D117" s="8" t="s">
        <v>293</v>
      </c>
      <c r="E117" s="8" t="s">
        <v>342</v>
      </c>
      <c r="F117" s="8" t="s">
        <v>295</v>
      </c>
      <c r="G117" s="8" t="s">
        <v>343</v>
      </c>
      <c r="H117" s="8" t="s">
        <v>344</v>
      </c>
      <c r="I117" s="8" t="s">
        <v>50</v>
      </c>
      <c r="J117" s="8" t="s">
        <v>51</v>
      </c>
      <c r="K117" s="9" t="s">
        <v>52</v>
      </c>
      <c r="L117" s="8" t="s">
        <v>53</v>
      </c>
      <c r="M117" s="8" t="s">
        <v>54</v>
      </c>
      <c r="N117" s="53" t="s">
        <v>55</v>
      </c>
      <c r="O117" s="53" t="s">
        <v>70</v>
      </c>
      <c r="P117" s="20" t="s">
        <v>71</v>
      </c>
      <c r="Q117" s="21" t="s">
        <v>111</v>
      </c>
      <c r="R117" s="20" t="s">
        <v>604</v>
      </c>
      <c r="S117" s="20" t="s">
        <v>605</v>
      </c>
      <c r="T117" s="22">
        <v>5.73178902505E11</v>
      </c>
      <c r="U117" s="53" t="s">
        <v>61</v>
      </c>
      <c r="V117" s="11"/>
      <c r="W117" s="11"/>
      <c r="X117" s="11"/>
      <c r="Y117" s="54">
        <v>5.0</v>
      </c>
      <c r="Z117" s="28"/>
      <c r="AA117" s="28"/>
      <c r="AB117" s="28"/>
      <c r="AC117" s="28"/>
      <c r="AD117" s="28"/>
      <c r="AE117" s="28"/>
      <c r="AF117" s="29"/>
      <c r="AG117" s="29"/>
      <c r="AH117" s="30"/>
      <c r="AI117" s="31"/>
      <c r="AJ117" s="28"/>
      <c r="AK117" s="32"/>
      <c r="AL117" s="32"/>
      <c r="AM117" s="32"/>
      <c r="AN117" s="32"/>
      <c r="AO117" s="28"/>
      <c r="AP117" s="29"/>
    </row>
    <row r="118">
      <c r="A118" s="8" t="s">
        <v>606</v>
      </c>
      <c r="B118" s="8" t="s">
        <v>607</v>
      </c>
      <c r="C118" s="8" t="s">
        <v>357</v>
      </c>
      <c r="D118" s="8" t="s">
        <v>66</v>
      </c>
      <c r="E118" s="8" t="s">
        <v>358</v>
      </c>
      <c r="F118" s="8" t="s">
        <v>68</v>
      </c>
      <c r="G118" s="8" t="s">
        <v>359</v>
      </c>
      <c r="H118" s="8" t="s">
        <v>360</v>
      </c>
      <c r="I118" s="8" t="s">
        <v>50</v>
      </c>
      <c r="J118" s="8" t="s">
        <v>51</v>
      </c>
      <c r="K118" s="9" t="s">
        <v>52</v>
      </c>
      <c r="L118" s="8" t="s">
        <v>53</v>
      </c>
      <c r="M118" s="8" t="s">
        <v>54</v>
      </c>
      <c r="N118" s="53" t="s">
        <v>55</v>
      </c>
      <c r="O118" s="8" t="s">
        <v>86</v>
      </c>
      <c r="P118" s="8" t="s">
        <v>182</v>
      </c>
      <c r="Q118" s="9" t="s">
        <v>72</v>
      </c>
      <c r="R118" s="8" t="s">
        <v>608</v>
      </c>
      <c r="S118" s="8" t="s">
        <v>609</v>
      </c>
      <c r="T118" s="10">
        <v>5.73184821532E11</v>
      </c>
      <c r="U118" s="53" t="s">
        <v>61</v>
      </c>
      <c r="V118" s="11"/>
      <c r="W118" s="11"/>
      <c r="X118" s="11"/>
      <c r="Y118" s="33">
        <v>45779.0</v>
      </c>
      <c r="Z118" s="28"/>
      <c r="AA118" s="28"/>
      <c r="AB118" s="28"/>
      <c r="AC118" s="28"/>
      <c r="AD118" s="28"/>
      <c r="AE118" s="28"/>
      <c r="AF118" s="29"/>
      <c r="AG118" s="29"/>
      <c r="AH118" s="30"/>
      <c r="AI118" s="31"/>
      <c r="AJ118" s="28"/>
      <c r="AK118" s="32"/>
      <c r="AL118" s="32"/>
      <c r="AM118" s="32"/>
      <c r="AN118" s="32"/>
      <c r="AO118" s="28"/>
      <c r="AP118" s="29"/>
    </row>
    <row r="119">
      <c r="A119" s="8" t="s">
        <v>610</v>
      </c>
      <c r="B119" s="8" t="s">
        <v>611</v>
      </c>
      <c r="C119" s="8" t="s">
        <v>357</v>
      </c>
      <c r="D119" s="8" t="s">
        <v>66</v>
      </c>
      <c r="E119" s="8" t="s">
        <v>358</v>
      </c>
      <c r="F119" s="8" t="s">
        <v>68</v>
      </c>
      <c r="G119" s="8" t="s">
        <v>359</v>
      </c>
      <c r="H119" s="8" t="s">
        <v>360</v>
      </c>
      <c r="I119" s="8" t="s">
        <v>50</v>
      </c>
      <c r="J119" s="8" t="s">
        <v>51</v>
      </c>
      <c r="K119" s="9" t="s">
        <v>52</v>
      </c>
      <c r="L119" s="8" t="s">
        <v>84</v>
      </c>
      <c r="M119" s="8" t="s">
        <v>69</v>
      </c>
      <c r="N119" s="53" t="s">
        <v>55</v>
      </c>
      <c r="O119" s="53" t="s">
        <v>70</v>
      </c>
      <c r="P119" s="20" t="s">
        <v>612</v>
      </c>
      <c r="Q119" s="21" t="s">
        <v>94</v>
      </c>
      <c r="R119" s="20" t="s">
        <v>613</v>
      </c>
      <c r="S119" s="20" t="s">
        <v>614</v>
      </c>
      <c r="T119" s="22">
        <v>5.7315596155E11</v>
      </c>
      <c r="U119" s="53" t="s">
        <v>75</v>
      </c>
      <c r="V119" s="11"/>
      <c r="W119" s="11"/>
      <c r="X119" s="11"/>
      <c r="Y119" s="54">
        <v>5.0</v>
      </c>
      <c r="Z119" s="28"/>
      <c r="AA119" s="28"/>
      <c r="AB119" s="28"/>
      <c r="AC119" s="28"/>
      <c r="AD119" s="28"/>
      <c r="AE119" s="28"/>
      <c r="AF119" s="29"/>
      <c r="AG119" s="29"/>
      <c r="AH119" s="30"/>
      <c r="AI119" s="31"/>
      <c r="AJ119" s="28"/>
      <c r="AK119" s="32"/>
      <c r="AL119" s="32"/>
      <c r="AM119" s="32"/>
      <c r="AN119" s="32"/>
      <c r="AO119" s="28"/>
      <c r="AP119" s="29"/>
    </row>
    <row r="120">
      <c r="A120" s="8" t="s">
        <v>615</v>
      </c>
      <c r="B120" s="8" t="s">
        <v>616</v>
      </c>
      <c r="C120" s="8" t="s">
        <v>617</v>
      </c>
      <c r="D120" s="8" t="s">
        <v>618</v>
      </c>
      <c r="E120" s="8" t="s">
        <v>619</v>
      </c>
      <c r="F120" s="8" t="s">
        <v>620</v>
      </c>
      <c r="G120" s="8" t="s">
        <v>621</v>
      </c>
      <c r="H120" s="8" t="s">
        <v>622</v>
      </c>
      <c r="I120" s="8" t="s">
        <v>50</v>
      </c>
      <c r="J120" s="8" t="s">
        <v>51</v>
      </c>
      <c r="K120" s="9" t="s">
        <v>52</v>
      </c>
      <c r="L120" s="8" t="s">
        <v>53</v>
      </c>
      <c r="M120" s="8" t="s">
        <v>69</v>
      </c>
      <c r="N120" s="53" t="s">
        <v>55</v>
      </c>
      <c r="O120" s="53" t="s">
        <v>70</v>
      </c>
      <c r="P120" s="20" t="s">
        <v>141</v>
      </c>
      <c r="Q120" s="21" t="s">
        <v>183</v>
      </c>
      <c r="R120" s="20" t="s">
        <v>623</v>
      </c>
      <c r="S120" s="20" t="s">
        <v>624</v>
      </c>
      <c r="T120" s="22">
        <v>5.73043788381E11</v>
      </c>
      <c r="U120" s="53" t="s">
        <v>61</v>
      </c>
      <c r="V120" s="11"/>
      <c r="W120" s="11"/>
      <c r="X120" s="11"/>
      <c r="Y120" s="54">
        <v>5.0</v>
      </c>
      <c r="Z120" s="13"/>
      <c r="AA120" s="13"/>
      <c r="AB120" s="13"/>
      <c r="AC120" s="13"/>
      <c r="AD120" s="13"/>
      <c r="AE120" s="13"/>
      <c r="AF120" s="14"/>
      <c r="AG120" s="14"/>
      <c r="AH120" s="15"/>
      <c r="AI120" s="16"/>
      <c r="AJ120" s="13"/>
      <c r="AK120" s="17"/>
      <c r="AL120" s="17"/>
      <c r="AM120" s="17"/>
      <c r="AN120" s="17"/>
      <c r="AO120" s="13"/>
      <c r="AP120" s="14"/>
    </row>
    <row r="121">
      <c r="A121" s="8" t="s">
        <v>625</v>
      </c>
      <c r="B121" s="8" t="s">
        <v>626</v>
      </c>
      <c r="C121" s="8" t="s">
        <v>357</v>
      </c>
      <c r="D121" s="8" t="s">
        <v>66</v>
      </c>
      <c r="E121" s="8" t="s">
        <v>358</v>
      </c>
      <c r="F121" s="8" t="s">
        <v>68</v>
      </c>
      <c r="G121" s="8" t="s">
        <v>359</v>
      </c>
      <c r="H121" s="8" t="s">
        <v>360</v>
      </c>
      <c r="I121" s="8" t="s">
        <v>50</v>
      </c>
      <c r="J121" s="8" t="s">
        <v>51</v>
      </c>
      <c r="K121" s="9" t="s">
        <v>52</v>
      </c>
      <c r="L121" s="8" t="s">
        <v>53</v>
      </c>
      <c r="M121" s="8" t="s">
        <v>54</v>
      </c>
      <c r="N121" s="53" t="s">
        <v>55</v>
      </c>
      <c r="O121" s="53" t="s">
        <v>70</v>
      </c>
      <c r="P121" s="20" t="s">
        <v>627</v>
      </c>
      <c r="Q121" s="21" t="s">
        <v>94</v>
      </c>
      <c r="R121" s="20" t="s">
        <v>628</v>
      </c>
      <c r="S121" s="20" t="s">
        <v>629</v>
      </c>
      <c r="T121" s="22">
        <v>5.73246829111E11</v>
      </c>
      <c r="U121" s="53" t="s">
        <v>61</v>
      </c>
      <c r="V121" s="11"/>
      <c r="W121" s="11"/>
      <c r="X121" s="11"/>
      <c r="Y121" s="54">
        <v>5.0</v>
      </c>
      <c r="Z121" s="13"/>
      <c r="AA121" s="13"/>
      <c r="AB121" s="13"/>
      <c r="AC121" s="13"/>
      <c r="AD121" s="13"/>
      <c r="AE121" s="13"/>
      <c r="AF121" s="14"/>
      <c r="AG121" s="14"/>
      <c r="AH121" s="15"/>
      <c r="AI121" s="16"/>
      <c r="AJ121" s="13"/>
      <c r="AK121" s="17"/>
      <c r="AL121" s="17"/>
      <c r="AM121" s="17"/>
      <c r="AN121" s="17"/>
      <c r="AO121" s="13"/>
      <c r="AP121" s="14"/>
    </row>
    <row r="122">
      <c r="A122" s="8" t="s">
        <v>630</v>
      </c>
      <c r="B122" s="8" t="s">
        <v>631</v>
      </c>
      <c r="C122" s="8" t="s">
        <v>341</v>
      </c>
      <c r="D122" s="8" t="s">
        <v>293</v>
      </c>
      <c r="E122" s="8" t="s">
        <v>342</v>
      </c>
      <c r="F122" s="8" t="s">
        <v>295</v>
      </c>
      <c r="G122" s="8" t="s">
        <v>343</v>
      </c>
      <c r="H122" s="8" t="s">
        <v>344</v>
      </c>
      <c r="I122" s="8" t="s">
        <v>50</v>
      </c>
      <c r="J122" s="8" t="s">
        <v>51</v>
      </c>
      <c r="K122" s="9" t="s">
        <v>52</v>
      </c>
      <c r="L122" s="8" t="s">
        <v>84</v>
      </c>
      <c r="M122" s="8" t="s">
        <v>69</v>
      </c>
      <c r="N122" s="53" t="s">
        <v>55</v>
      </c>
      <c r="O122" s="53" t="s">
        <v>70</v>
      </c>
      <c r="P122" s="20" t="s">
        <v>577</v>
      </c>
      <c r="Q122" s="21" t="s">
        <v>94</v>
      </c>
      <c r="R122" s="20" t="s">
        <v>608</v>
      </c>
      <c r="S122" s="20" t="s">
        <v>632</v>
      </c>
      <c r="T122" s="22">
        <v>5.73053908475E11</v>
      </c>
      <c r="U122" s="53" t="s">
        <v>75</v>
      </c>
      <c r="V122" s="11"/>
      <c r="W122" s="11"/>
      <c r="X122" s="11"/>
      <c r="Y122" s="54">
        <v>5.0</v>
      </c>
      <c r="Z122" s="13"/>
      <c r="AA122" s="13"/>
      <c r="AB122" s="13"/>
      <c r="AC122" s="13"/>
      <c r="AD122" s="13"/>
      <c r="AE122" s="13"/>
      <c r="AF122" s="14"/>
      <c r="AG122" s="14"/>
      <c r="AH122" s="15"/>
      <c r="AI122" s="16"/>
      <c r="AJ122" s="13"/>
      <c r="AK122" s="17"/>
      <c r="AL122" s="17"/>
      <c r="AM122" s="17"/>
      <c r="AN122" s="17"/>
      <c r="AO122" s="13"/>
      <c r="AP122" s="14"/>
    </row>
    <row r="123">
      <c r="A123" s="8" t="s">
        <v>633</v>
      </c>
      <c r="B123" s="8" t="s">
        <v>634</v>
      </c>
      <c r="C123" s="8" t="s">
        <v>357</v>
      </c>
      <c r="D123" s="8" t="s">
        <v>66</v>
      </c>
      <c r="E123" s="8" t="s">
        <v>358</v>
      </c>
      <c r="F123" s="8" t="s">
        <v>68</v>
      </c>
      <c r="G123" s="8" t="s">
        <v>359</v>
      </c>
      <c r="H123" s="8" t="s">
        <v>360</v>
      </c>
      <c r="I123" s="8" t="s">
        <v>50</v>
      </c>
      <c r="J123" s="8" t="s">
        <v>51</v>
      </c>
      <c r="K123" s="9" t="s">
        <v>52</v>
      </c>
      <c r="L123" s="8" t="s">
        <v>53</v>
      </c>
      <c r="M123" s="8" t="s">
        <v>54</v>
      </c>
      <c r="N123" s="53" t="s">
        <v>55</v>
      </c>
      <c r="O123" s="53" t="s">
        <v>70</v>
      </c>
      <c r="P123" s="20" t="s">
        <v>433</v>
      </c>
      <c r="Q123" s="21" t="s">
        <v>72</v>
      </c>
      <c r="R123" s="20" t="s">
        <v>635</v>
      </c>
      <c r="S123" s="20" t="s">
        <v>636</v>
      </c>
      <c r="T123" s="22">
        <v>5.73057401549E11</v>
      </c>
      <c r="U123" s="53" t="s">
        <v>61</v>
      </c>
      <c r="V123" s="11"/>
      <c r="W123" s="11"/>
      <c r="X123" s="11"/>
      <c r="Y123" s="54">
        <v>5.0</v>
      </c>
      <c r="Z123" s="13"/>
      <c r="AA123" s="13"/>
      <c r="AB123" s="13"/>
      <c r="AC123" s="13"/>
      <c r="AD123" s="13"/>
      <c r="AE123" s="13"/>
      <c r="AF123" s="14"/>
      <c r="AG123" s="14"/>
      <c r="AH123" s="15"/>
      <c r="AI123" s="16"/>
      <c r="AJ123" s="13"/>
      <c r="AK123" s="17"/>
      <c r="AL123" s="17"/>
      <c r="AM123" s="17"/>
      <c r="AN123" s="17"/>
      <c r="AO123" s="13"/>
      <c r="AP123" s="14"/>
    </row>
    <row r="124">
      <c r="A124" s="8" t="s">
        <v>637</v>
      </c>
      <c r="B124" s="8" t="s">
        <v>638</v>
      </c>
      <c r="C124" s="8" t="s">
        <v>357</v>
      </c>
      <c r="D124" s="8" t="s">
        <v>66</v>
      </c>
      <c r="E124" s="8" t="s">
        <v>358</v>
      </c>
      <c r="F124" s="8" t="s">
        <v>68</v>
      </c>
      <c r="G124" s="8" t="s">
        <v>359</v>
      </c>
      <c r="H124" s="8" t="s">
        <v>360</v>
      </c>
      <c r="I124" s="8" t="s">
        <v>50</v>
      </c>
      <c r="J124" s="8" t="s">
        <v>51</v>
      </c>
      <c r="K124" s="9" t="s">
        <v>52</v>
      </c>
      <c r="L124" s="8" t="s">
        <v>53</v>
      </c>
      <c r="M124" s="8" t="s">
        <v>54</v>
      </c>
      <c r="N124" s="53" t="s">
        <v>55</v>
      </c>
      <c r="O124" s="53" t="s">
        <v>70</v>
      </c>
      <c r="P124" s="20" t="s">
        <v>639</v>
      </c>
      <c r="Q124" s="21" t="s">
        <v>105</v>
      </c>
      <c r="R124" s="20" t="s">
        <v>640</v>
      </c>
      <c r="S124" s="20" t="s">
        <v>641</v>
      </c>
      <c r="T124" s="22">
        <v>5.73166295628E11</v>
      </c>
      <c r="U124" s="53" t="s">
        <v>61</v>
      </c>
      <c r="V124" s="11"/>
      <c r="W124" s="11"/>
      <c r="X124" s="11"/>
      <c r="Y124" s="54">
        <v>5.0</v>
      </c>
      <c r="Z124" s="13"/>
      <c r="AA124" s="13"/>
      <c r="AB124" s="13"/>
      <c r="AC124" s="13"/>
      <c r="AD124" s="13"/>
      <c r="AE124" s="13"/>
      <c r="AF124" s="14"/>
      <c r="AG124" s="14"/>
      <c r="AH124" s="15"/>
      <c r="AI124" s="16"/>
      <c r="AJ124" s="13"/>
      <c r="AK124" s="17"/>
      <c r="AL124" s="17"/>
      <c r="AM124" s="17"/>
      <c r="AN124" s="17"/>
      <c r="AO124" s="13"/>
      <c r="AP124" s="14"/>
    </row>
    <row r="125">
      <c r="A125" s="8" t="s">
        <v>642</v>
      </c>
      <c r="B125" s="8" t="s">
        <v>643</v>
      </c>
      <c r="C125" s="8" t="s">
        <v>341</v>
      </c>
      <c r="D125" s="8" t="s">
        <v>293</v>
      </c>
      <c r="E125" s="8" t="s">
        <v>342</v>
      </c>
      <c r="F125" s="8" t="s">
        <v>295</v>
      </c>
      <c r="G125" s="8" t="s">
        <v>343</v>
      </c>
      <c r="H125" s="8" t="s">
        <v>344</v>
      </c>
      <c r="I125" s="8" t="s">
        <v>50</v>
      </c>
      <c r="J125" s="8" t="s">
        <v>51</v>
      </c>
      <c r="K125" s="9" t="s">
        <v>52</v>
      </c>
      <c r="L125" s="8" t="s">
        <v>84</v>
      </c>
      <c r="M125" s="8" t="s">
        <v>69</v>
      </c>
      <c r="N125" s="53" t="s">
        <v>55</v>
      </c>
      <c r="O125" s="53" t="s">
        <v>70</v>
      </c>
      <c r="P125" s="20" t="s">
        <v>644</v>
      </c>
      <c r="Q125" s="21" t="s">
        <v>94</v>
      </c>
      <c r="R125" s="20" t="s">
        <v>645</v>
      </c>
      <c r="S125" s="20" t="s">
        <v>646</v>
      </c>
      <c r="T125" s="22">
        <v>5.73145359319E11</v>
      </c>
      <c r="U125" s="53" t="s">
        <v>75</v>
      </c>
      <c r="V125" s="11"/>
      <c r="W125" s="11"/>
      <c r="X125" s="11"/>
      <c r="Y125" s="54">
        <v>5.0</v>
      </c>
      <c r="Z125" s="13"/>
      <c r="AA125" s="13"/>
      <c r="AB125" s="13"/>
      <c r="AC125" s="13"/>
      <c r="AD125" s="13"/>
      <c r="AE125" s="13"/>
      <c r="AF125" s="14"/>
      <c r="AG125" s="14"/>
      <c r="AH125" s="15"/>
      <c r="AI125" s="16"/>
      <c r="AJ125" s="13"/>
      <c r="AK125" s="17"/>
      <c r="AL125" s="17"/>
      <c r="AM125" s="17"/>
      <c r="AN125" s="17"/>
      <c r="AO125" s="13"/>
      <c r="AP125" s="14"/>
    </row>
    <row r="126">
      <c r="A126" s="8" t="s">
        <v>647</v>
      </c>
      <c r="B126" s="8" t="s">
        <v>648</v>
      </c>
      <c r="C126" s="8" t="s">
        <v>341</v>
      </c>
      <c r="D126" s="8" t="s">
        <v>293</v>
      </c>
      <c r="E126" s="8" t="s">
        <v>342</v>
      </c>
      <c r="F126" s="8" t="s">
        <v>295</v>
      </c>
      <c r="G126" s="8" t="s">
        <v>343</v>
      </c>
      <c r="H126" s="8" t="s">
        <v>344</v>
      </c>
      <c r="I126" s="8" t="s">
        <v>50</v>
      </c>
      <c r="J126" s="8" t="s">
        <v>51</v>
      </c>
      <c r="K126" s="9" t="s">
        <v>52</v>
      </c>
      <c r="L126" s="8" t="s">
        <v>84</v>
      </c>
      <c r="M126" s="8" t="s">
        <v>54</v>
      </c>
      <c r="N126" s="53" t="s">
        <v>55</v>
      </c>
      <c r="O126" s="53" t="s">
        <v>70</v>
      </c>
      <c r="P126" s="20" t="s">
        <v>649</v>
      </c>
      <c r="Q126" s="21" t="s">
        <v>111</v>
      </c>
      <c r="R126" s="20" t="s">
        <v>650</v>
      </c>
      <c r="S126" s="20" t="s">
        <v>651</v>
      </c>
      <c r="T126" s="22">
        <v>5.73187529222E11</v>
      </c>
      <c r="U126" s="53" t="s">
        <v>75</v>
      </c>
      <c r="V126" s="11"/>
      <c r="W126" s="11"/>
      <c r="X126" s="11"/>
      <c r="Y126" s="54">
        <v>5.0</v>
      </c>
      <c r="Z126" s="28"/>
      <c r="AA126" s="28"/>
      <c r="AB126" s="28"/>
      <c r="AC126" s="28"/>
      <c r="AD126" s="28"/>
      <c r="AE126" s="28"/>
      <c r="AF126" s="29"/>
      <c r="AG126" s="29"/>
      <c r="AH126" s="30"/>
      <c r="AI126" s="31"/>
      <c r="AJ126" s="28"/>
      <c r="AK126" s="32"/>
      <c r="AL126" s="32"/>
      <c r="AM126" s="32"/>
      <c r="AN126" s="32"/>
      <c r="AO126" s="28"/>
      <c r="AP126" s="29"/>
    </row>
    <row r="127">
      <c r="A127" s="8" t="s">
        <v>652</v>
      </c>
      <c r="B127" s="8" t="s">
        <v>653</v>
      </c>
      <c r="C127" s="8" t="s">
        <v>357</v>
      </c>
      <c r="D127" s="8" t="s">
        <v>66</v>
      </c>
      <c r="E127" s="8" t="s">
        <v>358</v>
      </c>
      <c r="F127" s="8" t="s">
        <v>68</v>
      </c>
      <c r="G127" s="8" t="s">
        <v>359</v>
      </c>
      <c r="H127" s="8" t="s">
        <v>360</v>
      </c>
      <c r="I127" s="8" t="s">
        <v>50</v>
      </c>
      <c r="J127" s="8" t="s">
        <v>51</v>
      </c>
      <c r="K127" s="9" t="s">
        <v>52</v>
      </c>
      <c r="L127" s="8" t="s">
        <v>53</v>
      </c>
      <c r="M127" s="8" t="s">
        <v>69</v>
      </c>
      <c r="N127" s="53" t="s">
        <v>55</v>
      </c>
      <c r="O127" s="53" t="s">
        <v>70</v>
      </c>
      <c r="P127" s="20" t="s">
        <v>57</v>
      </c>
      <c r="Q127" s="21" t="s">
        <v>58</v>
      </c>
      <c r="R127" s="21" t="s">
        <v>654</v>
      </c>
      <c r="S127" s="20" t="s">
        <v>655</v>
      </c>
      <c r="T127" s="22">
        <v>3.013900163E9</v>
      </c>
      <c r="U127" s="53" t="s">
        <v>75</v>
      </c>
      <c r="V127" s="11"/>
      <c r="W127" s="11"/>
      <c r="X127" s="11"/>
      <c r="Y127" s="54">
        <v>5.0</v>
      </c>
      <c r="Z127" s="28"/>
      <c r="AA127" s="28"/>
      <c r="AB127" s="28"/>
      <c r="AC127" s="28"/>
      <c r="AD127" s="28"/>
      <c r="AE127" s="28"/>
      <c r="AF127" s="29"/>
      <c r="AG127" s="29"/>
      <c r="AH127" s="30"/>
      <c r="AI127" s="31"/>
      <c r="AJ127" s="28"/>
      <c r="AK127" s="32"/>
      <c r="AL127" s="32"/>
      <c r="AM127" s="32"/>
      <c r="AN127" s="32"/>
      <c r="AO127" s="28"/>
      <c r="AP127" s="29"/>
    </row>
    <row r="128">
      <c r="A128" s="8" t="s">
        <v>656</v>
      </c>
      <c r="B128" s="8" t="s">
        <v>657</v>
      </c>
      <c r="C128" s="8" t="s">
        <v>341</v>
      </c>
      <c r="D128" s="8" t="s">
        <v>293</v>
      </c>
      <c r="E128" s="8" t="s">
        <v>342</v>
      </c>
      <c r="F128" s="8" t="s">
        <v>295</v>
      </c>
      <c r="G128" s="8" t="s">
        <v>343</v>
      </c>
      <c r="H128" s="8" t="s">
        <v>344</v>
      </c>
      <c r="I128" s="8" t="s">
        <v>50</v>
      </c>
      <c r="J128" s="8" t="s">
        <v>51</v>
      </c>
      <c r="K128" s="9" t="s">
        <v>52</v>
      </c>
      <c r="L128" s="8" t="s">
        <v>84</v>
      </c>
      <c r="M128" s="8" t="s">
        <v>54</v>
      </c>
      <c r="N128" s="53" t="s">
        <v>85</v>
      </c>
      <c r="O128" s="53" t="s">
        <v>70</v>
      </c>
      <c r="P128" s="20" t="s">
        <v>658</v>
      </c>
      <c r="Q128" s="21" t="s">
        <v>111</v>
      </c>
      <c r="R128" s="20" t="s">
        <v>158</v>
      </c>
      <c r="S128" s="20" t="s">
        <v>659</v>
      </c>
      <c r="T128" s="22">
        <v>5.73113400262E11</v>
      </c>
      <c r="U128" s="53" t="s">
        <v>75</v>
      </c>
      <c r="V128" s="11"/>
      <c r="W128" s="11"/>
      <c r="X128" s="11"/>
      <c r="Y128" s="54">
        <v>5.0</v>
      </c>
      <c r="Z128" s="13"/>
      <c r="AA128" s="13"/>
      <c r="AB128" s="13"/>
      <c r="AC128" s="13"/>
      <c r="AD128" s="13"/>
      <c r="AE128" s="13"/>
      <c r="AF128" s="14"/>
      <c r="AG128" s="14"/>
      <c r="AH128" s="15"/>
      <c r="AI128" s="16"/>
      <c r="AJ128" s="13"/>
      <c r="AK128" s="17"/>
      <c r="AL128" s="17"/>
      <c r="AM128" s="17"/>
      <c r="AN128" s="17"/>
      <c r="AO128" s="13"/>
      <c r="AP128" s="14"/>
    </row>
    <row r="129">
      <c r="A129" s="8" t="s">
        <v>660</v>
      </c>
      <c r="B129" s="8" t="s">
        <v>661</v>
      </c>
      <c r="C129" s="8" t="s">
        <v>357</v>
      </c>
      <c r="D129" s="8" t="s">
        <v>66</v>
      </c>
      <c r="E129" s="8" t="s">
        <v>358</v>
      </c>
      <c r="F129" s="8" t="s">
        <v>68</v>
      </c>
      <c r="G129" s="8" t="s">
        <v>359</v>
      </c>
      <c r="H129" s="8" t="s">
        <v>360</v>
      </c>
      <c r="I129" s="8" t="s">
        <v>50</v>
      </c>
      <c r="J129" s="8" t="s">
        <v>51</v>
      </c>
      <c r="K129" s="9" t="s">
        <v>52</v>
      </c>
      <c r="L129" s="8" t="s">
        <v>53</v>
      </c>
      <c r="M129" s="8" t="s">
        <v>54</v>
      </c>
      <c r="N129" s="53" t="s">
        <v>137</v>
      </c>
      <c r="O129" s="53" t="s">
        <v>70</v>
      </c>
      <c r="P129" s="20" t="s">
        <v>211</v>
      </c>
      <c r="Q129" s="21" t="s">
        <v>105</v>
      </c>
      <c r="R129" s="20" t="s">
        <v>662</v>
      </c>
      <c r="S129" s="20" t="s">
        <v>663</v>
      </c>
      <c r="T129" s="22">
        <v>5.73102647003E11</v>
      </c>
      <c r="U129" s="53" t="s">
        <v>75</v>
      </c>
      <c r="V129" s="11"/>
      <c r="W129" s="11"/>
      <c r="X129" s="11"/>
      <c r="Y129" s="54">
        <v>5.0</v>
      </c>
      <c r="Z129" s="13"/>
      <c r="AA129" s="13"/>
      <c r="AB129" s="13"/>
      <c r="AC129" s="13"/>
      <c r="AD129" s="13"/>
      <c r="AE129" s="13"/>
      <c r="AF129" s="14"/>
      <c r="AG129" s="14"/>
      <c r="AH129" s="15"/>
      <c r="AI129" s="16"/>
      <c r="AJ129" s="13"/>
      <c r="AK129" s="17"/>
      <c r="AL129" s="17"/>
      <c r="AM129" s="17"/>
      <c r="AN129" s="17"/>
      <c r="AO129" s="13"/>
      <c r="AP129" s="14"/>
    </row>
    <row r="130">
      <c r="A130" s="8" t="s">
        <v>664</v>
      </c>
      <c r="B130" s="8" t="s">
        <v>665</v>
      </c>
      <c r="C130" s="8" t="s">
        <v>357</v>
      </c>
      <c r="D130" s="8" t="s">
        <v>66</v>
      </c>
      <c r="E130" s="8" t="s">
        <v>358</v>
      </c>
      <c r="F130" s="8" t="s">
        <v>68</v>
      </c>
      <c r="G130" s="8" t="s">
        <v>359</v>
      </c>
      <c r="H130" s="8" t="s">
        <v>360</v>
      </c>
      <c r="I130" s="8" t="s">
        <v>50</v>
      </c>
      <c r="J130" s="8" t="s">
        <v>51</v>
      </c>
      <c r="K130" s="9" t="s">
        <v>52</v>
      </c>
      <c r="L130" s="8" t="s">
        <v>53</v>
      </c>
      <c r="M130" s="8" t="s">
        <v>54</v>
      </c>
      <c r="N130" s="53" t="s">
        <v>55</v>
      </c>
      <c r="O130" s="53" t="s">
        <v>70</v>
      </c>
      <c r="P130" s="20" t="s">
        <v>666</v>
      </c>
      <c r="Q130" s="21" t="s">
        <v>94</v>
      </c>
      <c r="R130" s="21" t="s">
        <v>667</v>
      </c>
      <c r="S130" s="20" t="s">
        <v>668</v>
      </c>
      <c r="T130" s="22">
        <v>5.73244386738E11</v>
      </c>
      <c r="U130" s="53" t="s">
        <v>75</v>
      </c>
      <c r="V130" s="11"/>
      <c r="W130" s="11"/>
      <c r="X130" s="11"/>
      <c r="Y130" s="54">
        <v>5.0</v>
      </c>
      <c r="Z130" s="13"/>
      <c r="AA130" s="13"/>
      <c r="AB130" s="13"/>
      <c r="AC130" s="13"/>
      <c r="AD130" s="13"/>
      <c r="AE130" s="13"/>
      <c r="AF130" s="14"/>
      <c r="AG130" s="14"/>
      <c r="AH130" s="15"/>
      <c r="AI130" s="16"/>
      <c r="AJ130" s="13"/>
      <c r="AK130" s="17"/>
      <c r="AL130" s="17"/>
      <c r="AM130" s="17"/>
      <c r="AN130" s="17"/>
      <c r="AO130" s="13"/>
      <c r="AP130" s="14"/>
    </row>
    <row r="131">
      <c r="A131" s="8" t="s">
        <v>669</v>
      </c>
      <c r="B131" s="8" t="s">
        <v>670</v>
      </c>
      <c r="C131" s="8" t="s">
        <v>617</v>
      </c>
      <c r="D131" s="8" t="s">
        <v>618</v>
      </c>
      <c r="E131" s="8" t="s">
        <v>619</v>
      </c>
      <c r="F131" s="8" t="s">
        <v>620</v>
      </c>
      <c r="G131" s="8" t="s">
        <v>621</v>
      </c>
      <c r="H131" s="8" t="s">
        <v>622</v>
      </c>
      <c r="I131" s="8" t="s">
        <v>50</v>
      </c>
      <c r="J131" s="8" t="s">
        <v>51</v>
      </c>
      <c r="K131" s="9" t="s">
        <v>52</v>
      </c>
      <c r="L131" s="8" t="s">
        <v>53</v>
      </c>
      <c r="M131" s="8" t="s">
        <v>54</v>
      </c>
      <c r="N131" s="53" t="s">
        <v>55</v>
      </c>
      <c r="O131" s="53" t="s">
        <v>70</v>
      </c>
      <c r="P131" s="20" t="s">
        <v>671</v>
      </c>
      <c r="Q131" s="21" t="s">
        <v>58</v>
      </c>
      <c r="R131" s="20" t="s">
        <v>154</v>
      </c>
      <c r="S131" s="20" t="s">
        <v>672</v>
      </c>
      <c r="T131" s="22">
        <v>5.73118178963E11</v>
      </c>
      <c r="U131" s="53" t="s">
        <v>61</v>
      </c>
      <c r="V131" s="11"/>
      <c r="W131" s="11"/>
      <c r="X131" s="11"/>
      <c r="Y131" s="54">
        <v>5.0</v>
      </c>
      <c r="Z131" s="13"/>
      <c r="AA131" s="13"/>
      <c r="AB131" s="13"/>
      <c r="AC131" s="13"/>
      <c r="AD131" s="13"/>
      <c r="AE131" s="13"/>
      <c r="AF131" s="14"/>
      <c r="AG131" s="14"/>
      <c r="AH131" s="15"/>
      <c r="AI131" s="16"/>
      <c r="AJ131" s="13"/>
      <c r="AK131" s="17"/>
      <c r="AL131" s="17"/>
      <c r="AM131" s="17"/>
      <c r="AN131" s="17"/>
      <c r="AO131" s="13"/>
      <c r="AP131" s="14"/>
    </row>
    <row r="132">
      <c r="A132" s="8" t="s">
        <v>673</v>
      </c>
      <c r="B132" s="8" t="s">
        <v>674</v>
      </c>
      <c r="C132" s="8" t="s">
        <v>617</v>
      </c>
      <c r="D132" s="8" t="s">
        <v>618</v>
      </c>
      <c r="E132" s="8" t="s">
        <v>619</v>
      </c>
      <c r="F132" s="8" t="s">
        <v>620</v>
      </c>
      <c r="G132" s="8" t="s">
        <v>621</v>
      </c>
      <c r="H132" s="8" t="s">
        <v>622</v>
      </c>
      <c r="I132" s="8" t="s">
        <v>50</v>
      </c>
      <c r="J132" s="8" t="s">
        <v>51</v>
      </c>
      <c r="K132" s="9" t="s">
        <v>52</v>
      </c>
      <c r="L132" s="8" t="s">
        <v>53</v>
      </c>
      <c r="M132" s="8" t="s">
        <v>69</v>
      </c>
      <c r="N132" s="53" t="s">
        <v>85</v>
      </c>
      <c r="O132" s="53" t="s">
        <v>70</v>
      </c>
      <c r="P132" s="20" t="s">
        <v>141</v>
      </c>
      <c r="Q132" s="21" t="s">
        <v>94</v>
      </c>
      <c r="R132" s="20" t="s">
        <v>154</v>
      </c>
      <c r="S132" s="20" t="s">
        <v>675</v>
      </c>
      <c r="T132" s="22">
        <v>5.73234471123E11</v>
      </c>
      <c r="U132" s="53" t="s">
        <v>75</v>
      </c>
      <c r="V132" s="11"/>
      <c r="W132" s="11"/>
      <c r="X132" s="11"/>
      <c r="Y132" s="54">
        <v>5.0</v>
      </c>
      <c r="Z132" s="28"/>
      <c r="AA132" s="28"/>
      <c r="AB132" s="28"/>
      <c r="AC132" s="28"/>
      <c r="AD132" s="28"/>
      <c r="AE132" s="28"/>
      <c r="AF132" s="29"/>
      <c r="AG132" s="29"/>
      <c r="AH132" s="30"/>
      <c r="AI132" s="31"/>
      <c r="AJ132" s="28"/>
      <c r="AK132" s="32"/>
      <c r="AL132" s="32"/>
      <c r="AM132" s="32"/>
      <c r="AN132" s="32"/>
      <c r="AO132" s="28"/>
      <c r="AP132" s="29"/>
    </row>
    <row r="133">
      <c r="A133" s="8" t="s">
        <v>676</v>
      </c>
      <c r="B133" s="8" t="s">
        <v>677</v>
      </c>
      <c r="C133" s="8" t="s">
        <v>357</v>
      </c>
      <c r="D133" s="8" t="s">
        <v>66</v>
      </c>
      <c r="E133" s="8" t="s">
        <v>358</v>
      </c>
      <c r="F133" s="8" t="s">
        <v>68</v>
      </c>
      <c r="G133" s="8" t="s">
        <v>359</v>
      </c>
      <c r="H133" s="8" t="s">
        <v>360</v>
      </c>
      <c r="I133" s="8" t="s">
        <v>50</v>
      </c>
      <c r="J133" s="8" t="s">
        <v>51</v>
      </c>
      <c r="K133" s="9" t="s">
        <v>52</v>
      </c>
      <c r="L133" s="8" t="s">
        <v>53</v>
      </c>
      <c r="M133" s="8" t="s">
        <v>69</v>
      </c>
      <c r="N133" s="53" t="s">
        <v>137</v>
      </c>
      <c r="O133" s="53" t="s">
        <v>70</v>
      </c>
      <c r="P133" s="20" t="s">
        <v>678</v>
      </c>
      <c r="Q133" s="21" t="s">
        <v>111</v>
      </c>
      <c r="R133" s="20" t="s">
        <v>679</v>
      </c>
      <c r="S133" s="20" t="s">
        <v>680</v>
      </c>
      <c r="T133" s="22">
        <v>5.73133714044E11</v>
      </c>
      <c r="U133" s="53" t="s">
        <v>681</v>
      </c>
      <c r="V133" s="11"/>
      <c r="W133" s="11"/>
      <c r="X133" s="11"/>
      <c r="Y133" s="54">
        <v>5.0</v>
      </c>
      <c r="Z133" s="13"/>
      <c r="AA133" s="13"/>
      <c r="AB133" s="13"/>
      <c r="AC133" s="13"/>
      <c r="AD133" s="13"/>
      <c r="AE133" s="13"/>
      <c r="AF133" s="14"/>
      <c r="AG133" s="14"/>
      <c r="AH133" s="15"/>
      <c r="AI133" s="16"/>
      <c r="AJ133" s="13"/>
      <c r="AK133" s="17"/>
      <c r="AL133" s="17"/>
      <c r="AM133" s="17"/>
      <c r="AN133" s="17"/>
      <c r="AO133" s="13"/>
      <c r="AP133" s="14"/>
    </row>
    <row r="134">
      <c r="A134" s="8" t="s">
        <v>682</v>
      </c>
      <c r="B134" s="8" t="s">
        <v>683</v>
      </c>
      <c r="C134" s="8" t="s">
        <v>357</v>
      </c>
      <c r="D134" s="8" t="s">
        <v>66</v>
      </c>
      <c r="E134" s="8" t="s">
        <v>358</v>
      </c>
      <c r="F134" s="8" t="s">
        <v>68</v>
      </c>
      <c r="G134" s="8" t="s">
        <v>359</v>
      </c>
      <c r="H134" s="8" t="s">
        <v>360</v>
      </c>
      <c r="I134" s="8" t="s">
        <v>50</v>
      </c>
      <c r="J134" s="8" t="s">
        <v>51</v>
      </c>
      <c r="K134" s="9" t="s">
        <v>52</v>
      </c>
      <c r="L134" s="8" t="s">
        <v>53</v>
      </c>
      <c r="M134" s="8" t="s">
        <v>69</v>
      </c>
      <c r="N134" s="53" t="s">
        <v>137</v>
      </c>
      <c r="O134" s="53" t="s">
        <v>70</v>
      </c>
      <c r="P134" s="20" t="s">
        <v>282</v>
      </c>
      <c r="Q134" s="21" t="s">
        <v>111</v>
      </c>
      <c r="R134" s="20" t="s">
        <v>684</v>
      </c>
      <c r="S134" s="20" t="s">
        <v>685</v>
      </c>
      <c r="T134" s="22">
        <v>5.73508554544E11</v>
      </c>
      <c r="U134" s="53" t="s">
        <v>61</v>
      </c>
      <c r="V134" s="11"/>
      <c r="W134" s="11"/>
      <c r="X134" s="11"/>
      <c r="Y134" s="54">
        <v>5.0</v>
      </c>
      <c r="Z134" s="13"/>
      <c r="AA134" s="13"/>
      <c r="AB134" s="13"/>
      <c r="AC134" s="13"/>
      <c r="AD134" s="13"/>
      <c r="AE134" s="13"/>
      <c r="AF134" s="14"/>
      <c r="AG134" s="14"/>
      <c r="AH134" s="15"/>
      <c r="AI134" s="16"/>
      <c r="AJ134" s="13"/>
      <c r="AK134" s="17"/>
      <c r="AL134" s="17"/>
      <c r="AM134" s="17"/>
      <c r="AN134" s="17"/>
      <c r="AO134" s="13"/>
      <c r="AP134" s="14"/>
    </row>
    <row r="135">
      <c r="A135" s="8" t="s">
        <v>686</v>
      </c>
      <c r="B135" s="8" t="s">
        <v>687</v>
      </c>
      <c r="C135" s="8" t="s">
        <v>357</v>
      </c>
      <c r="D135" s="8" t="s">
        <v>66</v>
      </c>
      <c r="E135" s="8" t="s">
        <v>358</v>
      </c>
      <c r="F135" s="8" t="s">
        <v>68</v>
      </c>
      <c r="G135" s="8" t="s">
        <v>359</v>
      </c>
      <c r="H135" s="8" t="s">
        <v>360</v>
      </c>
      <c r="I135" s="8" t="s">
        <v>50</v>
      </c>
      <c r="J135" s="8" t="s">
        <v>51</v>
      </c>
      <c r="K135" s="9" t="s">
        <v>52</v>
      </c>
      <c r="L135" s="8" t="s">
        <v>53</v>
      </c>
      <c r="M135" s="8" t="s">
        <v>69</v>
      </c>
      <c r="N135" s="53" t="s">
        <v>55</v>
      </c>
      <c r="O135" s="53" t="s">
        <v>70</v>
      </c>
      <c r="P135" s="20" t="s">
        <v>57</v>
      </c>
      <c r="Q135" s="21" t="s">
        <v>122</v>
      </c>
      <c r="R135" s="20" t="s">
        <v>688</v>
      </c>
      <c r="S135" s="20" t="s">
        <v>689</v>
      </c>
      <c r="T135" s="22">
        <v>5.73185898608E11</v>
      </c>
      <c r="U135" s="53" t="s">
        <v>61</v>
      </c>
      <c r="V135" s="11"/>
      <c r="W135" s="11"/>
      <c r="X135" s="11"/>
      <c r="Y135" s="54">
        <v>5.0</v>
      </c>
      <c r="Z135" s="13"/>
      <c r="AA135" s="13"/>
      <c r="AB135" s="13"/>
      <c r="AC135" s="13"/>
      <c r="AD135" s="13"/>
      <c r="AE135" s="13"/>
      <c r="AF135" s="14"/>
      <c r="AG135" s="14"/>
      <c r="AH135" s="15"/>
      <c r="AI135" s="16"/>
      <c r="AJ135" s="13"/>
      <c r="AK135" s="17"/>
      <c r="AL135" s="17"/>
      <c r="AM135" s="17"/>
      <c r="AN135" s="17"/>
      <c r="AO135" s="13"/>
      <c r="AP135" s="14"/>
    </row>
    <row r="136">
      <c r="A136" s="8" t="s">
        <v>690</v>
      </c>
      <c r="B136" s="8" t="s">
        <v>691</v>
      </c>
      <c r="C136" s="8" t="s">
        <v>357</v>
      </c>
      <c r="D136" s="8" t="s">
        <v>66</v>
      </c>
      <c r="E136" s="8" t="s">
        <v>358</v>
      </c>
      <c r="F136" s="8" t="s">
        <v>68</v>
      </c>
      <c r="G136" s="8" t="s">
        <v>359</v>
      </c>
      <c r="H136" s="8" t="s">
        <v>360</v>
      </c>
      <c r="I136" s="8" t="s">
        <v>50</v>
      </c>
      <c r="J136" s="8" t="s">
        <v>51</v>
      </c>
      <c r="K136" s="9" t="s">
        <v>52</v>
      </c>
      <c r="L136" s="8" t="s">
        <v>53</v>
      </c>
      <c r="M136" s="8" t="s">
        <v>54</v>
      </c>
      <c r="N136" s="8" t="s">
        <v>55</v>
      </c>
      <c r="O136" s="8" t="s">
        <v>56</v>
      </c>
      <c r="P136" s="8" t="s">
        <v>692</v>
      </c>
      <c r="Q136" s="9" t="s">
        <v>58</v>
      </c>
      <c r="R136" s="8" t="s">
        <v>693</v>
      </c>
      <c r="S136" s="8" t="s">
        <v>694</v>
      </c>
      <c r="T136" s="10">
        <v>5.73184486706E11</v>
      </c>
      <c r="U136" s="8" t="s">
        <v>61</v>
      </c>
      <c r="V136" s="11"/>
      <c r="W136" s="11"/>
      <c r="X136" s="11"/>
      <c r="Y136" s="12" t="s">
        <v>62</v>
      </c>
      <c r="Z136" s="28"/>
      <c r="AA136" s="28"/>
      <c r="AB136" s="28"/>
      <c r="AC136" s="28"/>
      <c r="AD136" s="28"/>
      <c r="AE136" s="28"/>
      <c r="AF136" s="29"/>
      <c r="AG136" s="29"/>
      <c r="AH136" s="30"/>
      <c r="AI136" s="31"/>
      <c r="AJ136" s="28"/>
      <c r="AK136" s="32"/>
      <c r="AL136" s="32"/>
      <c r="AM136" s="32"/>
      <c r="AN136" s="32"/>
      <c r="AO136" s="28"/>
      <c r="AP136" s="29"/>
    </row>
    <row r="137">
      <c r="A137" s="8" t="s">
        <v>695</v>
      </c>
      <c r="B137" s="8" t="s">
        <v>696</v>
      </c>
      <c r="C137" s="8" t="s">
        <v>357</v>
      </c>
      <c r="D137" s="8" t="s">
        <v>66</v>
      </c>
      <c r="E137" s="8" t="s">
        <v>358</v>
      </c>
      <c r="F137" s="8" t="s">
        <v>68</v>
      </c>
      <c r="G137" s="8" t="s">
        <v>359</v>
      </c>
      <c r="H137" s="8" t="s">
        <v>360</v>
      </c>
      <c r="I137" s="8" t="s">
        <v>50</v>
      </c>
      <c r="J137" s="8" t="s">
        <v>51</v>
      </c>
      <c r="K137" s="9" t="s">
        <v>52</v>
      </c>
      <c r="L137" s="8" t="s">
        <v>53</v>
      </c>
      <c r="M137" s="8" t="s">
        <v>69</v>
      </c>
      <c r="N137" s="53" t="s">
        <v>55</v>
      </c>
      <c r="O137" s="53" t="s">
        <v>70</v>
      </c>
      <c r="P137" s="53" t="s">
        <v>500</v>
      </c>
      <c r="Q137" s="73" t="s">
        <v>487</v>
      </c>
      <c r="R137" s="53" t="s">
        <v>697</v>
      </c>
      <c r="S137" s="53" t="s">
        <v>698</v>
      </c>
      <c r="T137" s="74">
        <v>5.73178861361E11</v>
      </c>
      <c r="U137" s="53" t="s">
        <v>75</v>
      </c>
      <c r="V137" s="11"/>
      <c r="W137" s="11"/>
      <c r="X137" s="11"/>
      <c r="Y137" s="54">
        <v>5.0</v>
      </c>
      <c r="Z137" s="28"/>
      <c r="AA137" s="28"/>
      <c r="AB137" s="28"/>
      <c r="AC137" s="28"/>
      <c r="AD137" s="28"/>
      <c r="AE137" s="28"/>
      <c r="AF137" s="29"/>
      <c r="AG137" s="29"/>
      <c r="AH137" s="30"/>
      <c r="AI137" s="31"/>
      <c r="AJ137" s="28"/>
      <c r="AK137" s="32"/>
      <c r="AL137" s="32"/>
      <c r="AM137" s="32"/>
      <c r="AN137" s="32"/>
      <c r="AO137" s="28"/>
      <c r="AP137" s="29"/>
    </row>
    <row r="138">
      <c r="A138" s="8" t="s">
        <v>699</v>
      </c>
      <c r="B138" s="8" t="s">
        <v>700</v>
      </c>
      <c r="C138" s="8" t="s">
        <v>357</v>
      </c>
      <c r="D138" s="8" t="s">
        <v>66</v>
      </c>
      <c r="E138" s="8" t="s">
        <v>358</v>
      </c>
      <c r="F138" s="8" t="s">
        <v>68</v>
      </c>
      <c r="G138" s="8" t="s">
        <v>359</v>
      </c>
      <c r="H138" s="8" t="s">
        <v>360</v>
      </c>
      <c r="I138" s="8" t="s">
        <v>50</v>
      </c>
      <c r="J138" s="8" t="s">
        <v>51</v>
      </c>
      <c r="K138" s="9" t="s">
        <v>52</v>
      </c>
      <c r="L138" s="8" t="s">
        <v>53</v>
      </c>
      <c r="M138" s="8" t="s">
        <v>69</v>
      </c>
      <c r="N138" s="53" t="s">
        <v>85</v>
      </c>
      <c r="O138" s="53" t="s">
        <v>70</v>
      </c>
      <c r="P138" s="20" t="s">
        <v>701</v>
      </c>
      <c r="Q138" s="21" t="s">
        <v>94</v>
      </c>
      <c r="R138" s="20" t="s">
        <v>702</v>
      </c>
      <c r="S138" s="20" t="s">
        <v>703</v>
      </c>
      <c r="T138" s="22">
        <v>1.3106397802E10</v>
      </c>
      <c r="U138" s="53" t="s">
        <v>75</v>
      </c>
      <c r="V138" s="11"/>
      <c r="W138" s="11"/>
      <c r="X138" s="11"/>
      <c r="Y138" s="54">
        <v>5.0</v>
      </c>
      <c r="Z138" s="13"/>
      <c r="AA138" s="13"/>
      <c r="AB138" s="13"/>
      <c r="AC138" s="13"/>
      <c r="AD138" s="13"/>
      <c r="AE138" s="13"/>
      <c r="AF138" s="14"/>
      <c r="AG138" s="14"/>
      <c r="AH138" s="15"/>
      <c r="AI138" s="16"/>
      <c r="AJ138" s="13"/>
      <c r="AK138" s="17"/>
      <c r="AL138" s="17"/>
      <c r="AM138" s="17"/>
      <c r="AN138" s="17"/>
      <c r="AO138" s="13"/>
      <c r="AP138" s="14"/>
    </row>
    <row r="139">
      <c r="A139" s="8" t="s">
        <v>704</v>
      </c>
      <c r="B139" s="8" t="s">
        <v>705</v>
      </c>
      <c r="C139" s="8" t="s">
        <v>341</v>
      </c>
      <c r="D139" s="8" t="s">
        <v>293</v>
      </c>
      <c r="E139" s="8" t="s">
        <v>342</v>
      </c>
      <c r="F139" s="8" t="s">
        <v>295</v>
      </c>
      <c r="G139" s="8" t="s">
        <v>343</v>
      </c>
      <c r="H139" s="8" t="s">
        <v>344</v>
      </c>
      <c r="I139" s="8" t="s">
        <v>50</v>
      </c>
      <c r="J139" s="8" t="s">
        <v>51</v>
      </c>
      <c r="K139" s="9" t="s">
        <v>52</v>
      </c>
      <c r="L139" s="8" t="s">
        <v>84</v>
      </c>
      <c r="M139" s="8" t="s">
        <v>69</v>
      </c>
      <c r="N139" s="53" t="s">
        <v>55</v>
      </c>
      <c r="O139" s="53" t="s">
        <v>70</v>
      </c>
      <c r="P139" s="20" t="s">
        <v>706</v>
      </c>
      <c r="Q139" s="21" t="s">
        <v>72</v>
      </c>
      <c r="R139" s="20" t="s">
        <v>707</v>
      </c>
      <c r="S139" s="20" t="s">
        <v>708</v>
      </c>
      <c r="T139" s="22">
        <v>5.73043811134E11</v>
      </c>
      <c r="U139" s="53" t="s">
        <v>75</v>
      </c>
      <c r="V139" s="11"/>
      <c r="W139" s="11"/>
      <c r="X139" s="11"/>
      <c r="Y139" s="54">
        <v>5.0</v>
      </c>
      <c r="Z139" s="28"/>
      <c r="AA139" s="28"/>
      <c r="AB139" s="28"/>
      <c r="AC139" s="29"/>
      <c r="AD139" s="29"/>
      <c r="AE139" s="29"/>
      <c r="AF139" s="29"/>
      <c r="AG139" s="29"/>
      <c r="AH139" s="30"/>
      <c r="AI139" s="31"/>
      <c r="AJ139" s="28"/>
      <c r="AK139" s="28"/>
      <c r="AL139" s="28"/>
      <c r="AM139" s="28"/>
      <c r="AN139" s="32"/>
      <c r="AO139" s="28"/>
      <c r="AP139" s="29"/>
    </row>
    <row r="140">
      <c r="A140" s="61" t="s">
        <v>709</v>
      </c>
      <c r="B140" s="61" t="s">
        <v>710</v>
      </c>
      <c r="C140" s="61" t="s">
        <v>341</v>
      </c>
      <c r="D140" s="61" t="s">
        <v>293</v>
      </c>
      <c r="E140" s="61" t="s">
        <v>342</v>
      </c>
      <c r="F140" s="61" t="s">
        <v>295</v>
      </c>
      <c r="G140" s="61" t="s">
        <v>343</v>
      </c>
      <c r="H140" s="61" t="s">
        <v>344</v>
      </c>
      <c r="I140" s="61" t="s">
        <v>50</v>
      </c>
      <c r="J140" s="61" t="s">
        <v>51</v>
      </c>
      <c r="K140" s="62" t="s">
        <v>52</v>
      </c>
      <c r="L140" s="61" t="s">
        <v>53</v>
      </c>
      <c r="M140" s="61" t="s">
        <v>54</v>
      </c>
      <c r="N140" s="63" t="s">
        <v>137</v>
      </c>
      <c r="O140" s="63" t="s">
        <v>70</v>
      </c>
      <c r="P140" s="63" t="s">
        <v>104</v>
      </c>
      <c r="Q140" s="64" t="s">
        <v>111</v>
      </c>
      <c r="R140" s="63" t="s">
        <v>711</v>
      </c>
      <c r="S140" s="63" t="s">
        <v>712</v>
      </c>
      <c r="T140" s="65">
        <v>5.73507155191E11</v>
      </c>
      <c r="U140" s="63" t="s">
        <v>61</v>
      </c>
      <c r="V140" s="66"/>
      <c r="W140" s="66"/>
      <c r="X140" s="66"/>
      <c r="Y140" s="67">
        <v>5.0</v>
      </c>
      <c r="Z140" s="28"/>
      <c r="AA140" s="28"/>
      <c r="AB140" s="28"/>
      <c r="AC140" s="28"/>
      <c r="AD140" s="28"/>
      <c r="AE140" s="28"/>
      <c r="AF140" s="29"/>
      <c r="AG140" s="29"/>
      <c r="AH140" s="30"/>
      <c r="AI140" s="31"/>
      <c r="AJ140" s="28"/>
      <c r="AK140" s="32"/>
      <c r="AL140" s="32"/>
      <c r="AM140" s="32"/>
      <c r="AN140" s="32"/>
      <c r="AO140" s="28"/>
      <c r="AP140" s="29"/>
    </row>
    <row r="141">
      <c r="A141" s="61" t="s">
        <v>713</v>
      </c>
      <c r="B141" s="61" t="s">
        <v>714</v>
      </c>
      <c r="C141" s="61" t="s">
        <v>617</v>
      </c>
      <c r="D141" s="61" t="s">
        <v>618</v>
      </c>
      <c r="E141" s="61" t="s">
        <v>619</v>
      </c>
      <c r="F141" s="61" t="s">
        <v>620</v>
      </c>
      <c r="G141" s="61" t="s">
        <v>621</v>
      </c>
      <c r="H141" s="61" t="s">
        <v>622</v>
      </c>
      <c r="I141" s="61" t="s">
        <v>50</v>
      </c>
      <c r="J141" s="61" t="s">
        <v>51</v>
      </c>
      <c r="K141" s="62" t="s">
        <v>52</v>
      </c>
      <c r="L141" s="61" t="s">
        <v>84</v>
      </c>
      <c r="M141" s="61" t="s">
        <v>54</v>
      </c>
      <c r="N141" s="63" t="s">
        <v>55</v>
      </c>
      <c r="O141" s="63" t="s">
        <v>70</v>
      </c>
      <c r="P141" s="63" t="s">
        <v>479</v>
      </c>
      <c r="Q141" s="64" t="s">
        <v>72</v>
      </c>
      <c r="R141" s="63" t="s">
        <v>715</v>
      </c>
      <c r="S141" s="63" t="s">
        <v>716</v>
      </c>
      <c r="T141" s="65">
        <v>5.73183755563E11</v>
      </c>
      <c r="U141" s="63" t="s">
        <v>75</v>
      </c>
      <c r="V141" s="66"/>
      <c r="W141" s="66"/>
      <c r="X141" s="66"/>
      <c r="Y141" s="67">
        <v>5.0</v>
      </c>
      <c r="Z141" s="28"/>
      <c r="AA141" s="28"/>
      <c r="AB141" s="28"/>
      <c r="AC141" s="28"/>
      <c r="AD141" s="28"/>
      <c r="AE141" s="28"/>
      <c r="AF141" s="29"/>
      <c r="AG141" s="29"/>
      <c r="AH141" s="30"/>
      <c r="AI141" s="31"/>
      <c r="AJ141" s="28"/>
      <c r="AK141" s="32"/>
      <c r="AL141" s="32"/>
      <c r="AM141" s="32"/>
      <c r="AN141" s="32"/>
      <c r="AO141" s="28"/>
      <c r="AP141" s="29"/>
    </row>
    <row r="142">
      <c r="A142" s="61" t="s">
        <v>717</v>
      </c>
      <c r="B142" s="61" t="s">
        <v>718</v>
      </c>
      <c r="C142" s="61" t="s">
        <v>617</v>
      </c>
      <c r="D142" s="61" t="s">
        <v>618</v>
      </c>
      <c r="E142" s="61" t="s">
        <v>619</v>
      </c>
      <c r="F142" s="61" t="s">
        <v>620</v>
      </c>
      <c r="G142" s="61" t="s">
        <v>621</v>
      </c>
      <c r="H142" s="61" t="s">
        <v>622</v>
      </c>
      <c r="I142" s="61" t="s">
        <v>50</v>
      </c>
      <c r="J142" s="61" t="s">
        <v>51</v>
      </c>
      <c r="K142" s="62" t="s">
        <v>52</v>
      </c>
      <c r="L142" s="61" t="s">
        <v>53</v>
      </c>
      <c r="M142" s="61" t="s">
        <v>69</v>
      </c>
      <c r="N142" s="63" t="s">
        <v>55</v>
      </c>
      <c r="O142" s="63" t="s">
        <v>70</v>
      </c>
      <c r="P142" s="63" t="s">
        <v>141</v>
      </c>
      <c r="Q142" s="64" t="s">
        <v>122</v>
      </c>
      <c r="R142" s="63" t="s">
        <v>719</v>
      </c>
      <c r="S142" s="63" t="s">
        <v>720</v>
      </c>
      <c r="T142" s="65">
        <v>5.73209540958E11</v>
      </c>
      <c r="U142" s="63" t="s">
        <v>61</v>
      </c>
      <c r="V142" s="66"/>
      <c r="W142" s="66"/>
      <c r="X142" s="66"/>
      <c r="Y142" s="67">
        <v>5.0</v>
      </c>
      <c r="Z142" s="28"/>
      <c r="AA142" s="28"/>
      <c r="AB142" s="28"/>
      <c r="AC142" s="28"/>
      <c r="AD142" s="28"/>
      <c r="AE142" s="28"/>
      <c r="AF142" s="29"/>
      <c r="AG142" s="29"/>
      <c r="AH142" s="30"/>
      <c r="AI142" s="31"/>
      <c r="AJ142" s="28"/>
      <c r="AK142" s="32"/>
      <c r="AL142" s="32"/>
      <c r="AM142" s="32"/>
      <c r="AN142" s="32"/>
      <c r="AO142" s="28"/>
      <c r="AP142" s="29"/>
    </row>
    <row r="143">
      <c r="A143" s="8" t="s">
        <v>721</v>
      </c>
      <c r="B143" s="8" t="s">
        <v>722</v>
      </c>
      <c r="C143" s="8" t="s">
        <v>617</v>
      </c>
      <c r="D143" s="8" t="s">
        <v>618</v>
      </c>
      <c r="E143" s="8" t="s">
        <v>619</v>
      </c>
      <c r="F143" s="8" t="s">
        <v>620</v>
      </c>
      <c r="G143" s="8" t="s">
        <v>621</v>
      </c>
      <c r="H143" s="8" t="s">
        <v>622</v>
      </c>
      <c r="I143" s="8" t="s">
        <v>50</v>
      </c>
      <c r="J143" s="8" t="s">
        <v>51</v>
      </c>
      <c r="K143" s="9" t="s">
        <v>52</v>
      </c>
      <c r="L143" s="8" t="s">
        <v>53</v>
      </c>
      <c r="M143" s="8" t="s">
        <v>54</v>
      </c>
      <c r="N143" s="53" t="s">
        <v>55</v>
      </c>
      <c r="O143" s="53" t="s">
        <v>70</v>
      </c>
      <c r="P143" s="20" t="s">
        <v>723</v>
      </c>
      <c r="Q143" s="21" t="s">
        <v>111</v>
      </c>
      <c r="R143" s="20" t="s">
        <v>724</v>
      </c>
      <c r="S143" s="20" t="s">
        <v>725</v>
      </c>
      <c r="T143" s="22">
        <v>5.73142925E11</v>
      </c>
      <c r="U143" s="53" t="s">
        <v>61</v>
      </c>
      <c r="V143" s="11"/>
      <c r="W143" s="11"/>
      <c r="X143" s="11"/>
      <c r="Y143" s="54">
        <v>5.0</v>
      </c>
      <c r="Z143" s="28"/>
      <c r="AA143" s="28"/>
      <c r="AB143" s="28"/>
      <c r="AC143" s="28"/>
      <c r="AD143" s="28"/>
      <c r="AE143" s="28"/>
      <c r="AF143" s="29"/>
      <c r="AG143" s="29"/>
      <c r="AH143" s="30"/>
      <c r="AI143" s="31"/>
      <c r="AJ143" s="28"/>
      <c r="AK143" s="32"/>
      <c r="AL143" s="32"/>
      <c r="AM143" s="32"/>
      <c r="AN143" s="32"/>
      <c r="AO143" s="28"/>
      <c r="AP143" s="29"/>
    </row>
    <row r="144">
      <c r="A144" s="8" t="s">
        <v>726</v>
      </c>
      <c r="B144" s="8" t="s">
        <v>727</v>
      </c>
      <c r="C144" s="8" t="s">
        <v>341</v>
      </c>
      <c r="D144" s="8" t="s">
        <v>293</v>
      </c>
      <c r="E144" s="8" t="s">
        <v>342</v>
      </c>
      <c r="F144" s="8" t="s">
        <v>295</v>
      </c>
      <c r="G144" s="8" t="s">
        <v>343</v>
      </c>
      <c r="H144" s="8" t="s">
        <v>344</v>
      </c>
      <c r="I144" s="8" t="s">
        <v>50</v>
      </c>
      <c r="J144" s="8" t="s">
        <v>51</v>
      </c>
      <c r="K144" s="9" t="s">
        <v>52</v>
      </c>
      <c r="L144" s="8" t="s">
        <v>53</v>
      </c>
      <c r="M144" s="8" t="s">
        <v>69</v>
      </c>
      <c r="N144" s="53" t="s">
        <v>55</v>
      </c>
      <c r="O144" s="53" t="s">
        <v>70</v>
      </c>
      <c r="P144" s="20" t="s">
        <v>728</v>
      </c>
      <c r="Q144" s="20" t="s">
        <v>729</v>
      </c>
      <c r="R144" s="20" t="s">
        <v>730</v>
      </c>
      <c r="S144" s="20" t="s">
        <v>731</v>
      </c>
      <c r="T144" s="22">
        <v>3.12350646E9</v>
      </c>
      <c r="U144" s="53" t="s">
        <v>61</v>
      </c>
      <c r="V144" s="11"/>
      <c r="W144" s="11"/>
      <c r="X144" s="11"/>
      <c r="Y144" s="54">
        <v>5.0</v>
      </c>
      <c r="Z144" s="28"/>
      <c r="AA144" s="28"/>
      <c r="AB144" s="28"/>
      <c r="AC144" s="28"/>
      <c r="AD144" s="28"/>
      <c r="AE144" s="28"/>
      <c r="AF144" s="29"/>
      <c r="AG144" s="29"/>
      <c r="AH144" s="30"/>
      <c r="AI144" s="31"/>
      <c r="AJ144" s="28"/>
      <c r="AK144" s="32"/>
      <c r="AL144" s="32"/>
      <c r="AM144" s="32"/>
      <c r="AN144" s="32"/>
      <c r="AO144" s="28"/>
      <c r="AP144" s="29"/>
    </row>
    <row r="145">
      <c r="A145" s="8" t="s">
        <v>732</v>
      </c>
      <c r="B145" s="8" t="s">
        <v>733</v>
      </c>
      <c r="C145" s="8" t="s">
        <v>357</v>
      </c>
      <c r="D145" s="8" t="s">
        <v>66</v>
      </c>
      <c r="E145" s="8" t="s">
        <v>358</v>
      </c>
      <c r="F145" s="8" t="s">
        <v>68</v>
      </c>
      <c r="G145" s="8" t="s">
        <v>359</v>
      </c>
      <c r="H145" s="8" t="s">
        <v>360</v>
      </c>
      <c r="I145" s="8" t="s">
        <v>50</v>
      </c>
      <c r="J145" s="8" t="s">
        <v>51</v>
      </c>
      <c r="K145" s="9" t="s">
        <v>52</v>
      </c>
      <c r="L145" s="8" t="s">
        <v>53</v>
      </c>
      <c r="M145" s="8" t="s">
        <v>54</v>
      </c>
      <c r="N145" s="53" t="s">
        <v>137</v>
      </c>
      <c r="O145" s="53" t="s">
        <v>70</v>
      </c>
      <c r="P145" s="20" t="s">
        <v>734</v>
      </c>
      <c r="Q145" s="21" t="s">
        <v>735</v>
      </c>
      <c r="R145" s="20" t="s">
        <v>158</v>
      </c>
      <c r="S145" s="20" t="s">
        <v>736</v>
      </c>
      <c r="T145" s="22">
        <v>5.73148442689E11</v>
      </c>
      <c r="U145" s="53" t="s">
        <v>75</v>
      </c>
      <c r="V145" s="11"/>
      <c r="W145" s="11"/>
      <c r="X145" s="11"/>
      <c r="Y145" s="54">
        <v>5.0</v>
      </c>
      <c r="Z145" s="28"/>
      <c r="AA145" s="28"/>
      <c r="AB145" s="28"/>
      <c r="AC145" s="28"/>
      <c r="AD145" s="28"/>
      <c r="AE145" s="28"/>
      <c r="AF145" s="29"/>
      <c r="AG145" s="29"/>
      <c r="AH145" s="30"/>
      <c r="AI145" s="31"/>
      <c r="AJ145" s="28"/>
      <c r="AK145" s="32"/>
      <c r="AL145" s="32"/>
      <c r="AM145" s="32"/>
      <c r="AN145" s="32"/>
      <c r="AO145" s="28"/>
      <c r="AP145" s="29"/>
    </row>
    <row r="146">
      <c r="A146" s="8" t="s">
        <v>737</v>
      </c>
      <c r="B146" s="8" t="s">
        <v>738</v>
      </c>
      <c r="C146" s="8" t="s">
        <v>617</v>
      </c>
      <c r="D146" s="8" t="s">
        <v>618</v>
      </c>
      <c r="E146" s="8" t="s">
        <v>619</v>
      </c>
      <c r="F146" s="8" t="s">
        <v>620</v>
      </c>
      <c r="G146" s="8" t="s">
        <v>621</v>
      </c>
      <c r="H146" s="8" t="s">
        <v>622</v>
      </c>
      <c r="I146" s="8" t="s">
        <v>50</v>
      </c>
      <c r="J146" s="8" t="s">
        <v>51</v>
      </c>
      <c r="K146" s="9" t="s">
        <v>52</v>
      </c>
      <c r="L146" s="8" t="s">
        <v>84</v>
      </c>
      <c r="M146" s="8" t="s">
        <v>69</v>
      </c>
      <c r="N146" s="53" t="s">
        <v>55</v>
      </c>
      <c r="O146" s="53" t="s">
        <v>70</v>
      </c>
      <c r="P146" s="20" t="s">
        <v>739</v>
      </c>
      <c r="Q146" s="20" t="s">
        <v>729</v>
      </c>
      <c r="R146" s="20" t="s">
        <v>740</v>
      </c>
      <c r="S146" s="20" t="s">
        <v>741</v>
      </c>
      <c r="T146" s="22">
        <v>5.73118227155E11</v>
      </c>
      <c r="U146" s="53" t="s">
        <v>75</v>
      </c>
      <c r="V146" s="11"/>
      <c r="W146" s="11"/>
      <c r="X146" s="11"/>
      <c r="Y146" s="54">
        <v>5.0</v>
      </c>
      <c r="Z146" s="28"/>
      <c r="AA146" s="28"/>
      <c r="AB146" s="28"/>
      <c r="AC146" s="28"/>
      <c r="AD146" s="28"/>
      <c r="AE146" s="28"/>
      <c r="AF146" s="29"/>
      <c r="AG146" s="29"/>
      <c r="AH146" s="30"/>
      <c r="AI146" s="31"/>
      <c r="AJ146" s="28"/>
      <c r="AK146" s="32"/>
      <c r="AL146" s="32"/>
      <c r="AM146" s="32"/>
      <c r="AN146" s="32"/>
      <c r="AO146" s="28"/>
      <c r="AP146" s="29"/>
    </row>
    <row r="147">
      <c r="A147" s="75" t="s">
        <v>742</v>
      </c>
      <c r="B147" s="75" t="s">
        <v>743</v>
      </c>
      <c r="C147" s="75" t="s">
        <v>357</v>
      </c>
      <c r="D147" s="75" t="s">
        <v>66</v>
      </c>
      <c r="E147" s="75" t="s">
        <v>358</v>
      </c>
      <c r="F147" s="75" t="s">
        <v>68</v>
      </c>
      <c r="G147" s="75" t="s">
        <v>359</v>
      </c>
      <c r="H147" s="75" t="s">
        <v>360</v>
      </c>
      <c r="I147" s="75" t="s">
        <v>50</v>
      </c>
      <c r="J147" s="75" t="s">
        <v>51</v>
      </c>
      <c r="K147" s="76" t="s">
        <v>52</v>
      </c>
      <c r="L147" s="75" t="s">
        <v>53</v>
      </c>
      <c r="M147" s="75" t="s">
        <v>54</v>
      </c>
      <c r="N147" s="77" t="s">
        <v>85</v>
      </c>
      <c r="O147" s="77" t="s">
        <v>70</v>
      </c>
      <c r="P147" s="77" t="s">
        <v>99</v>
      </c>
      <c r="Q147" s="78" t="s">
        <v>111</v>
      </c>
      <c r="R147" s="77" t="s">
        <v>744</v>
      </c>
      <c r="S147" s="77" t="s">
        <v>745</v>
      </c>
      <c r="T147" s="79">
        <v>5.73158048088E11</v>
      </c>
      <c r="U147" s="77" t="s">
        <v>61</v>
      </c>
      <c r="V147" s="80"/>
      <c r="W147" s="80"/>
      <c r="X147" s="80"/>
      <c r="Y147" s="81">
        <v>5.0</v>
      </c>
      <c r="Z147" s="28"/>
      <c r="AA147" s="28"/>
      <c r="AB147" s="28"/>
      <c r="AC147" s="28"/>
      <c r="AD147" s="28"/>
      <c r="AE147" s="28"/>
      <c r="AF147" s="29"/>
      <c r="AG147" s="29"/>
      <c r="AH147" s="30"/>
      <c r="AI147" s="31"/>
      <c r="AJ147" s="28"/>
      <c r="AK147" s="32"/>
      <c r="AL147" s="32"/>
      <c r="AM147" s="32"/>
      <c r="AN147" s="32"/>
      <c r="AO147" s="28"/>
      <c r="AP147" s="29"/>
    </row>
    <row r="148">
      <c r="A148" s="75" t="s">
        <v>746</v>
      </c>
      <c r="B148" s="75" t="s">
        <v>747</v>
      </c>
      <c r="C148" s="75" t="s">
        <v>357</v>
      </c>
      <c r="D148" s="75" t="s">
        <v>66</v>
      </c>
      <c r="E148" s="75" t="s">
        <v>358</v>
      </c>
      <c r="F148" s="75" t="s">
        <v>68</v>
      </c>
      <c r="G148" s="75" t="s">
        <v>359</v>
      </c>
      <c r="H148" s="75" t="s">
        <v>360</v>
      </c>
      <c r="I148" s="75" t="s">
        <v>50</v>
      </c>
      <c r="J148" s="75" t="s">
        <v>51</v>
      </c>
      <c r="K148" s="76" t="s">
        <v>52</v>
      </c>
      <c r="L148" s="75" t="s">
        <v>84</v>
      </c>
      <c r="M148" s="75" t="s">
        <v>69</v>
      </c>
      <c r="N148" s="77" t="s">
        <v>85</v>
      </c>
      <c r="O148" s="77" t="s">
        <v>70</v>
      </c>
      <c r="P148" s="77" t="s">
        <v>116</v>
      </c>
      <c r="Q148" s="78" t="s">
        <v>72</v>
      </c>
      <c r="R148" s="77" t="s">
        <v>748</v>
      </c>
      <c r="S148" s="77" t="s">
        <v>749</v>
      </c>
      <c r="T148" s="79">
        <v>5.73003330315E11</v>
      </c>
      <c r="U148" s="77" t="s">
        <v>75</v>
      </c>
      <c r="V148" s="80"/>
      <c r="W148" s="80"/>
      <c r="X148" s="80"/>
      <c r="Y148" s="81">
        <v>5.0</v>
      </c>
      <c r="Z148" s="13"/>
      <c r="AA148" s="13"/>
      <c r="AB148" s="13"/>
      <c r="AC148" s="13"/>
      <c r="AD148" s="13"/>
      <c r="AE148" s="13"/>
      <c r="AF148" s="14"/>
      <c r="AG148" s="14"/>
      <c r="AH148" s="15"/>
      <c r="AI148" s="16"/>
      <c r="AJ148" s="13"/>
      <c r="AK148" s="17"/>
      <c r="AL148" s="17"/>
      <c r="AM148" s="17"/>
      <c r="AN148" s="17"/>
      <c r="AO148" s="13"/>
      <c r="AP148" s="14"/>
    </row>
    <row r="149">
      <c r="A149" s="8" t="s">
        <v>750</v>
      </c>
      <c r="B149" s="8" t="s">
        <v>751</v>
      </c>
      <c r="C149" s="8" t="s">
        <v>617</v>
      </c>
      <c r="D149" s="8" t="s">
        <v>618</v>
      </c>
      <c r="E149" s="8" t="s">
        <v>619</v>
      </c>
      <c r="F149" s="8" t="s">
        <v>620</v>
      </c>
      <c r="G149" s="8" t="s">
        <v>621</v>
      </c>
      <c r="H149" s="8" t="s">
        <v>622</v>
      </c>
      <c r="I149" s="8" t="s">
        <v>50</v>
      </c>
      <c r="J149" s="8" t="s">
        <v>51</v>
      </c>
      <c r="K149" s="9" t="s">
        <v>52</v>
      </c>
      <c r="L149" s="8" t="s">
        <v>84</v>
      </c>
      <c r="M149" s="8" t="s">
        <v>69</v>
      </c>
      <c r="N149" s="53" t="s">
        <v>55</v>
      </c>
      <c r="O149" s="53" t="s">
        <v>70</v>
      </c>
      <c r="P149" s="20" t="s">
        <v>752</v>
      </c>
      <c r="Q149" s="21" t="s">
        <v>735</v>
      </c>
      <c r="R149" s="20" t="s">
        <v>753</v>
      </c>
      <c r="S149" s="20" t="s">
        <v>754</v>
      </c>
      <c r="T149" s="22">
        <v>5.73004717209E11</v>
      </c>
      <c r="U149" s="53" t="s">
        <v>75</v>
      </c>
      <c r="V149" s="11"/>
      <c r="W149" s="11"/>
      <c r="X149" s="11"/>
      <c r="Y149" s="54">
        <v>5.0</v>
      </c>
      <c r="Z149" s="13"/>
      <c r="AA149" s="13"/>
      <c r="AB149" s="13"/>
      <c r="AC149" s="13"/>
      <c r="AD149" s="13"/>
      <c r="AE149" s="13"/>
      <c r="AF149" s="14"/>
      <c r="AG149" s="14"/>
      <c r="AH149" s="15"/>
      <c r="AI149" s="16"/>
      <c r="AJ149" s="13"/>
      <c r="AK149" s="17"/>
      <c r="AL149" s="17"/>
      <c r="AM149" s="17"/>
      <c r="AN149" s="17"/>
      <c r="AO149" s="13"/>
      <c r="AP149" s="14"/>
    </row>
    <row r="150">
      <c r="A150" s="75" t="s">
        <v>755</v>
      </c>
      <c r="B150" s="75" t="s">
        <v>756</v>
      </c>
      <c r="C150" s="75" t="s">
        <v>357</v>
      </c>
      <c r="D150" s="75" t="s">
        <v>66</v>
      </c>
      <c r="E150" s="75" t="s">
        <v>358</v>
      </c>
      <c r="F150" s="75" t="s">
        <v>68</v>
      </c>
      <c r="G150" s="75" t="s">
        <v>359</v>
      </c>
      <c r="H150" s="75" t="s">
        <v>360</v>
      </c>
      <c r="I150" s="75" t="s">
        <v>50</v>
      </c>
      <c r="J150" s="75" t="s">
        <v>51</v>
      </c>
      <c r="K150" s="76" t="s">
        <v>52</v>
      </c>
      <c r="L150" s="75" t="s">
        <v>84</v>
      </c>
      <c r="M150" s="75" t="s">
        <v>69</v>
      </c>
      <c r="N150" s="77" t="s">
        <v>55</v>
      </c>
      <c r="O150" s="77" t="s">
        <v>70</v>
      </c>
      <c r="P150" s="77" t="s">
        <v>757</v>
      </c>
      <c r="Q150" s="78" t="s">
        <v>111</v>
      </c>
      <c r="R150" s="77" t="s">
        <v>758</v>
      </c>
      <c r="S150" s="77" t="s">
        <v>759</v>
      </c>
      <c r="T150" s="79">
        <v>5.73124897967E11</v>
      </c>
      <c r="U150" s="77" t="s">
        <v>75</v>
      </c>
      <c r="V150" s="80"/>
      <c r="W150" s="80"/>
      <c r="X150" s="80"/>
      <c r="Y150" s="81">
        <v>5.0</v>
      </c>
      <c r="Z150" s="13"/>
      <c r="AA150" s="13"/>
      <c r="AB150" s="13"/>
      <c r="AC150" s="13"/>
      <c r="AD150" s="13"/>
      <c r="AE150" s="13"/>
      <c r="AF150" s="14"/>
      <c r="AG150" s="14"/>
      <c r="AH150" s="15"/>
      <c r="AI150" s="16"/>
      <c r="AJ150" s="13"/>
      <c r="AK150" s="17"/>
      <c r="AL150" s="17"/>
      <c r="AM150" s="17"/>
      <c r="AN150" s="17"/>
      <c r="AO150" s="13"/>
      <c r="AP150" s="14"/>
    </row>
    <row r="151">
      <c r="A151" s="46" t="s">
        <v>760</v>
      </c>
      <c r="B151" s="46" t="s">
        <v>761</v>
      </c>
      <c r="C151" s="46" t="s">
        <v>617</v>
      </c>
      <c r="D151" s="46" t="s">
        <v>618</v>
      </c>
      <c r="E151" s="46" t="s">
        <v>619</v>
      </c>
      <c r="F151" s="46" t="s">
        <v>620</v>
      </c>
      <c r="G151" s="46" t="s">
        <v>621</v>
      </c>
      <c r="H151" s="46" t="s">
        <v>622</v>
      </c>
      <c r="I151" s="46" t="s">
        <v>50</v>
      </c>
      <c r="J151" s="46" t="s">
        <v>51</v>
      </c>
      <c r="K151" s="68" t="s">
        <v>52</v>
      </c>
      <c r="L151" s="46" t="s">
        <v>53</v>
      </c>
      <c r="M151" s="46" t="s">
        <v>54</v>
      </c>
      <c r="N151" s="46" t="s">
        <v>55</v>
      </c>
      <c r="O151" s="46" t="s">
        <v>56</v>
      </c>
      <c r="P151" s="46" t="s">
        <v>762</v>
      </c>
      <c r="Q151" s="68" t="s">
        <v>111</v>
      </c>
      <c r="R151" s="46" t="s">
        <v>288</v>
      </c>
      <c r="S151" s="46" t="s">
        <v>763</v>
      </c>
      <c r="T151" s="82">
        <v>5.73007724651E11</v>
      </c>
      <c r="U151" s="46" t="s">
        <v>61</v>
      </c>
      <c r="V151" s="70"/>
      <c r="W151" s="70"/>
      <c r="X151" s="70"/>
      <c r="Y151" s="83" t="s">
        <v>62</v>
      </c>
      <c r="Z151" s="13"/>
      <c r="AA151" s="13"/>
      <c r="AB151" s="13"/>
      <c r="AC151" s="13"/>
      <c r="AD151" s="13"/>
      <c r="AE151" s="13"/>
      <c r="AF151" s="14"/>
      <c r="AG151" s="14"/>
      <c r="AH151" s="15"/>
      <c r="AI151" s="16"/>
      <c r="AJ151" s="13"/>
      <c r="AK151" s="17"/>
      <c r="AL151" s="17"/>
      <c r="AM151" s="17"/>
      <c r="AN151" s="17"/>
      <c r="AO151" s="13"/>
      <c r="AP151" s="14"/>
    </row>
    <row r="152">
      <c r="A152" s="8" t="s">
        <v>764</v>
      </c>
      <c r="B152" s="8" t="s">
        <v>765</v>
      </c>
      <c r="C152" s="8" t="s">
        <v>357</v>
      </c>
      <c r="D152" s="8" t="s">
        <v>66</v>
      </c>
      <c r="E152" s="8" t="s">
        <v>358</v>
      </c>
      <c r="F152" s="8" t="s">
        <v>68</v>
      </c>
      <c r="G152" s="8" t="s">
        <v>359</v>
      </c>
      <c r="H152" s="8" t="s">
        <v>360</v>
      </c>
      <c r="I152" s="8" t="s">
        <v>50</v>
      </c>
      <c r="J152" s="8" t="s">
        <v>51</v>
      </c>
      <c r="K152" s="9" t="s">
        <v>52</v>
      </c>
      <c r="L152" s="8" t="s">
        <v>53</v>
      </c>
      <c r="M152" s="8" t="s">
        <v>54</v>
      </c>
      <c r="N152" s="53" t="s">
        <v>137</v>
      </c>
      <c r="O152" s="53" t="s">
        <v>70</v>
      </c>
      <c r="P152" s="20" t="s">
        <v>127</v>
      </c>
      <c r="Q152" s="21" t="s">
        <v>58</v>
      </c>
      <c r="R152" s="20" t="s">
        <v>766</v>
      </c>
      <c r="S152" s="20" t="s">
        <v>767</v>
      </c>
      <c r="T152" s="22">
        <v>5.73058144236E11</v>
      </c>
      <c r="U152" s="53" t="s">
        <v>75</v>
      </c>
      <c r="V152" s="11"/>
      <c r="W152" s="11"/>
      <c r="X152" s="11"/>
      <c r="Y152" s="54">
        <v>5.0</v>
      </c>
      <c r="Z152" s="13"/>
      <c r="AA152" s="13"/>
      <c r="AB152" s="13"/>
      <c r="AC152" s="13"/>
      <c r="AD152" s="13"/>
      <c r="AE152" s="13"/>
      <c r="AF152" s="14"/>
      <c r="AG152" s="14"/>
      <c r="AH152" s="15"/>
      <c r="AI152" s="16"/>
      <c r="AJ152" s="13"/>
      <c r="AK152" s="17"/>
      <c r="AL152" s="17"/>
      <c r="AM152" s="17"/>
      <c r="AN152" s="17"/>
      <c r="AO152" s="13"/>
      <c r="AP152" s="14"/>
    </row>
    <row r="153">
      <c r="A153" s="8" t="s">
        <v>768</v>
      </c>
      <c r="B153" s="8" t="s">
        <v>769</v>
      </c>
      <c r="C153" s="8" t="s">
        <v>357</v>
      </c>
      <c r="D153" s="8" t="s">
        <v>66</v>
      </c>
      <c r="E153" s="8" t="s">
        <v>358</v>
      </c>
      <c r="F153" s="8" t="s">
        <v>68</v>
      </c>
      <c r="G153" s="8" t="s">
        <v>359</v>
      </c>
      <c r="H153" s="8" t="s">
        <v>360</v>
      </c>
      <c r="I153" s="8" t="s">
        <v>50</v>
      </c>
      <c r="J153" s="8" t="s">
        <v>51</v>
      </c>
      <c r="K153" s="9" t="s">
        <v>52</v>
      </c>
      <c r="L153" s="8" t="s">
        <v>53</v>
      </c>
      <c r="M153" s="8" t="s">
        <v>54</v>
      </c>
      <c r="N153" s="8" t="s">
        <v>85</v>
      </c>
      <c r="O153" s="8" t="s">
        <v>86</v>
      </c>
      <c r="P153" s="8" t="s">
        <v>770</v>
      </c>
      <c r="Q153" s="9" t="s">
        <v>111</v>
      </c>
      <c r="R153" s="8" t="s">
        <v>771</v>
      </c>
      <c r="S153" s="8" t="s">
        <v>772</v>
      </c>
      <c r="T153" s="10">
        <v>5.7324564429E11</v>
      </c>
      <c r="U153" s="8" t="s">
        <v>75</v>
      </c>
      <c r="V153" s="11"/>
      <c r="W153" s="11"/>
      <c r="X153" s="11"/>
      <c r="Y153" s="33">
        <v>45779.0</v>
      </c>
      <c r="Z153" s="13"/>
      <c r="AA153" s="13"/>
      <c r="AB153" s="13"/>
      <c r="AC153" s="13"/>
      <c r="AD153" s="13"/>
      <c r="AE153" s="13"/>
      <c r="AF153" s="14"/>
      <c r="AG153" s="14"/>
      <c r="AH153" s="15"/>
      <c r="AI153" s="16"/>
      <c r="AJ153" s="13"/>
      <c r="AK153" s="17"/>
      <c r="AL153" s="17"/>
      <c r="AM153" s="17"/>
      <c r="AN153" s="17"/>
      <c r="AO153" s="13"/>
      <c r="AP153" s="14"/>
    </row>
    <row r="154">
      <c r="A154" s="8" t="s">
        <v>773</v>
      </c>
      <c r="B154" s="8" t="s">
        <v>774</v>
      </c>
      <c r="C154" s="8" t="s">
        <v>357</v>
      </c>
      <c r="D154" s="8" t="s">
        <v>66</v>
      </c>
      <c r="E154" s="8" t="s">
        <v>358</v>
      </c>
      <c r="F154" s="8" t="s">
        <v>68</v>
      </c>
      <c r="G154" s="8" t="s">
        <v>359</v>
      </c>
      <c r="H154" s="8" t="s">
        <v>360</v>
      </c>
      <c r="I154" s="8" t="s">
        <v>50</v>
      </c>
      <c r="J154" s="8" t="s">
        <v>51</v>
      </c>
      <c r="K154" s="9" t="s">
        <v>52</v>
      </c>
      <c r="L154" s="8" t="s">
        <v>53</v>
      </c>
      <c r="M154" s="8" t="s">
        <v>54</v>
      </c>
      <c r="N154" s="8" t="s">
        <v>55</v>
      </c>
      <c r="O154" s="8" t="s">
        <v>86</v>
      </c>
      <c r="P154" s="8" t="s">
        <v>775</v>
      </c>
      <c r="Q154" s="9" t="s">
        <v>94</v>
      </c>
      <c r="R154" s="8" t="s">
        <v>419</v>
      </c>
      <c r="S154" s="8" t="s">
        <v>776</v>
      </c>
      <c r="T154" s="10">
        <v>3.218420651E9</v>
      </c>
      <c r="U154" s="8" t="s">
        <v>75</v>
      </c>
      <c r="V154" s="11"/>
      <c r="W154" s="11"/>
      <c r="X154" s="11"/>
      <c r="Y154" s="33">
        <v>45779.0</v>
      </c>
      <c r="Z154" s="28"/>
      <c r="AA154" s="28"/>
      <c r="AB154" s="28"/>
      <c r="AC154" s="28"/>
      <c r="AD154" s="28"/>
      <c r="AE154" s="28"/>
      <c r="AF154" s="29"/>
      <c r="AG154" s="29"/>
      <c r="AH154" s="30"/>
      <c r="AI154" s="31"/>
      <c r="AJ154" s="28"/>
      <c r="AK154" s="32"/>
      <c r="AL154" s="32"/>
      <c r="AM154" s="32"/>
      <c r="AN154" s="32"/>
      <c r="AO154" s="28"/>
      <c r="AP154" s="29"/>
    </row>
    <row r="155">
      <c r="A155" s="84" t="s">
        <v>777</v>
      </c>
      <c r="B155" s="84" t="s">
        <v>778</v>
      </c>
      <c r="C155" s="84" t="s">
        <v>617</v>
      </c>
      <c r="D155" s="84" t="s">
        <v>618</v>
      </c>
      <c r="E155" s="84" t="s">
        <v>619</v>
      </c>
      <c r="F155" s="84" t="s">
        <v>620</v>
      </c>
      <c r="G155" s="84" t="s">
        <v>621</v>
      </c>
      <c r="H155" s="84" t="s">
        <v>622</v>
      </c>
      <c r="I155" s="84" t="s">
        <v>50</v>
      </c>
      <c r="J155" s="84" t="s">
        <v>51</v>
      </c>
      <c r="K155" s="85" t="s">
        <v>52</v>
      </c>
      <c r="L155" s="84" t="s">
        <v>53</v>
      </c>
      <c r="M155" s="84" t="s">
        <v>69</v>
      </c>
      <c r="N155" s="86" t="s">
        <v>55</v>
      </c>
      <c r="O155" s="86" t="s">
        <v>70</v>
      </c>
      <c r="P155" s="86" t="s">
        <v>211</v>
      </c>
      <c r="Q155" s="87" t="s">
        <v>111</v>
      </c>
      <c r="R155" s="86" t="s">
        <v>779</v>
      </c>
      <c r="S155" s="86" t="s">
        <v>780</v>
      </c>
      <c r="T155" s="88">
        <v>5.73122530361E11</v>
      </c>
      <c r="U155" s="86" t="s">
        <v>61</v>
      </c>
      <c r="V155" s="89"/>
      <c r="W155" s="89"/>
      <c r="X155" s="89"/>
      <c r="Y155" s="90">
        <v>5.0</v>
      </c>
      <c r="Z155" s="28"/>
      <c r="AA155" s="28"/>
      <c r="AB155" s="28"/>
      <c r="AC155" s="28"/>
      <c r="AD155" s="28"/>
      <c r="AE155" s="28"/>
      <c r="AF155" s="29"/>
      <c r="AG155" s="29"/>
      <c r="AH155" s="30"/>
      <c r="AI155" s="31"/>
      <c r="AJ155" s="28"/>
      <c r="AK155" s="32"/>
      <c r="AL155" s="32"/>
      <c r="AM155" s="32"/>
      <c r="AN155" s="32"/>
      <c r="AO155" s="28"/>
      <c r="AP155" s="29"/>
    </row>
    <row r="156">
      <c r="A156" s="84" t="s">
        <v>781</v>
      </c>
      <c r="B156" s="84" t="s">
        <v>782</v>
      </c>
      <c r="C156" s="84" t="s">
        <v>357</v>
      </c>
      <c r="D156" s="84" t="s">
        <v>66</v>
      </c>
      <c r="E156" s="84" t="s">
        <v>358</v>
      </c>
      <c r="F156" s="84" t="s">
        <v>68</v>
      </c>
      <c r="G156" s="84" t="s">
        <v>359</v>
      </c>
      <c r="H156" s="84" t="s">
        <v>360</v>
      </c>
      <c r="I156" s="84" t="s">
        <v>50</v>
      </c>
      <c r="J156" s="84" t="s">
        <v>51</v>
      </c>
      <c r="K156" s="85" t="s">
        <v>52</v>
      </c>
      <c r="L156" s="84" t="s">
        <v>53</v>
      </c>
      <c r="M156" s="84" t="s">
        <v>54</v>
      </c>
      <c r="N156" s="86" t="s">
        <v>55</v>
      </c>
      <c r="O156" s="86" t="s">
        <v>70</v>
      </c>
      <c r="P156" s="86" t="s">
        <v>783</v>
      </c>
      <c r="Q156" s="87" t="s">
        <v>94</v>
      </c>
      <c r="R156" s="86" t="s">
        <v>784</v>
      </c>
      <c r="S156" s="86" t="s">
        <v>785</v>
      </c>
      <c r="T156" s="88">
        <v>5.73104453979E11</v>
      </c>
      <c r="U156" s="86" t="s">
        <v>75</v>
      </c>
      <c r="V156" s="89"/>
      <c r="W156" s="89"/>
      <c r="X156" s="89"/>
      <c r="Y156" s="90">
        <v>5.0</v>
      </c>
      <c r="Z156" s="34"/>
      <c r="AA156" s="34"/>
      <c r="AB156" s="34"/>
      <c r="AC156" s="34"/>
      <c r="AD156" s="34"/>
      <c r="AE156" s="34"/>
      <c r="AF156" s="35"/>
      <c r="AG156" s="35"/>
      <c r="AH156" s="36"/>
      <c r="AI156" s="37"/>
      <c r="AJ156" s="34"/>
      <c r="AK156" s="38"/>
      <c r="AL156" s="38"/>
      <c r="AM156" s="38"/>
      <c r="AN156" s="38"/>
      <c r="AO156" s="34"/>
      <c r="AP156" s="35"/>
    </row>
    <row r="157">
      <c r="A157" s="8" t="s">
        <v>786</v>
      </c>
      <c r="B157" s="8" t="s">
        <v>787</v>
      </c>
      <c r="C157" s="8" t="s">
        <v>788</v>
      </c>
      <c r="D157" s="8" t="s">
        <v>789</v>
      </c>
      <c r="E157" s="8" t="s">
        <v>619</v>
      </c>
      <c r="F157" s="8" t="s">
        <v>620</v>
      </c>
      <c r="G157" s="8" t="s">
        <v>621</v>
      </c>
      <c r="H157" s="8" t="s">
        <v>622</v>
      </c>
      <c r="I157" s="8" t="s">
        <v>50</v>
      </c>
      <c r="J157" s="8" t="s">
        <v>51</v>
      </c>
      <c r="K157" s="9" t="s">
        <v>52</v>
      </c>
      <c r="L157" s="8" t="s">
        <v>53</v>
      </c>
      <c r="M157" s="8" t="s">
        <v>54</v>
      </c>
      <c r="N157" s="53" t="s">
        <v>137</v>
      </c>
      <c r="O157" s="53" t="s">
        <v>70</v>
      </c>
      <c r="P157" s="20" t="s">
        <v>790</v>
      </c>
      <c r="Q157" s="21" t="s">
        <v>111</v>
      </c>
      <c r="R157" s="20" t="s">
        <v>791</v>
      </c>
      <c r="S157" s="20" t="s">
        <v>792</v>
      </c>
      <c r="T157" s="22">
        <v>5.73108832877E11</v>
      </c>
      <c r="U157" s="53" t="s">
        <v>61</v>
      </c>
      <c r="V157" s="11"/>
      <c r="W157" s="11"/>
      <c r="X157" s="11"/>
      <c r="Y157" s="54">
        <v>5.0</v>
      </c>
      <c r="Z157" s="28"/>
      <c r="AA157" s="28"/>
      <c r="AB157" s="28"/>
      <c r="AC157" s="28"/>
      <c r="AD157" s="28"/>
      <c r="AE157" s="28"/>
      <c r="AF157" s="29"/>
      <c r="AG157" s="29"/>
      <c r="AH157" s="30"/>
      <c r="AI157" s="31"/>
      <c r="AJ157" s="28"/>
      <c r="AK157" s="32"/>
      <c r="AL157" s="32"/>
      <c r="AM157" s="32"/>
      <c r="AN157" s="32"/>
      <c r="AO157" s="28"/>
      <c r="AP157" s="29"/>
    </row>
    <row r="158">
      <c r="A158" s="84" t="s">
        <v>793</v>
      </c>
      <c r="B158" s="84" t="s">
        <v>794</v>
      </c>
      <c r="C158" s="84" t="s">
        <v>357</v>
      </c>
      <c r="D158" s="84" t="s">
        <v>66</v>
      </c>
      <c r="E158" s="84" t="s">
        <v>358</v>
      </c>
      <c r="F158" s="84" t="s">
        <v>68</v>
      </c>
      <c r="G158" s="84" t="s">
        <v>359</v>
      </c>
      <c r="H158" s="84" t="s">
        <v>360</v>
      </c>
      <c r="I158" s="84" t="s">
        <v>50</v>
      </c>
      <c r="J158" s="84" t="s">
        <v>51</v>
      </c>
      <c r="K158" s="85" t="s">
        <v>52</v>
      </c>
      <c r="L158" s="84" t="s">
        <v>84</v>
      </c>
      <c r="M158" s="84" t="s">
        <v>69</v>
      </c>
      <c r="N158" s="86" t="s">
        <v>55</v>
      </c>
      <c r="O158" s="86" t="s">
        <v>70</v>
      </c>
      <c r="P158" s="86" t="s">
        <v>141</v>
      </c>
      <c r="Q158" s="87" t="s">
        <v>111</v>
      </c>
      <c r="R158" s="86" t="s">
        <v>795</v>
      </c>
      <c r="S158" s="86" t="s">
        <v>796</v>
      </c>
      <c r="T158" s="88">
        <v>5.73153716428E11</v>
      </c>
      <c r="U158" s="86" t="s">
        <v>75</v>
      </c>
      <c r="V158" s="89"/>
      <c r="W158" s="89"/>
      <c r="X158" s="89"/>
      <c r="Y158" s="90">
        <v>5.0</v>
      </c>
      <c r="Z158" s="13"/>
      <c r="AA158" s="13"/>
      <c r="AB158" s="13"/>
      <c r="AC158" s="13"/>
      <c r="AD158" s="13"/>
      <c r="AE158" s="13"/>
      <c r="AF158" s="14"/>
      <c r="AG158" s="14"/>
      <c r="AH158" s="15"/>
      <c r="AI158" s="16"/>
      <c r="AJ158" s="13"/>
      <c r="AK158" s="17"/>
      <c r="AL158" s="17"/>
      <c r="AM158" s="17"/>
      <c r="AN158" s="17"/>
      <c r="AO158" s="13"/>
      <c r="AP158" s="14"/>
    </row>
    <row r="159">
      <c r="A159" s="8" t="s">
        <v>797</v>
      </c>
      <c r="B159" s="8" t="s">
        <v>798</v>
      </c>
      <c r="C159" s="8" t="s">
        <v>788</v>
      </c>
      <c r="D159" s="8" t="s">
        <v>789</v>
      </c>
      <c r="E159" s="8" t="s">
        <v>619</v>
      </c>
      <c r="F159" s="8" t="s">
        <v>620</v>
      </c>
      <c r="G159" s="8" t="s">
        <v>621</v>
      </c>
      <c r="H159" s="8" t="s">
        <v>622</v>
      </c>
      <c r="I159" s="8" t="s">
        <v>50</v>
      </c>
      <c r="J159" s="8" t="s">
        <v>51</v>
      </c>
      <c r="K159" s="9" t="s">
        <v>52</v>
      </c>
      <c r="L159" s="8" t="s">
        <v>53</v>
      </c>
      <c r="M159" s="8" t="s">
        <v>54</v>
      </c>
      <c r="N159" s="53" t="s">
        <v>55</v>
      </c>
      <c r="O159" s="53" t="s">
        <v>70</v>
      </c>
      <c r="P159" s="20" t="s">
        <v>141</v>
      </c>
      <c r="Q159" s="21" t="s">
        <v>183</v>
      </c>
      <c r="R159" s="20" t="s">
        <v>799</v>
      </c>
      <c r="S159" s="20" t="s">
        <v>800</v>
      </c>
      <c r="T159" s="22">
        <v>5.73106083084E11</v>
      </c>
      <c r="U159" s="53" t="s">
        <v>75</v>
      </c>
      <c r="V159" s="11"/>
      <c r="W159" s="11"/>
      <c r="X159" s="11"/>
      <c r="Y159" s="54">
        <v>5.0</v>
      </c>
      <c r="Z159" s="28"/>
      <c r="AA159" s="28"/>
      <c r="AB159" s="28"/>
      <c r="AC159" s="28"/>
      <c r="AD159" s="28"/>
      <c r="AE159" s="28"/>
      <c r="AF159" s="29"/>
      <c r="AG159" s="29"/>
      <c r="AH159" s="30"/>
      <c r="AI159" s="31"/>
      <c r="AJ159" s="28"/>
      <c r="AK159" s="32"/>
      <c r="AL159" s="32"/>
      <c r="AM159" s="32"/>
      <c r="AN159" s="32"/>
      <c r="AO159" s="28"/>
      <c r="AP159" s="29"/>
    </row>
    <row r="160">
      <c r="A160" s="8" t="s">
        <v>801</v>
      </c>
      <c r="B160" s="8" t="s">
        <v>802</v>
      </c>
      <c r="C160" s="8" t="s">
        <v>357</v>
      </c>
      <c r="D160" s="8" t="s">
        <v>66</v>
      </c>
      <c r="E160" s="8" t="s">
        <v>358</v>
      </c>
      <c r="F160" s="8" t="s">
        <v>68</v>
      </c>
      <c r="G160" s="8" t="s">
        <v>359</v>
      </c>
      <c r="H160" s="8" t="s">
        <v>360</v>
      </c>
      <c r="I160" s="8" t="s">
        <v>50</v>
      </c>
      <c r="J160" s="8" t="s">
        <v>51</v>
      </c>
      <c r="K160" s="9" t="s">
        <v>52</v>
      </c>
      <c r="L160" s="8" t="s">
        <v>53</v>
      </c>
      <c r="M160" s="8" t="s">
        <v>69</v>
      </c>
      <c r="N160" s="53" t="s">
        <v>137</v>
      </c>
      <c r="O160" s="53" t="s">
        <v>70</v>
      </c>
      <c r="P160" s="20" t="s">
        <v>573</v>
      </c>
      <c r="Q160" s="21" t="s">
        <v>94</v>
      </c>
      <c r="R160" s="20" t="s">
        <v>189</v>
      </c>
      <c r="S160" s="20" t="s">
        <v>803</v>
      </c>
      <c r="T160" s="22">
        <v>3.127169855E9</v>
      </c>
      <c r="U160" s="53" t="s">
        <v>75</v>
      </c>
      <c r="V160" s="11"/>
      <c r="W160" s="11"/>
      <c r="X160" s="11"/>
      <c r="Y160" s="54">
        <v>5.0</v>
      </c>
      <c r="Z160" s="13"/>
      <c r="AA160" s="13"/>
      <c r="AB160" s="13"/>
      <c r="AC160" s="13"/>
      <c r="AD160" s="13"/>
      <c r="AE160" s="13"/>
      <c r="AF160" s="14"/>
      <c r="AG160" s="14"/>
      <c r="AH160" s="15"/>
      <c r="AI160" s="16"/>
      <c r="AJ160" s="13"/>
      <c r="AK160" s="17"/>
      <c r="AL160" s="17"/>
      <c r="AM160" s="17"/>
      <c r="AN160" s="17"/>
      <c r="AO160" s="13"/>
      <c r="AP160" s="14"/>
    </row>
    <row r="161">
      <c r="A161" s="8" t="s">
        <v>804</v>
      </c>
      <c r="B161" s="8" t="s">
        <v>805</v>
      </c>
      <c r="C161" s="8" t="s">
        <v>788</v>
      </c>
      <c r="D161" s="8" t="s">
        <v>789</v>
      </c>
      <c r="E161" s="8" t="s">
        <v>619</v>
      </c>
      <c r="F161" s="8" t="s">
        <v>620</v>
      </c>
      <c r="G161" s="8" t="s">
        <v>621</v>
      </c>
      <c r="H161" s="8" t="s">
        <v>622</v>
      </c>
      <c r="I161" s="8" t="s">
        <v>50</v>
      </c>
      <c r="J161" s="8" t="s">
        <v>51</v>
      </c>
      <c r="K161" s="9" t="s">
        <v>52</v>
      </c>
      <c r="L161" s="8" t="s">
        <v>53</v>
      </c>
      <c r="M161" s="8" t="s">
        <v>54</v>
      </c>
      <c r="N161" s="53" t="s">
        <v>55</v>
      </c>
      <c r="O161" s="53" t="s">
        <v>70</v>
      </c>
      <c r="P161" s="20" t="s">
        <v>104</v>
      </c>
      <c r="Q161" s="21" t="s">
        <v>105</v>
      </c>
      <c r="R161" s="20" t="s">
        <v>512</v>
      </c>
      <c r="S161" s="20" t="s">
        <v>806</v>
      </c>
      <c r="T161" s="22">
        <v>5.73102250639E11</v>
      </c>
      <c r="U161" s="53" t="s">
        <v>75</v>
      </c>
      <c r="V161" s="11"/>
      <c r="W161" s="11"/>
      <c r="X161" s="11"/>
      <c r="Y161" s="54">
        <v>5.0</v>
      </c>
      <c r="Z161" s="13"/>
      <c r="AA161" s="13"/>
      <c r="AB161" s="13"/>
      <c r="AC161" s="13"/>
      <c r="AD161" s="13"/>
      <c r="AE161" s="13"/>
      <c r="AF161" s="14"/>
      <c r="AG161" s="14"/>
      <c r="AH161" s="15"/>
      <c r="AI161" s="16"/>
      <c r="AJ161" s="13"/>
      <c r="AK161" s="17"/>
      <c r="AL161" s="17"/>
      <c r="AM161" s="17"/>
      <c r="AN161" s="17"/>
      <c r="AO161" s="13"/>
      <c r="AP161" s="14"/>
    </row>
    <row r="162">
      <c r="A162" s="8" t="s">
        <v>807</v>
      </c>
      <c r="B162" s="8" t="s">
        <v>808</v>
      </c>
      <c r="C162" s="8" t="s">
        <v>357</v>
      </c>
      <c r="D162" s="8" t="s">
        <v>66</v>
      </c>
      <c r="E162" s="8" t="s">
        <v>358</v>
      </c>
      <c r="F162" s="8" t="s">
        <v>68</v>
      </c>
      <c r="G162" s="8" t="s">
        <v>359</v>
      </c>
      <c r="H162" s="8" t="s">
        <v>360</v>
      </c>
      <c r="I162" s="8" t="s">
        <v>50</v>
      </c>
      <c r="J162" s="8" t="s">
        <v>51</v>
      </c>
      <c r="K162" s="9" t="s">
        <v>52</v>
      </c>
      <c r="L162" s="8" t="s">
        <v>53</v>
      </c>
      <c r="M162" s="8" t="s">
        <v>54</v>
      </c>
      <c r="N162" s="53" t="s">
        <v>85</v>
      </c>
      <c r="O162" s="53" t="s">
        <v>70</v>
      </c>
      <c r="P162" s="20" t="s">
        <v>809</v>
      </c>
      <c r="Q162" s="21" t="s">
        <v>58</v>
      </c>
      <c r="R162" s="20" t="s">
        <v>810</v>
      </c>
      <c r="S162" s="20" t="s">
        <v>811</v>
      </c>
      <c r="T162" s="22">
        <v>5.73118562775E11</v>
      </c>
      <c r="U162" s="53" t="s">
        <v>61</v>
      </c>
      <c r="V162" s="11"/>
      <c r="W162" s="11"/>
      <c r="X162" s="11"/>
      <c r="Y162" s="54">
        <v>5.0</v>
      </c>
      <c r="Z162" s="13"/>
      <c r="AA162" s="13"/>
      <c r="AB162" s="13"/>
      <c r="AC162" s="13"/>
      <c r="AD162" s="13"/>
      <c r="AE162" s="13"/>
      <c r="AF162" s="14"/>
      <c r="AG162" s="14"/>
      <c r="AH162" s="15"/>
      <c r="AI162" s="16"/>
      <c r="AJ162" s="13"/>
      <c r="AK162" s="17"/>
      <c r="AL162" s="17"/>
      <c r="AM162" s="17"/>
      <c r="AN162" s="17"/>
      <c r="AO162" s="13"/>
      <c r="AP162" s="14"/>
    </row>
    <row r="163">
      <c r="A163" s="8" t="s">
        <v>812</v>
      </c>
      <c r="B163" s="8" t="s">
        <v>813</v>
      </c>
      <c r="C163" s="8" t="s">
        <v>357</v>
      </c>
      <c r="D163" s="8" t="s">
        <v>66</v>
      </c>
      <c r="E163" s="8" t="s">
        <v>358</v>
      </c>
      <c r="F163" s="8" t="s">
        <v>68</v>
      </c>
      <c r="G163" s="8" t="s">
        <v>359</v>
      </c>
      <c r="H163" s="8" t="s">
        <v>360</v>
      </c>
      <c r="I163" s="8" t="s">
        <v>50</v>
      </c>
      <c r="J163" s="8" t="s">
        <v>51</v>
      </c>
      <c r="K163" s="9" t="s">
        <v>52</v>
      </c>
      <c r="L163" s="8" t="s">
        <v>53</v>
      </c>
      <c r="M163" s="8" t="s">
        <v>54</v>
      </c>
      <c r="N163" s="8" t="s">
        <v>55</v>
      </c>
      <c r="O163" s="8" t="s">
        <v>86</v>
      </c>
      <c r="P163" s="8" t="s">
        <v>770</v>
      </c>
      <c r="Q163" s="9" t="s">
        <v>323</v>
      </c>
      <c r="R163" s="8" t="s">
        <v>814</v>
      </c>
      <c r="S163" s="8" t="s">
        <v>815</v>
      </c>
      <c r="T163" s="10">
        <v>5.73242280606E11</v>
      </c>
      <c r="U163" s="8" t="s">
        <v>75</v>
      </c>
      <c r="V163" s="11"/>
      <c r="W163" s="11"/>
      <c r="X163" s="11"/>
      <c r="Y163" s="33">
        <v>45779.0</v>
      </c>
      <c r="Z163" s="28"/>
      <c r="AA163" s="28"/>
      <c r="AB163" s="28"/>
      <c r="AC163" s="28"/>
      <c r="AD163" s="28"/>
      <c r="AE163" s="28"/>
      <c r="AF163" s="29"/>
      <c r="AG163" s="29"/>
      <c r="AH163" s="30"/>
      <c r="AI163" s="31"/>
      <c r="AJ163" s="28"/>
      <c r="AK163" s="32"/>
      <c r="AL163" s="32"/>
      <c r="AM163" s="32"/>
      <c r="AN163" s="32"/>
      <c r="AO163" s="28"/>
      <c r="AP163" s="29"/>
    </row>
    <row r="164">
      <c r="A164" s="8" t="s">
        <v>816</v>
      </c>
      <c r="B164" s="8" t="s">
        <v>817</v>
      </c>
      <c r="C164" s="8" t="s">
        <v>357</v>
      </c>
      <c r="D164" s="8" t="s">
        <v>66</v>
      </c>
      <c r="E164" s="8" t="s">
        <v>358</v>
      </c>
      <c r="F164" s="8" t="s">
        <v>68</v>
      </c>
      <c r="G164" s="8" t="s">
        <v>359</v>
      </c>
      <c r="H164" s="8" t="s">
        <v>360</v>
      </c>
      <c r="I164" s="8" t="s">
        <v>50</v>
      </c>
      <c r="J164" s="8" t="s">
        <v>51</v>
      </c>
      <c r="K164" s="9" t="s">
        <v>52</v>
      </c>
      <c r="L164" s="8" t="s">
        <v>53</v>
      </c>
      <c r="M164" s="8" t="s">
        <v>54</v>
      </c>
      <c r="N164" s="53" t="s">
        <v>55</v>
      </c>
      <c r="O164" s="53" t="s">
        <v>70</v>
      </c>
      <c r="P164" s="20" t="s">
        <v>818</v>
      </c>
      <c r="Q164" s="21" t="s">
        <v>72</v>
      </c>
      <c r="R164" s="20" t="s">
        <v>819</v>
      </c>
      <c r="S164" s="20" t="s">
        <v>820</v>
      </c>
      <c r="T164" s="22">
        <v>5.73106231562E11</v>
      </c>
      <c r="U164" s="53" t="s">
        <v>61</v>
      </c>
      <c r="V164" s="11"/>
      <c r="W164" s="11"/>
      <c r="X164" s="11"/>
      <c r="Y164" s="54">
        <v>5.0</v>
      </c>
      <c r="Z164" s="28"/>
      <c r="AA164" s="28"/>
      <c r="AB164" s="28"/>
      <c r="AC164" s="28"/>
      <c r="AD164" s="28"/>
      <c r="AE164" s="28"/>
      <c r="AF164" s="29"/>
      <c r="AG164" s="29"/>
      <c r="AH164" s="30"/>
      <c r="AI164" s="31"/>
      <c r="AJ164" s="28"/>
      <c r="AK164" s="32"/>
      <c r="AL164" s="32"/>
      <c r="AM164" s="32"/>
      <c r="AN164" s="32"/>
      <c r="AO164" s="28"/>
      <c r="AP164" s="29"/>
    </row>
    <row r="165">
      <c r="A165" s="8" t="s">
        <v>821</v>
      </c>
      <c r="B165" s="8" t="s">
        <v>822</v>
      </c>
      <c r="C165" s="8" t="s">
        <v>357</v>
      </c>
      <c r="D165" s="8" t="s">
        <v>66</v>
      </c>
      <c r="E165" s="8" t="s">
        <v>358</v>
      </c>
      <c r="F165" s="8" t="s">
        <v>68</v>
      </c>
      <c r="G165" s="8" t="s">
        <v>359</v>
      </c>
      <c r="H165" s="8" t="s">
        <v>360</v>
      </c>
      <c r="I165" s="8" t="s">
        <v>50</v>
      </c>
      <c r="J165" s="8" t="s">
        <v>51</v>
      </c>
      <c r="K165" s="9" t="s">
        <v>52</v>
      </c>
      <c r="L165" s="8" t="s">
        <v>53</v>
      </c>
      <c r="M165" s="8" t="s">
        <v>69</v>
      </c>
      <c r="N165" s="53" t="s">
        <v>55</v>
      </c>
      <c r="O165" s="53" t="s">
        <v>70</v>
      </c>
      <c r="P165" s="20" t="s">
        <v>516</v>
      </c>
      <c r="Q165" s="21" t="s">
        <v>111</v>
      </c>
      <c r="R165" s="20" t="s">
        <v>288</v>
      </c>
      <c r="S165" s="20" t="s">
        <v>823</v>
      </c>
      <c r="T165" s="22">
        <v>5.73103476142E11</v>
      </c>
      <c r="U165" s="53" t="s">
        <v>75</v>
      </c>
      <c r="V165" s="11"/>
      <c r="W165" s="11"/>
      <c r="X165" s="11"/>
      <c r="Y165" s="54">
        <v>5.0</v>
      </c>
      <c r="Z165" s="13"/>
      <c r="AA165" s="13"/>
      <c r="AB165" s="13"/>
      <c r="AC165" s="13"/>
      <c r="AD165" s="13"/>
      <c r="AE165" s="13"/>
      <c r="AF165" s="14"/>
      <c r="AG165" s="14"/>
      <c r="AH165" s="15"/>
      <c r="AI165" s="16"/>
      <c r="AJ165" s="13"/>
      <c r="AK165" s="17"/>
      <c r="AL165" s="17"/>
      <c r="AM165" s="17"/>
      <c r="AN165" s="17"/>
      <c r="AO165" s="13"/>
      <c r="AP165" s="14"/>
    </row>
    <row r="166">
      <c r="A166" s="8" t="s">
        <v>824</v>
      </c>
      <c r="B166" s="8" t="s">
        <v>825</v>
      </c>
      <c r="C166" s="8" t="s">
        <v>788</v>
      </c>
      <c r="D166" s="8" t="s">
        <v>789</v>
      </c>
      <c r="E166" s="8" t="s">
        <v>619</v>
      </c>
      <c r="F166" s="8" t="s">
        <v>620</v>
      </c>
      <c r="G166" s="8" t="s">
        <v>621</v>
      </c>
      <c r="H166" s="8" t="s">
        <v>622</v>
      </c>
      <c r="I166" s="8" t="s">
        <v>50</v>
      </c>
      <c r="J166" s="8" t="s">
        <v>51</v>
      </c>
      <c r="K166" s="9" t="s">
        <v>52</v>
      </c>
      <c r="L166" s="8" t="s">
        <v>53</v>
      </c>
      <c r="M166" s="8" t="s">
        <v>54</v>
      </c>
      <c r="N166" s="53" t="s">
        <v>85</v>
      </c>
      <c r="O166" s="53" t="s">
        <v>70</v>
      </c>
      <c r="P166" s="20" t="s">
        <v>826</v>
      </c>
      <c r="Q166" s="21" t="s">
        <v>94</v>
      </c>
      <c r="R166" s="20" t="s">
        <v>827</v>
      </c>
      <c r="S166" s="20" t="s">
        <v>828</v>
      </c>
      <c r="T166" s="22">
        <v>5.73176398959E11</v>
      </c>
      <c r="U166" s="53" t="s">
        <v>81</v>
      </c>
      <c r="V166" s="11"/>
      <c r="W166" s="11"/>
      <c r="X166" s="11"/>
      <c r="Y166" s="54">
        <v>5.0</v>
      </c>
      <c r="Z166" s="28"/>
      <c r="AA166" s="28"/>
      <c r="AB166" s="28"/>
      <c r="AC166" s="28"/>
      <c r="AD166" s="28"/>
      <c r="AE166" s="28"/>
      <c r="AF166" s="29"/>
      <c r="AG166" s="29"/>
      <c r="AH166" s="30"/>
      <c r="AI166" s="31"/>
      <c r="AJ166" s="28"/>
      <c r="AK166" s="32"/>
      <c r="AL166" s="32"/>
      <c r="AM166" s="32"/>
      <c r="AN166" s="32"/>
      <c r="AO166" s="28"/>
      <c r="AP166" s="29"/>
    </row>
    <row r="167">
      <c r="A167" s="8" t="s">
        <v>829</v>
      </c>
      <c r="B167" s="8" t="s">
        <v>830</v>
      </c>
      <c r="C167" s="8" t="s">
        <v>357</v>
      </c>
      <c r="D167" s="8" t="s">
        <v>66</v>
      </c>
      <c r="E167" s="8" t="s">
        <v>358</v>
      </c>
      <c r="F167" s="8" t="s">
        <v>68</v>
      </c>
      <c r="G167" s="8" t="s">
        <v>359</v>
      </c>
      <c r="H167" s="8" t="s">
        <v>360</v>
      </c>
      <c r="I167" s="8" t="s">
        <v>50</v>
      </c>
      <c r="J167" s="8" t="s">
        <v>51</v>
      </c>
      <c r="K167" s="9" t="s">
        <v>52</v>
      </c>
      <c r="L167" s="8" t="s">
        <v>53</v>
      </c>
      <c r="M167" s="8" t="s">
        <v>69</v>
      </c>
      <c r="N167" s="53" t="s">
        <v>137</v>
      </c>
      <c r="O167" s="53" t="s">
        <v>70</v>
      </c>
      <c r="P167" s="20" t="s">
        <v>57</v>
      </c>
      <c r="Q167" s="21" t="s">
        <v>147</v>
      </c>
      <c r="R167" s="20" t="s">
        <v>261</v>
      </c>
      <c r="S167" s="20" t="s">
        <v>831</v>
      </c>
      <c r="T167" s="22">
        <v>5.73122339886E11</v>
      </c>
      <c r="U167" s="53" t="s">
        <v>75</v>
      </c>
      <c r="V167" s="11"/>
      <c r="W167" s="11"/>
      <c r="X167" s="11"/>
      <c r="Y167" s="54">
        <v>5.0</v>
      </c>
      <c r="Z167" s="28"/>
      <c r="AA167" s="28"/>
      <c r="AB167" s="28"/>
      <c r="AC167" s="28"/>
      <c r="AD167" s="28"/>
      <c r="AE167" s="28"/>
      <c r="AF167" s="29"/>
      <c r="AG167" s="29"/>
      <c r="AH167" s="30"/>
      <c r="AI167" s="31"/>
      <c r="AJ167" s="28"/>
      <c r="AK167" s="32"/>
      <c r="AL167" s="32"/>
      <c r="AM167" s="32"/>
      <c r="AN167" s="32"/>
      <c r="AO167" s="28"/>
      <c r="AP167" s="29"/>
    </row>
    <row r="168">
      <c r="A168" s="8" t="s">
        <v>832</v>
      </c>
      <c r="B168" s="8" t="s">
        <v>833</v>
      </c>
      <c r="C168" s="8" t="s">
        <v>357</v>
      </c>
      <c r="D168" s="8" t="s">
        <v>66</v>
      </c>
      <c r="E168" s="8" t="s">
        <v>358</v>
      </c>
      <c r="F168" s="8" t="s">
        <v>68</v>
      </c>
      <c r="G168" s="8" t="s">
        <v>359</v>
      </c>
      <c r="H168" s="8" t="s">
        <v>360</v>
      </c>
      <c r="I168" s="8" t="s">
        <v>50</v>
      </c>
      <c r="J168" s="8" t="s">
        <v>51</v>
      </c>
      <c r="K168" s="9" t="s">
        <v>52</v>
      </c>
      <c r="L168" s="8" t="s">
        <v>53</v>
      </c>
      <c r="M168" s="8" t="s">
        <v>69</v>
      </c>
      <c r="N168" s="53" t="s">
        <v>55</v>
      </c>
      <c r="O168" s="53" t="s">
        <v>70</v>
      </c>
      <c r="P168" s="20" t="s">
        <v>834</v>
      </c>
      <c r="Q168" s="21" t="s">
        <v>183</v>
      </c>
      <c r="R168" s="20" t="s">
        <v>173</v>
      </c>
      <c r="S168" s="20" t="s">
        <v>835</v>
      </c>
      <c r="T168" s="22">
        <v>5.73215101135E11</v>
      </c>
      <c r="U168" s="53" t="s">
        <v>61</v>
      </c>
      <c r="V168" s="11"/>
      <c r="W168" s="11"/>
      <c r="X168" s="11"/>
      <c r="Y168" s="54">
        <v>5.0</v>
      </c>
      <c r="Z168" s="13"/>
      <c r="AA168" s="13"/>
      <c r="AB168" s="13"/>
      <c r="AC168" s="13"/>
      <c r="AD168" s="13"/>
      <c r="AE168" s="13"/>
      <c r="AF168" s="14"/>
      <c r="AG168" s="14"/>
      <c r="AH168" s="15"/>
      <c r="AI168" s="16"/>
      <c r="AJ168" s="13"/>
      <c r="AK168" s="17"/>
      <c r="AL168" s="17"/>
      <c r="AM168" s="17"/>
      <c r="AN168" s="17"/>
      <c r="AO168" s="13"/>
      <c r="AP168" s="14"/>
    </row>
    <row r="169">
      <c r="A169" s="8" t="s">
        <v>836</v>
      </c>
      <c r="B169" s="8" t="s">
        <v>837</v>
      </c>
      <c r="C169" s="8" t="s">
        <v>357</v>
      </c>
      <c r="D169" s="8" t="s">
        <v>66</v>
      </c>
      <c r="E169" s="8" t="s">
        <v>358</v>
      </c>
      <c r="F169" s="8" t="s">
        <v>68</v>
      </c>
      <c r="G169" s="8" t="s">
        <v>359</v>
      </c>
      <c r="H169" s="8" t="s">
        <v>360</v>
      </c>
      <c r="I169" s="8" t="s">
        <v>50</v>
      </c>
      <c r="J169" s="8" t="s">
        <v>51</v>
      </c>
      <c r="K169" s="9" t="s">
        <v>52</v>
      </c>
      <c r="L169" s="8" t="s">
        <v>53</v>
      </c>
      <c r="M169" s="8" t="s">
        <v>54</v>
      </c>
      <c r="N169" s="53" t="s">
        <v>137</v>
      </c>
      <c r="O169" s="53" t="s">
        <v>70</v>
      </c>
      <c r="P169" s="20" t="s">
        <v>838</v>
      </c>
      <c r="Q169" s="21" t="s">
        <v>111</v>
      </c>
      <c r="R169" s="20" t="s">
        <v>148</v>
      </c>
      <c r="S169" s="20" t="s">
        <v>839</v>
      </c>
      <c r="T169" s="22">
        <v>3.217789396E9</v>
      </c>
      <c r="U169" s="53" t="s">
        <v>75</v>
      </c>
      <c r="V169" s="11"/>
      <c r="W169" s="11"/>
      <c r="X169" s="11"/>
      <c r="Y169" s="54">
        <v>5.0</v>
      </c>
      <c r="Z169" s="28"/>
      <c r="AA169" s="28"/>
      <c r="AB169" s="28"/>
      <c r="AC169" s="28"/>
      <c r="AD169" s="28"/>
      <c r="AE169" s="28"/>
      <c r="AF169" s="29"/>
      <c r="AG169" s="29"/>
      <c r="AH169" s="30"/>
      <c r="AI169" s="31"/>
      <c r="AJ169" s="28"/>
      <c r="AK169" s="32"/>
      <c r="AL169" s="32"/>
      <c r="AM169" s="32"/>
      <c r="AN169" s="32"/>
      <c r="AO169" s="28"/>
      <c r="AP169" s="29"/>
    </row>
    <row r="170">
      <c r="A170" s="8" t="s">
        <v>840</v>
      </c>
      <c r="B170" s="8" t="s">
        <v>841</v>
      </c>
      <c r="C170" s="8" t="s">
        <v>788</v>
      </c>
      <c r="D170" s="8" t="s">
        <v>789</v>
      </c>
      <c r="E170" s="8" t="s">
        <v>619</v>
      </c>
      <c r="F170" s="8" t="s">
        <v>620</v>
      </c>
      <c r="G170" s="8" t="s">
        <v>621</v>
      </c>
      <c r="H170" s="8" t="s">
        <v>622</v>
      </c>
      <c r="I170" s="8" t="s">
        <v>50</v>
      </c>
      <c r="J170" s="8" t="s">
        <v>51</v>
      </c>
      <c r="K170" s="9" t="s">
        <v>52</v>
      </c>
      <c r="L170" s="8" t="s">
        <v>53</v>
      </c>
      <c r="M170" s="8" t="s">
        <v>69</v>
      </c>
      <c r="N170" s="53" t="s">
        <v>55</v>
      </c>
      <c r="O170" s="53" t="s">
        <v>70</v>
      </c>
      <c r="P170" s="20" t="s">
        <v>352</v>
      </c>
      <c r="Q170" s="21" t="s">
        <v>323</v>
      </c>
      <c r="R170" s="20" t="s">
        <v>79</v>
      </c>
      <c r="S170" s="20" t="s">
        <v>842</v>
      </c>
      <c r="T170" s="22">
        <v>5.7316699058E11</v>
      </c>
      <c r="U170" s="53" t="s">
        <v>75</v>
      </c>
      <c r="V170" s="11"/>
      <c r="W170" s="11"/>
      <c r="X170" s="11"/>
      <c r="Y170" s="54">
        <v>5.0</v>
      </c>
      <c r="Z170" s="13"/>
      <c r="AA170" s="13"/>
      <c r="AB170" s="13"/>
      <c r="AC170" s="13"/>
      <c r="AD170" s="13"/>
      <c r="AE170" s="13"/>
      <c r="AF170" s="14"/>
      <c r="AG170" s="14"/>
      <c r="AH170" s="15"/>
      <c r="AI170" s="16"/>
      <c r="AJ170" s="13"/>
      <c r="AK170" s="17"/>
      <c r="AL170" s="17"/>
      <c r="AM170" s="17"/>
      <c r="AN170" s="17"/>
      <c r="AO170" s="13"/>
      <c r="AP170" s="14"/>
    </row>
    <row r="171">
      <c r="A171" s="8" t="s">
        <v>843</v>
      </c>
      <c r="B171" s="8" t="s">
        <v>844</v>
      </c>
      <c r="C171" s="8" t="s">
        <v>357</v>
      </c>
      <c r="D171" s="8" t="s">
        <v>66</v>
      </c>
      <c r="E171" s="8" t="s">
        <v>358</v>
      </c>
      <c r="F171" s="8" t="s">
        <v>68</v>
      </c>
      <c r="G171" s="8" t="s">
        <v>359</v>
      </c>
      <c r="H171" s="8" t="s">
        <v>360</v>
      </c>
      <c r="I171" s="8" t="s">
        <v>50</v>
      </c>
      <c r="J171" s="8" t="s">
        <v>51</v>
      </c>
      <c r="K171" s="9" t="s">
        <v>52</v>
      </c>
      <c r="L171" s="8" t="s">
        <v>53</v>
      </c>
      <c r="M171" s="8" t="s">
        <v>69</v>
      </c>
      <c r="N171" s="53" t="s">
        <v>55</v>
      </c>
      <c r="O171" s="53" t="s">
        <v>70</v>
      </c>
      <c r="P171" s="20" t="s">
        <v>141</v>
      </c>
      <c r="Q171" s="21" t="s">
        <v>72</v>
      </c>
      <c r="R171" s="20" t="s">
        <v>304</v>
      </c>
      <c r="S171" s="20" t="s">
        <v>845</v>
      </c>
      <c r="T171" s="22">
        <v>5.73127854416E11</v>
      </c>
      <c r="U171" s="53" t="s">
        <v>75</v>
      </c>
      <c r="V171" s="11"/>
      <c r="W171" s="11"/>
      <c r="X171" s="11"/>
      <c r="Y171" s="54">
        <v>5.0</v>
      </c>
      <c r="Z171" s="13"/>
      <c r="AA171" s="13"/>
      <c r="AB171" s="13"/>
      <c r="AC171" s="13"/>
      <c r="AD171" s="13"/>
      <c r="AE171" s="13"/>
      <c r="AF171" s="14"/>
      <c r="AG171" s="14"/>
      <c r="AH171" s="15"/>
      <c r="AI171" s="16"/>
      <c r="AJ171" s="13"/>
      <c r="AK171" s="17"/>
      <c r="AL171" s="17"/>
      <c r="AM171" s="17"/>
      <c r="AN171" s="17"/>
      <c r="AO171" s="13"/>
      <c r="AP171" s="14"/>
    </row>
    <row r="172">
      <c r="A172" s="8" t="s">
        <v>846</v>
      </c>
      <c r="B172" s="8" t="s">
        <v>847</v>
      </c>
      <c r="C172" s="8" t="s">
        <v>357</v>
      </c>
      <c r="D172" s="8" t="s">
        <v>66</v>
      </c>
      <c r="E172" s="8" t="s">
        <v>358</v>
      </c>
      <c r="F172" s="8" t="s">
        <v>68</v>
      </c>
      <c r="G172" s="8" t="s">
        <v>359</v>
      </c>
      <c r="H172" s="8" t="s">
        <v>360</v>
      </c>
      <c r="I172" s="8" t="s">
        <v>50</v>
      </c>
      <c r="J172" s="8" t="s">
        <v>51</v>
      </c>
      <c r="K172" s="9" t="s">
        <v>52</v>
      </c>
      <c r="L172" s="8" t="s">
        <v>53</v>
      </c>
      <c r="M172" s="8" t="s">
        <v>54</v>
      </c>
      <c r="N172" s="53" t="s">
        <v>137</v>
      </c>
      <c r="O172" s="53" t="s">
        <v>70</v>
      </c>
      <c r="P172" s="20" t="s">
        <v>211</v>
      </c>
      <c r="Q172" s="21" t="s">
        <v>487</v>
      </c>
      <c r="R172" s="20" t="s">
        <v>207</v>
      </c>
      <c r="S172" s="20" t="s">
        <v>848</v>
      </c>
      <c r="T172" s="22">
        <v>5.73116762757E11</v>
      </c>
      <c r="U172" s="53" t="s">
        <v>225</v>
      </c>
      <c r="V172" s="11"/>
      <c r="W172" s="11"/>
      <c r="X172" s="11"/>
      <c r="Y172" s="54">
        <v>5.0</v>
      </c>
      <c r="Z172" s="13"/>
      <c r="AA172" s="13"/>
      <c r="AB172" s="13"/>
      <c r="AC172" s="13"/>
      <c r="AD172" s="13"/>
      <c r="AE172" s="13"/>
      <c r="AF172" s="14"/>
      <c r="AG172" s="14"/>
      <c r="AH172" s="15"/>
      <c r="AI172" s="16"/>
      <c r="AJ172" s="13"/>
      <c r="AK172" s="17"/>
      <c r="AL172" s="17"/>
      <c r="AM172" s="17"/>
      <c r="AN172" s="17"/>
      <c r="AO172" s="13"/>
      <c r="AP172" s="14"/>
    </row>
    <row r="173">
      <c r="A173" s="8" t="s">
        <v>849</v>
      </c>
      <c r="B173" s="8" t="s">
        <v>850</v>
      </c>
      <c r="C173" s="8" t="s">
        <v>357</v>
      </c>
      <c r="D173" s="8" t="s">
        <v>66</v>
      </c>
      <c r="E173" s="8" t="s">
        <v>358</v>
      </c>
      <c r="F173" s="8" t="s">
        <v>68</v>
      </c>
      <c r="G173" s="8" t="s">
        <v>359</v>
      </c>
      <c r="H173" s="8" t="s">
        <v>360</v>
      </c>
      <c r="I173" s="8" t="s">
        <v>50</v>
      </c>
      <c r="J173" s="8" t="s">
        <v>51</v>
      </c>
      <c r="K173" s="9" t="s">
        <v>52</v>
      </c>
      <c r="L173" s="8" t="s">
        <v>53</v>
      </c>
      <c r="M173" s="8" t="s">
        <v>54</v>
      </c>
      <c r="N173" s="53" t="s">
        <v>137</v>
      </c>
      <c r="O173" s="53" t="s">
        <v>70</v>
      </c>
      <c r="P173" s="20" t="s">
        <v>57</v>
      </c>
      <c r="Q173" s="21" t="s">
        <v>111</v>
      </c>
      <c r="R173" s="20" t="s">
        <v>851</v>
      </c>
      <c r="S173" s="20" t="s">
        <v>852</v>
      </c>
      <c r="T173" s="22">
        <v>3.136151274E9</v>
      </c>
      <c r="U173" s="53" t="s">
        <v>75</v>
      </c>
      <c r="V173" s="11"/>
      <c r="W173" s="11"/>
      <c r="X173" s="11"/>
      <c r="Y173" s="54">
        <v>5.0</v>
      </c>
      <c r="Z173" s="13"/>
      <c r="AA173" s="13"/>
      <c r="AB173" s="13"/>
      <c r="AC173" s="13"/>
      <c r="AD173" s="13"/>
      <c r="AE173" s="13"/>
      <c r="AF173" s="14"/>
      <c r="AG173" s="14"/>
      <c r="AH173" s="15"/>
      <c r="AI173" s="16"/>
      <c r="AJ173" s="13"/>
      <c r="AK173" s="17"/>
      <c r="AL173" s="17"/>
      <c r="AM173" s="17"/>
      <c r="AN173" s="17"/>
      <c r="AO173" s="13"/>
      <c r="AP173" s="14"/>
    </row>
    <row r="174">
      <c r="A174" s="8" t="s">
        <v>853</v>
      </c>
      <c r="B174" s="8" t="s">
        <v>854</v>
      </c>
      <c r="C174" s="8" t="s">
        <v>357</v>
      </c>
      <c r="D174" s="8" t="s">
        <v>66</v>
      </c>
      <c r="E174" s="8" t="s">
        <v>358</v>
      </c>
      <c r="F174" s="8" t="s">
        <v>68</v>
      </c>
      <c r="G174" s="8" t="s">
        <v>359</v>
      </c>
      <c r="H174" s="8" t="s">
        <v>360</v>
      </c>
      <c r="I174" s="8" t="s">
        <v>50</v>
      </c>
      <c r="J174" s="8" t="s">
        <v>51</v>
      </c>
      <c r="K174" s="9" t="s">
        <v>52</v>
      </c>
      <c r="L174" s="8" t="s">
        <v>53</v>
      </c>
      <c r="M174" s="8" t="s">
        <v>69</v>
      </c>
      <c r="N174" s="53" t="s">
        <v>55</v>
      </c>
      <c r="O174" s="53" t="s">
        <v>70</v>
      </c>
      <c r="P174" s="20" t="s">
        <v>500</v>
      </c>
      <c r="Q174" s="21" t="s">
        <v>111</v>
      </c>
      <c r="R174" s="20" t="s">
        <v>855</v>
      </c>
      <c r="S174" s="20" t="s">
        <v>856</v>
      </c>
      <c r="T174" s="22">
        <v>5.73007193475E11</v>
      </c>
      <c r="U174" s="53" t="s">
        <v>75</v>
      </c>
      <c r="V174" s="11"/>
      <c r="W174" s="11"/>
      <c r="X174" s="11"/>
      <c r="Y174" s="54">
        <v>5.0</v>
      </c>
      <c r="Z174" s="28"/>
      <c r="AA174" s="28"/>
      <c r="AB174" s="28"/>
      <c r="AC174" s="28"/>
      <c r="AD174" s="28"/>
      <c r="AE174" s="28"/>
      <c r="AF174" s="29"/>
      <c r="AG174" s="29"/>
      <c r="AH174" s="30"/>
      <c r="AI174" s="31"/>
      <c r="AJ174" s="28"/>
      <c r="AK174" s="32"/>
      <c r="AL174" s="32"/>
      <c r="AM174" s="32"/>
      <c r="AN174" s="32"/>
      <c r="AO174" s="28"/>
      <c r="AP174" s="29"/>
    </row>
    <row r="175">
      <c r="A175" s="8" t="s">
        <v>857</v>
      </c>
      <c r="B175" s="8" t="s">
        <v>858</v>
      </c>
      <c r="C175" s="8" t="s">
        <v>357</v>
      </c>
      <c r="D175" s="8" t="s">
        <v>66</v>
      </c>
      <c r="E175" s="8" t="s">
        <v>358</v>
      </c>
      <c r="F175" s="8" t="s">
        <v>68</v>
      </c>
      <c r="G175" s="8" t="s">
        <v>359</v>
      </c>
      <c r="H175" s="8" t="s">
        <v>360</v>
      </c>
      <c r="I175" s="8" t="s">
        <v>50</v>
      </c>
      <c r="J175" s="8" t="s">
        <v>51</v>
      </c>
      <c r="K175" s="9" t="s">
        <v>52</v>
      </c>
      <c r="L175" s="8" t="s">
        <v>84</v>
      </c>
      <c r="M175" s="8" t="s">
        <v>69</v>
      </c>
      <c r="N175" s="53" t="s">
        <v>55</v>
      </c>
      <c r="O175" s="53" t="s">
        <v>70</v>
      </c>
      <c r="P175" s="20" t="s">
        <v>211</v>
      </c>
      <c r="Q175" s="21" t="s">
        <v>105</v>
      </c>
      <c r="R175" s="21" t="s">
        <v>122</v>
      </c>
      <c r="S175" s="20" t="s">
        <v>859</v>
      </c>
      <c r="T175" s="22">
        <v>5.73046352795E11</v>
      </c>
      <c r="U175" s="53" t="s">
        <v>75</v>
      </c>
      <c r="V175" s="11"/>
      <c r="W175" s="11"/>
      <c r="X175" s="11"/>
      <c r="Y175" s="54">
        <v>5.0</v>
      </c>
      <c r="Z175" s="13"/>
      <c r="AA175" s="13"/>
      <c r="AB175" s="13"/>
      <c r="AC175" s="13"/>
      <c r="AD175" s="13"/>
      <c r="AE175" s="13"/>
      <c r="AF175" s="14"/>
      <c r="AG175" s="14"/>
      <c r="AH175" s="15"/>
      <c r="AI175" s="16"/>
      <c r="AJ175" s="13"/>
      <c r="AK175" s="17"/>
      <c r="AL175" s="17"/>
      <c r="AM175" s="17"/>
      <c r="AN175" s="17"/>
      <c r="AO175" s="13"/>
      <c r="AP175" s="14"/>
    </row>
    <row r="176">
      <c r="A176" s="8" t="s">
        <v>860</v>
      </c>
      <c r="B176" s="8" t="s">
        <v>861</v>
      </c>
      <c r="C176" s="8" t="s">
        <v>357</v>
      </c>
      <c r="D176" s="8" t="s">
        <v>66</v>
      </c>
      <c r="E176" s="8" t="s">
        <v>358</v>
      </c>
      <c r="F176" s="8" t="s">
        <v>68</v>
      </c>
      <c r="G176" s="8" t="s">
        <v>359</v>
      </c>
      <c r="H176" s="8" t="s">
        <v>360</v>
      </c>
      <c r="I176" s="8" t="s">
        <v>50</v>
      </c>
      <c r="J176" s="8" t="s">
        <v>51</v>
      </c>
      <c r="K176" s="9" t="s">
        <v>52</v>
      </c>
      <c r="L176" s="8" t="s">
        <v>53</v>
      </c>
      <c r="M176" s="8" t="s">
        <v>69</v>
      </c>
      <c r="N176" s="53" t="s">
        <v>55</v>
      </c>
      <c r="O176" s="53" t="s">
        <v>70</v>
      </c>
      <c r="P176" s="20" t="s">
        <v>308</v>
      </c>
      <c r="Q176" s="21" t="s">
        <v>105</v>
      </c>
      <c r="R176" s="20" t="s">
        <v>437</v>
      </c>
      <c r="S176" s="20" t="s">
        <v>862</v>
      </c>
      <c r="T176" s="22">
        <v>5.73007668669E11</v>
      </c>
      <c r="U176" s="53" t="s">
        <v>75</v>
      </c>
      <c r="V176" s="11"/>
      <c r="W176" s="11"/>
      <c r="X176" s="11"/>
      <c r="Y176" s="54">
        <v>5.0</v>
      </c>
      <c r="Z176" s="28"/>
      <c r="AA176" s="28"/>
      <c r="AB176" s="28"/>
      <c r="AC176" s="28"/>
      <c r="AD176" s="28"/>
      <c r="AE176" s="28"/>
      <c r="AF176" s="29"/>
      <c r="AG176" s="29"/>
      <c r="AH176" s="30"/>
      <c r="AI176" s="31"/>
      <c r="AJ176" s="28"/>
      <c r="AK176" s="32"/>
      <c r="AL176" s="32"/>
      <c r="AM176" s="32"/>
      <c r="AN176" s="32"/>
      <c r="AO176" s="28"/>
      <c r="AP176" s="29"/>
    </row>
    <row r="177">
      <c r="A177" s="8" t="s">
        <v>863</v>
      </c>
      <c r="B177" s="8" t="s">
        <v>864</v>
      </c>
      <c r="C177" s="8" t="s">
        <v>357</v>
      </c>
      <c r="D177" s="8" t="s">
        <v>66</v>
      </c>
      <c r="E177" s="8" t="s">
        <v>358</v>
      </c>
      <c r="F177" s="8" t="s">
        <v>68</v>
      </c>
      <c r="G177" s="8" t="s">
        <v>359</v>
      </c>
      <c r="H177" s="8" t="s">
        <v>360</v>
      </c>
      <c r="I177" s="8" t="s">
        <v>50</v>
      </c>
      <c r="J177" s="8" t="s">
        <v>51</v>
      </c>
      <c r="K177" s="9" t="s">
        <v>52</v>
      </c>
      <c r="L177" s="8" t="s">
        <v>53</v>
      </c>
      <c r="M177" s="8" t="s">
        <v>54</v>
      </c>
      <c r="N177" s="8" t="s">
        <v>85</v>
      </c>
      <c r="O177" s="8" t="s">
        <v>56</v>
      </c>
      <c r="P177" s="8" t="s">
        <v>211</v>
      </c>
      <c r="Q177" s="9" t="s">
        <v>72</v>
      </c>
      <c r="R177" s="8" t="s">
        <v>865</v>
      </c>
      <c r="S177" s="8" t="s">
        <v>866</v>
      </c>
      <c r="T177" s="10">
        <v>5.73167913619E11</v>
      </c>
      <c r="U177" s="53" t="s">
        <v>61</v>
      </c>
      <c r="V177" s="11"/>
      <c r="W177" s="11"/>
      <c r="X177" s="11"/>
      <c r="Y177" s="12" t="s">
        <v>62</v>
      </c>
      <c r="Z177" s="28"/>
      <c r="AA177" s="28"/>
      <c r="AB177" s="28"/>
      <c r="AC177" s="28"/>
      <c r="AD177" s="28"/>
      <c r="AE177" s="28"/>
      <c r="AF177" s="29"/>
      <c r="AG177" s="29"/>
      <c r="AH177" s="30"/>
      <c r="AI177" s="31"/>
      <c r="AJ177" s="28"/>
      <c r="AK177" s="32"/>
      <c r="AL177" s="32"/>
      <c r="AM177" s="32"/>
      <c r="AN177" s="32"/>
      <c r="AO177" s="28"/>
      <c r="AP177" s="29"/>
    </row>
    <row r="178">
      <c r="A178" s="8" t="s">
        <v>867</v>
      </c>
      <c r="B178" s="8" t="s">
        <v>868</v>
      </c>
      <c r="C178" s="8" t="s">
        <v>341</v>
      </c>
      <c r="D178" s="8" t="s">
        <v>293</v>
      </c>
      <c r="E178" s="8" t="s">
        <v>342</v>
      </c>
      <c r="F178" s="8" t="s">
        <v>295</v>
      </c>
      <c r="G178" s="8" t="s">
        <v>343</v>
      </c>
      <c r="H178" s="8" t="s">
        <v>344</v>
      </c>
      <c r="I178" s="8" t="s">
        <v>50</v>
      </c>
      <c r="J178" s="8" t="s">
        <v>51</v>
      </c>
      <c r="K178" s="9" t="s">
        <v>52</v>
      </c>
      <c r="L178" s="8" t="s">
        <v>53</v>
      </c>
      <c r="M178" s="8" t="s">
        <v>69</v>
      </c>
      <c r="N178" s="8" t="s">
        <v>137</v>
      </c>
      <c r="O178" s="8" t="s">
        <v>56</v>
      </c>
      <c r="P178" s="8" t="s">
        <v>734</v>
      </c>
      <c r="Q178" s="9" t="s">
        <v>111</v>
      </c>
      <c r="R178" s="8" t="s">
        <v>73</v>
      </c>
      <c r="S178" s="8" t="s">
        <v>869</v>
      </c>
      <c r="T178" s="10">
        <v>5.73126000194E11</v>
      </c>
      <c r="U178" s="53" t="s">
        <v>75</v>
      </c>
      <c r="V178" s="11"/>
      <c r="W178" s="11"/>
      <c r="X178" s="11"/>
      <c r="Y178" s="12" t="s">
        <v>62</v>
      </c>
      <c r="Z178" s="28"/>
      <c r="AA178" s="28"/>
      <c r="AB178" s="28"/>
      <c r="AC178" s="28"/>
      <c r="AD178" s="28"/>
      <c r="AE178" s="28"/>
      <c r="AF178" s="29"/>
      <c r="AG178" s="29"/>
      <c r="AH178" s="30"/>
      <c r="AI178" s="31"/>
      <c r="AJ178" s="28"/>
      <c r="AK178" s="32"/>
      <c r="AL178" s="32"/>
      <c r="AM178" s="32"/>
      <c r="AN178" s="32"/>
      <c r="AO178" s="28"/>
      <c r="AP178" s="29"/>
    </row>
    <row r="179">
      <c r="A179" s="8" t="s">
        <v>870</v>
      </c>
      <c r="B179" s="8" t="s">
        <v>871</v>
      </c>
      <c r="C179" s="8" t="s">
        <v>872</v>
      </c>
      <c r="D179" s="8" t="s">
        <v>66</v>
      </c>
      <c r="E179" s="8" t="s">
        <v>873</v>
      </c>
      <c r="F179" s="8" t="s">
        <v>874</v>
      </c>
      <c r="G179" s="8" t="s">
        <v>359</v>
      </c>
      <c r="H179" s="8" t="s">
        <v>360</v>
      </c>
      <c r="I179" s="8" t="s">
        <v>50</v>
      </c>
      <c r="J179" s="8" t="s">
        <v>51</v>
      </c>
      <c r="K179" s="9" t="s">
        <v>52</v>
      </c>
      <c r="L179" s="8" t="s">
        <v>53</v>
      </c>
      <c r="M179" s="8" t="s">
        <v>54</v>
      </c>
      <c r="N179" s="8" t="s">
        <v>55</v>
      </c>
      <c r="O179" s="8" t="s">
        <v>56</v>
      </c>
      <c r="P179" s="8" t="s">
        <v>182</v>
      </c>
      <c r="Q179" s="9" t="s">
        <v>72</v>
      </c>
      <c r="R179" s="8" t="s">
        <v>73</v>
      </c>
      <c r="S179" s="8" t="s">
        <v>875</v>
      </c>
      <c r="T179" s="10">
        <v>5.73008152416E11</v>
      </c>
      <c r="U179" s="53" t="s">
        <v>61</v>
      </c>
      <c r="V179" s="11"/>
      <c r="W179" s="11"/>
      <c r="X179" s="11"/>
      <c r="Y179" s="12" t="s">
        <v>62</v>
      </c>
      <c r="Z179" s="13"/>
      <c r="AA179" s="13"/>
      <c r="AB179" s="13"/>
      <c r="AC179" s="13"/>
      <c r="AD179" s="13"/>
      <c r="AE179" s="13"/>
      <c r="AF179" s="14"/>
      <c r="AG179" s="14"/>
      <c r="AH179" s="15"/>
      <c r="AI179" s="16"/>
      <c r="AJ179" s="13"/>
      <c r="AK179" s="17"/>
      <c r="AL179" s="17"/>
      <c r="AM179" s="17"/>
      <c r="AN179" s="17"/>
      <c r="AO179" s="13"/>
      <c r="AP179" s="14"/>
    </row>
    <row r="180">
      <c r="A180" s="8" t="s">
        <v>876</v>
      </c>
      <c r="B180" s="8" t="s">
        <v>877</v>
      </c>
      <c r="C180" s="8" t="s">
        <v>357</v>
      </c>
      <c r="D180" s="8" t="s">
        <v>878</v>
      </c>
      <c r="E180" s="8" t="s">
        <v>358</v>
      </c>
      <c r="F180" s="8" t="s">
        <v>68</v>
      </c>
      <c r="G180" s="8" t="s">
        <v>359</v>
      </c>
      <c r="H180" s="8" t="s">
        <v>360</v>
      </c>
      <c r="I180" s="8" t="s">
        <v>50</v>
      </c>
      <c r="J180" s="8" t="s">
        <v>51</v>
      </c>
      <c r="K180" s="9" t="s">
        <v>52</v>
      </c>
      <c r="L180" s="8" t="s">
        <v>53</v>
      </c>
      <c r="M180" s="8" t="s">
        <v>69</v>
      </c>
      <c r="N180" s="53" t="s">
        <v>137</v>
      </c>
      <c r="O180" s="53" t="s">
        <v>70</v>
      </c>
      <c r="P180" s="20" t="s">
        <v>104</v>
      </c>
      <c r="Q180" s="21" t="s">
        <v>105</v>
      </c>
      <c r="R180" s="20" t="s">
        <v>501</v>
      </c>
      <c r="S180" s="20" t="s">
        <v>879</v>
      </c>
      <c r="T180" s="22">
        <v>5.73003461924E11</v>
      </c>
      <c r="U180" s="53" t="s">
        <v>61</v>
      </c>
      <c r="V180" s="11"/>
      <c r="W180" s="11"/>
      <c r="X180" s="11"/>
      <c r="Y180" s="54">
        <v>5.0</v>
      </c>
      <c r="Z180" s="28"/>
      <c r="AA180" s="28"/>
      <c r="AB180" s="28"/>
      <c r="AC180" s="28"/>
      <c r="AD180" s="28"/>
      <c r="AE180" s="28"/>
      <c r="AF180" s="29"/>
      <c r="AG180" s="29"/>
      <c r="AH180" s="30"/>
      <c r="AI180" s="31"/>
      <c r="AJ180" s="28"/>
      <c r="AK180" s="32"/>
      <c r="AL180" s="32"/>
      <c r="AM180" s="32"/>
      <c r="AN180" s="32"/>
      <c r="AO180" s="28"/>
      <c r="AP180" s="29"/>
    </row>
    <row r="181">
      <c r="A181" s="8" t="s">
        <v>880</v>
      </c>
      <c r="B181" s="8" t="s">
        <v>881</v>
      </c>
      <c r="C181" s="8" t="s">
        <v>341</v>
      </c>
      <c r="D181" s="8" t="s">
        <v>293</v>
      </c>
      <c r="E181" s="8" t="s">
        <v>342</v>
      </c>
      <c r="F181" s="8" t="s">
        <v>295</v>
      </c>
      <c r="G181" s="8" t="s">
        <v>343</v>
      </c>
      <c r="H181" s="8" t="s">
        <v>344</v>
      </c>
      <c r="I181" s="8" t="s">
        <v>50</v>
      </c>
      <c r="J181" s="8" t="s">
        <v>51</v>
      </c>
      <c r="K181" s="9" t="s">
        <v>52</v>
      </c>
      <c r="L181" s="8" t="s">
        <v>53</v>
      </c>
      <c r="M181" s="8" t="s">
        <v>69</v>
      </c>
      <c r="N181" s="53" t="s">
        <v>55</v>
      </c>
      <c r="O181" s="53" t="s">
        <v>70</v>
      </c>
      <c r="P181" s="20" t="s">
        <v>182</v>
      </c>
      <c r="Q181" s="21" t="s">
        <v>72</v>
      </c>
      <c r="R181" s="20" t="s">
        <v>184</v>
      </c>
      <c r="S181" s="20" t="s">
        <v>882</v>
      </c>
      <c r="T181" s="22">
        <v>5.73045462104E11</v>
      </c>
      <c r="U181" s="53" t="s">
        <v>61</v>
      </c>
      <c r="V181" s="11"/>
      <c r="W181" s="11"/>
      <c r="X181" s="11"/>
      <c r="Y181" s="54">
        <v>5.0</v>
      </c>
      <c r="Z181" s="28"/>
      <c r="AA181" s="28"/>
      <c r="AB181" s="28"/>
      <c r="AC181" s="28"/>
      <c r="AD181" s="28"/>
      <c r="AE181" s="28"/>
      <c r="AF181" s="29"/>
      <c r="AG181" s="29"/>
      <c r="AH181" s="30"/>
      <c r="AI181" s="31"/>
      <c r="AJ181" s="28"/>
      <c r="AK181" s="32"/>
      <c r="AL181" s="32"/>
      <c r="AM181" s="32"/>
      <c r="AN181" s="32"/>
      <c r="AO181" s="28"/>
      <c r="AP181" s="29"/>
    </row>
    <row r="182">
      <c r="A182" s="8" t="s">
        <v>883</v>
      </c>
      <c r="B182" s="8" t="s">
        <v>884</v>
      </c>
      <c r="C182" s="8" t="s">
        <v>872</v>
      </c>
      <c r="D182" s="8" t="s">
        <v>66</v>
      </c>
      <c r="E182" s="8" t="s">
        <v>873</v>
      </c>
      <c r="F182" s="8" t="s">
        <v>874</v>
      </c>
      <c r="G182" s="8" t="s">
        <v>359</v>
      </c>
      <c r="H182" s="8" t="s">
        <v>360</v>
      </c>
      <c r="I182" s="8" t="s">
        <v>50</v>
      </c>
      <c r="J182" s="8" t="s">
        <v>51</v>
      </c>
      <c r="K182" s="9" t="s">
        <v>52</v>
      </c>
      <c r="L182" s="8" t="s">
        <v>53</v>
      </c>
      <c r="M182" s="8" t="s">
        <v>54</v>
      </c>
      <c r="N182" s="53" t="s">
        <v>55</v>
      </c>
      <c r="O182" s="53" t="s">
        <v>70</v>
      </c>
      <c r="P182" s="20" t="s">
        <v>317</v>
      </c>
      <c r="Q182" s="21" t="s">
        <v>111</v>
      </c>
      <c r="R182" s="20" t="s">
        <v>73</v>
      </c>
      <c r="S182" s="20" t="s">
        <v>885</v>
      </c>
      <c r="T182" s="22">
        <v>5.73216533374E11</v>
      </c>
      <c r="U182" s="53" t="s">
        <v>61</v>
      </c>
      <c r="V182" s="11"/>
      <c r="W182" s="11"/>
      <c r="X182" s="11"/>
      <c r="Y182" s="54">
        <v>5.0</v>
      </c>
      <c r="Z182" s="28"/>
      <c r="AA182" s="28"/>
      <c r="AB182" s="28"/>
      <c r="AC182" s="28"/>
      <c r="AD182" s="28"/>
      <c r="AE182" s="28"/>
      <c r="AF182" s="29"/>
      <c r="AG182" s="29"/>
      <c r="AH182" s="30"/>
      <c r="AI182" s="31"/>
      <c r="AJ182" s="28"/>
      <c r="AK182" s="32"/>
      <c r="AL182" s="32"/>
      <c r="AM182" s="32"/>
      <c r="AN182" s="32"/>
      <c r="AO182" s="28"/>
      <c r="AP182" s="29"/>
    </row>
    <row r="183">
      <c r="A183" s="8" t="s">
        <v>886</v>
      </c>
      <c r="B183" s="8" t="s">
        <v>887</v>
      </c>
      <c r="C183" s="8" t="s">
        <v>341</v>
      </c>
      <c r="D183" s="8" t="s">
        <v>293</v>
      </c>
      <c r="E183" s="8" t="s">
        <v>342</v>
      </c>
      <c r="F183" s="8" t="s">
        <v>295</v>
      </c>
      <c r="G183" s="8" t="s">
        <v>343</v>
      </c>
      <c r="H183" s="8" t="s">
        <v>344</v>
      </c>
      <c r="I183" s="8" t="s">
        <v>50</v>
      </c>
      <c r="J183" s="8" t="s">
        <v>51</v>
      </c>
      <c r="K183" s="9" t="s">
        <v>52</v>
      </c>
      <c r="L183" s="8" t="s">
        <v>53</v>
      </c>
      <c r="M183" s="8" t="s">
        <v>69</v>
      </c>
      <c r="N183" s="53" t="s">
        <v>55</v>
      </c>
      <c r="O183" s="53" t="s">
        <v>70</v>
      </c>
      <c r="P183" s="20" t="s">
        <v>132</v>
      </c>
      <c r="Q183" s="21" t="s">
        <v>111</v>
      </c>
      <c r="R183" s="20" t="s">
        <v>168</v>
      </c>
      <c r="S183" s="20" t="s">
        <v>888</v>
      </c>
      <c r="T183" s="22">
        <v>5.73183481962E11</v>
      </c>
      <c r="U183" s="53" t="s">
        <v>75</v>
      </c>
      <c r="V183" s="11"/>
      <c r="W183" s="11"/>
      <c r="X183" s="11"/>
      <c r="Y183" s="54">
        <v>5.0</v>
      </c>
      <c r="Z183" s="28"/>
      <c r="AA183" s="28"/>
      <c r="AB183" s="28"/>
      <c r="AC183" s="28"/>
      <c r="AD183" s="28"/>
      <c r="AE183" s="28"/>
      <c r="AF183" s="29"/>
      <c r="AG183" s="29"/>
      <c r="AH183" s="30"/>
      <c r="AI183" s="31"/>
      <c r="AJ183" s="28"/>
      <c r="AK183" s="32"/>
      <c r="AL183" s="32"/>
      <c r="AM183" s="32"/>
      <c r="AN183" s="32"/>
      <c r="AO183" s="28"/>
      <c r="AP183" s="29"/>
    </row>
    <row r="184">
      <c r="A184" s="8" t="s">
        <v>889</v>
      </c>
      <c r="B184" s="8" t="s">
        <v>890</v>
      </c>
      <c r="C184" s="8" t="s">
        <v>872</v>
      </c>
      <c r="D184" s="8" t="s">
        <v>66</v>
      </c>
      <c r="E184" s="8" t="s">
        <v>873</v>
      </c>
      <c r="F184" s="8" t="s">
        <v>874</v>
      </c>
      <c r="G184" s="8" t="s">
        <v>359</v>
      </c>
      <c r="H184" s="8" t="s">
        <v>360</v>
      </c>
      <c r="I184" s="8" t="s">
        <v>50</v>
      </c>
      <c r="J184" s="8" t="s">
        <v>51</v>
      </c>
      <c r="K184" s="9" t="s">
        <v>52</v>
      </c>
      <c r="L184" s="8" t="s">
        <v>84</v>
      </c>
      <c r="M184" s="8" t="s">
        <v>54</v>
      </c>
      <c r="N184" s="53" t="s">
        <v>85</v>
      </c>
      <c r="O184" s="53" t="s">
        <v>70</v>
      </c>
      <c r="P184" s="20" t="s">
        <v>891</v>
      </c>
      <c r="Q184" s="21" t="s">
        <v>111</v>
      </c>
      <c r="R184" s="20" t="s">
        <v>892</v>
      </c>
      <c r="S184" s="20" t="s">
        <v>893</v>
      </c>
      <c r="T184" s="22">
        <v>5.73125517105E11</v>
      </c>
      <c r="U184" s="53" t="s">
        <v>75</v>
      </c>
      <c r="V184" s="11"/>
      <c r="W184" s="11"/>
      <c r="X184" s="11"/>
      <c r="Y184" s="54">
        <v>5.0</v>
      </c>
      <c r="Z184" s="49"/>
      <c r="AA184" s="49"/>
      <c r="AB184" s="49"/>
      <c r="AC184" s="49"/>
      <c r="AD184" s="49"/>
      <c r="AE184" s="49"/>
      <c r="AF184" s="50"/>
      <c r="AG184" s="50"/>
      <c r="AH184" s="51"/>
      <c r="AI184" s="51"/>
      <c r="AJ184" s="49"/>
      <c r="AK184" s="52"/>
      <c r="AL184" s="52"/>
      <c r="AM184" s="52"/>
      <c r="AN184" s="52"/>
      <c r="AO184" s="49"/>
      <c r="AP184" s="50"/>
    </row>
    <row r="185">
      <c r="A185" s="8" t="s">
        <v>894</v>
      </c>
      <c r="B185" s="8" t="s">
        <v>895</v>
      </c>
      <c r="C185" s="8" t="s">
        <v>872</v>
      </c>
      <c r="D185" s="8" t="s">
        <v>66</v>
      </c>
      <c r="E185" s="8" t="s">
        <v>873</v>
      </c>
      <c r="F185" s="8" t="s">
        <v>874</v>
      </c>
      <c r="G185" s="8" t="s">
        <v>359</v>
      </c>
      <c r="H185" s="8" t="s">
        <v>360</v>
      </c>
      <c r="I185" s="8" t="s">
        <v>50</v>
      </c>
      <c r="J185" s="8" t="s">
        <v>51</v>
      </c>
      <c r="K185" s="9" t="s">
        <v>52</v>
      </c>
      <c r="L185" s="8" t="s">
        <v>84</v>
      </c>
      <c r="M185" s="8" t="s">
        <v>69</v>
      </c>
      <c r="N185" s="53" t="s">
        <v>85</v>
      </c>
      <c r="O185" s="53" t="s">
        <v>70</v>
      </c>
      <c r="P185" s="20" t="s">
        <v>127</v>
      </c>
      <c r="Q185" s="21" t="s">
        <v>94</v>
      </c>
      <c r="R185" s="20" t="s">
        <v>896</v>
      </c>
      <c r="S185" s="20" t="s">
        <v>897</v>
      </c>
      <c r="T185" s="22">
        <v>5.73174767099E11</v>
      </c>
      <c r="U185" s="53" t="s">
        <v>75</v>
      </c>
      <c r="V185" s="11"/>
      <c r="W185" s="11"/>
      <c r="X185" s="11"/>
      <c r="Y185" s="54">
        <v>5.0</v>
      </c>
      <c r="Z185" s="28"/>
      <c r="AA185" s="28"/>
      <c r="AB185" s="28"/>
      <c r="AC185" s="28"/>
      <c r="AD185" s="28"/>
      <c r="AE185" s="28"/>
      <c r="AF185" s="29"/>
      <c r="AG185" s="29"/>
      <c r="AH185" s="30"/>
      <c r="AI185" s="31"/>
      <c r="AJ185" s="28"/>
      <c r="AK185" s="32"/>
      <c r="AL185" s="32"/>
      <c r="AM185" s="32"/>
      <c r="AN185" s="32"/>
      <c r="AO185" s="28"/>
      <c r="AP185" s="29"/>
    </row>
    <row r="186">
      <c r="A186" s="8" t="s">
        <v>898</v>
      </c>
      <c r="B186" s="8" t="s">
        <v>899</v>
      </c>
      <c r="C186" s="8" t="s">
        <v>872</v>
      </c>
      <c r="D186" s="8" t="s">
        <v>66</v>
      </c>
      <c r="E186" s="8" t="s">
        <v>873</v>
      </c>
      <c r="F186" s="8" t="s">
        <v>874</v>
      </c>
      <c r="G186" s="8" t="s">
        <v>359</v>
      </c>
      <c r="H186" s="8" t="s">
        <v>360</v>
      </c>
      <c r="I186" s="8" t="s">
        <v>50</v>
      </c>
      <c r="J186" s="8" t="s">
        <v>51</v>
      </c>
      <c r="K186" s="9" t="s">
        <v>52</v>
      </c>
      <c r="L186" s="8" t="s">
        <v>53</v>
      </c>
      <c r="M186" s="8" t="s">
        <v>69</v>
      </c>
      <c r="N186" s="53" t="s">
        <v>55</v>
      </c>
      <c r="O186" s="53" t="s">
        <v>70</v>
      </c>
      <c r="P186" s="20" t="s">
        <v>57</v>
      </c>
      <c r="Q186" s="21" t="s">
        <v>58</v>
      </c>
      <c r="R186" s="21" t="s">
        <v>105</v>
      </c>
      <c r="S186" s="20" t="s">
        <v>900</v>
      </c>
      <c r="T186" s="22">
        <v>5.73017425244E11</v>
      </c>
      <c r="U186" s="53" t="s">
        <v>61</v>
      </c>
      <c r="V186" s="11"/>
      <c r="W186" s="11"/>
      <c r="X186" s="11"/>
      <c r="Y186" s="54">
        <v>5.0</v>
      </c>
      <c r="Z186" s="28"/>
      <c r="AA186" s="28"/>
      <c r="AB186" s="28"/>
      <c r="AC186" s="28"/>
      <c r="AD186" s="28"/>
      <c r="AE186" s="28"/>
      <c r="AF186" s="29"/>
      <c r="AG186" s="29"/>
      <c r="AH186" s="30"/>
      <c r="AI186" s="31"/>
      <c r="AJ186" s="28"/>
      <c r="AK186" s="32"/>
      <c r="AL186" s="32"/>
      <c r="AM186" s="32"/>
      <c r="AN186" s="32"/>
      <c r="AO186" s="28"/>
      <c r="AP186" s="29"/>
    </row>
    <row r="187">
      <c r="A187" s="8" t="s">
        <v>901</v>
      </c>
      <c r="B187" s="8" t="s">
        <v>902</v>
      </c>
      <c r="C187" s="8" t="s">
        <v>341</v>
      </c>
      <c r="D187" s="8" t="s">
        <v>293</v>
      </c>
      <c r="E187" s="8" t="s">
        <v>342</v>
      </c>
      <c r="F187" s="8" t="s">
        <v>295</v>
      </c>
      <c r="G187" s="8" t="s">
        <v>343</v>
      </c>
      <c r="H187" s="8" t="s">
        <v>344</v>
      </c>
      <c r="I187" s="8" t="s">
        <v>50</v>
      </c>
      <c r="J187" s="8" t="s">
        <v>51</v>
      </c>
      <c r="K187" s="9" t="s">
        <v>52</v>
      </c>
      <c r="L187" s="8" t="s">
        <v>53</v>
      </c>
      <c r="M187" s="8" t="s">
        <v>69</v>
      </c>
      <c r="N187" s="53" t="s">
        <v>55</v>
      </c>
      <c r="O187" s="53" t="s">
        <v>70</v>
      </c>
      <c r="P187" s="20" t="s">
        <v>903</v>
      </c>
      <c r="Q187" s="21" t="s">
        <v>94</v>
      </c>
      <c r="R187" s="20" t="s">
        <v>904</v>
      </c>
      <c r="S187" s="20" t="s">
        <v>905</v>
      </c>
      <c r="T187" s="22">
        <v>3.104562424E9</v>
      </c>
      <c r="U187" s="53" t="s">
        <v>75</v>
      </c>
      <c r="V187" s="11"/>
      <c r="W187" s="11"/>
      <c r="X187" s="11"/>
      <c r="Y187" s="54">
        <v>5.0</v>
      </c>
      <c r="Z187" s="28"/>
      <c r="AA187" s="28"/>
      <c r="AB187" s="28"/>
      <c r="AC187" s="28"/>
      <c r="AD187" s="28"/>
      <c r="AE187" s="28"/>
      <c r="AF187" s="29"/>
      <c r="AG187" s="29"/>
      <c r="AH187" s="30"/>
      <c r="AI187" s="31"/>
      <c r="AJ187" s="28"/>
      <c r="AK187" s="32"/>
      <c r="AL187" s="32"/>
      <c r="AM187" s="32"/>
      <c r="AN187" s="32"/>
      <c r="AO187" s="28"/>
      <c r="AP187" s="29"/>
    </row>
    <row r="188">
      <c r="A188" s="8" t="s">
        <v>906</v>
      </c>
      <c r="B188" s="8" t="s">
        <v>907</v>
      </c>
      <c r="C188" s="8" t="s">
        <v>872</v>
      </c>
      <c r="D188" s="8" t="s">
        <v>66</v>
      </c>
      <c r="E188" s="8" t="s">
        <v>873</v>
      </c>
      <c r="F188" s="8" t="s">
        <v>874</v>
      </c>
      <c r="G188" s="8" t="s">
        <v>359</v>
      </c>
      <c r="H188" s="8" t="s">
        <v>360</v>
      </c>
      <c r="I188" s="8" t="s">
        <v>50</v>
      </c>
      <c r="J188" s="8" t="s">
        <v>51</v>
      </c>
      <c r="K188" s="9" t="s">
        <v>52</v>
      </c>
      <c r="L188" s="8" t="s">
        <v>84</v>
      </c>
      <c r="M188" s="8" t="s">
        <v>54</v>
      </c>
      <c r="N188" s="53" t="s">
        <v>85</v>
      </c>
      <c r="O188" s="53" t="s">
        <v>70</v>
      </c>
      <c r="P188" s="20" t="s">
        <v>908</v>
      </c>
      <c r="Q188" s="21" t="s">
        <v>122</v>
      </c>
      <c r="R188" s="20" t="s">
        <v>909</v>
      </c>
      <c r="S188" s="20" t="s">
        <v>910</v>
      </c>
      <c r="T188" s="22">
        <v>5.73187317552E11</v>
      </c>
      <c r="U188" s="53" t="s">
        <v>75</v>
      </c>
      <c r="V188" s="11"/>
      <c r="W188" s="11"/>
      <c r="X188" s="11"/>
      <c r="Y188" s="54">
        <v>5.0</v>
      </c>
      <c r="Z188" s="28"/>
      <c r="AA188" s="28"/>
      <c r="AB188" s="28"/>
      <c r="AC188" s="28"/>
      <c r="AD188" s="28"/>
      <c r="AE188" s="28"/>
      <c r="AF188" s="29"/>
      <c r="AG188" s="29"/>
      <c r="AH188" s="30"/>
      <c r="AI188" s="31"/>
      <c r="AJ188" s="28"/>
      <c r="AK188" s="32"/>
      <c r="AL188" s="32"/>
      <c r="AM188" s="32"/>
      <c r="AN188" s="32"/>
      <c r="AO188" s="28"/>
      <c r="AP188" s="29"/>
    </row>
    <row r="189">
      <c r="A189" s="8" t="s">
        <v>911</v>
      </c>
      <c r="B189" s="8" t="s">
        <v>912</v>
      </c>
      <c r="C189" s="8" t="s">
        <v>872</v>
      </c>
      <c r="D189" s="8" t="s">
        <v>66</v>
      </c>
      <c r="E189" s="8" t="s">
        <v>873</v>
      </c>
      <c r="F189" s="8" t="s">
        <v>874</v>
      </c>
      <c r="G189" s="8" t="s">
        <v>359</v>
      </c>
      <c r="H189" s="8" t="s">
        <v>360</v>
      </c>
      <c r="I189" s="8" t="s">
        <v>50</v>
      </c>
      <c r="J189" s="8" t="s">
        <v>51</v>
      </c>
      <c r="K189" s="9" t="s">
        <v>52</v>
      </c>
      <c r="L189" s="8" t="s">
        <v>53</v>
      </c>
      <c r="M189" s="8" t="s">
        <v>69</v>
      </c>
      <c r="N189" s="53" t="s">
        <v>55</v>
      </c>
      <c r="O189" s="53" t="s">
        <v>70</v>
      </c>
      <c r="P189" s="20" t="s">
        <v>913</v>
      </c>
      <c r="Q189" s="21" t="s">
        <v>530</v>
      </c>
      <c r="R189" s="20" t="s">
        <v>914</v>
      </c>
      <c r="S189" s="20" t="s">
        <v>915</v>
      </c>
      <c r="T189" s="22">
        <v>5.73217795959E11</v>
      </c>
      <c r="U189" s="53" t="s">
        <v>75</v>
      </c>
      <c r="V189" s="11"/>
      <c r="W189" s="11"/>
      <c r="X189" s="11"/>
      <c r="Y189" s="54">
        <v>5.0</v>
      </c>
      <c r="Z189" s="28"/>
      <c r="AA189" s="28"/>
      <c r="AB189" s="28"/>
      <c r="AC189" s="28"/>
      <c r="AD189" s="28"/>
      <c r="AE189" s="28"/>
      <c r="AF189" s="29"/>
      <c r="AG189" s="29"/>
      <c r="AH189" s="30"/>
      <c r="AI189" s="31"/>
      <c r="AJ189" s="28"/>
      <c r="AK189" s="32"/>
      <c r="AL189" s="32"/>
      <c r="AM189" s="32"/>
      <c r="AN189" s="32"/>
      <c r="AO189" s="28"/>
      <c r="AP189" s="29"/>
    </row>
    <row r="190">
      <c r="A190" s="8" t="s">
        <v>916</v>
      </c>
      <c r="B190" s="8" t="s">
        <v>917</v>
      </c>
      <c r="C190" s="8" t="s">
        <v>872</v>
      </c>
      <c r="D190" s="8" t="s">
        <v>66</v>
      </c>
      <c r="E190" s="8" t="s">
        <v>873</v>
      </c>
      <c r="F190" s="8" t="s">
        <v>874</v>
      </c>
      <c r="G190" s="8" t="s">
        <v>359</v>
      </c>
      <c r="H190" s="8" t="s">
        <v>360</v>
      </c>
      <c r="I190" s="8" t="s">
        <v>50</v>
      </c>
      <c r="J190" s="8" t="s">
        <v>51</v>
      </c>
      <c r="K190" s="9" t="s">
        <v>52</v>
      </c>
      <c r="L190" s="8" t="s">
        <v>53</v>
      </c>
      <c r="M190" s="8" t="s">
        <v>54</v>
      </c>
      <c r="N190" s="53" t="s">
        <v>137</v>
      </c>
      <c r="O190" s="53" t="s">
        <v>70</v>
      </c>
      <c r="P190" s="20" t="s">
        <v>127</v>
      </c>
      <c r="Q190" s="21" t="s">
        <v>72</v>
      </c>
      <c r="R190" s="20" t="s">
        <v>918</v>
      </c>
      <c r="S190" s="20" t="s">
        <v>919</v>
      </c>
      <c r="T190" s="22">
        <v>5.73148458241E11</v>
      </c>
      <c r="U190" s="53" t="s">
        <v>61</v>
      </c>
      <c r="V190" s="11"/>
      <c r="W190" s="11"/>
      <c r="X190" s="11"/>
      <c r="Y190" s="54">
        <v>5.0</v>
      </c>
      <c r="Z190" s="28"/>
      <c r="AA190" s="28"/>
      <c r="AB190" s="28"/>
      <c r="AC190" s="28"/>
      <c r="AD190" s="28"/>
      <c r="AE190" s="28"/>
      <c r="AF190" s="29"/>
      <c r="AG190" s="29"/>
      <c r="AH190" s="30"/>
      <c r="AI190" s="31"/>
      <c r="AJ190" s="28"/>
      <c r="AK190" s="32"/>
      <c r="AL190" s="32"/>
      <c r="AM190" s="32"/>
      <c r="AN190" s="32"/>
      <c r="AO190" s="28"/>
      <c r="AP190" s="29"/>
    </row>
    <row r="191">
      <c r="A191" s="8" t="s">
        <v>920</v>
      </c>
      <c r="B191" s="8" t="s">
        <v>921</v>
      </c>
      <c r="C191" s="8" t="s">
        <v>872</v>
      </c>
      <c r="D191" s="8" t="s">
        <v>66</v>
      </c>
      <c r="E191" s="8" t="s">
        <v>873</v>
      </c>
      <c r="F191" s="8" t="s">
        <v>874</v>
      </c>
      <c r="G191" s="8" t="s">
        <v>359</v>
      </c>
      <c r="H191" s="8" t="s">
        <v>360</v>
      </c>
      <c r="I191" s="8" t="s">
        <v>50</v>
      </c>
      <c r="J191" s="8" t="s">
        <v>51</v>
      </c>
      <c r="K191" s="9" t="s">
        <v>52</v>
      </c>
      <c r="L191" s="8" t="s">
        <v>84</v>
      </c>
      <c r="M191" s="8" t="s">
        <v>54</v>
      </c>
      <c r="N191" s="53" t="s">
        <v>55</v>
      </c>
      <c r="O191" s="53" t="s">
        <v>70</v>
      </c>
      <c r="P191" s="20" t="s">
        <v>500</v>
      </c>
      <c r="Q191" s="21" t="s">
        <v>111</v>
      </c>
      <c r="R191" s="20" t="s">
        <v>922</v>
      </c>
      <c r="S191" s="20" t="s">
        <v>923</v>
      </c>
      <c r="T191" s="22">
        <v>5.73208004747E11</v>
      </c>
      <c r="U191" s="53" t="s">
        <v>75</v>
      </c>
      <c r="V191" s="11"/>
      <c r="W191" s="11"/>
      <c r="X191" s="11"/>
      <c r="Y191" s="54">
        <v>5.0</v>
      </c>
      <c r="Z191" s="13"/>
      <c r="AA191" s="13"/>
      <c r="AB191" s="13"/>
      <c r="AC191" s="13"/>
      <c r="AD191" s="13"/>
      <c r="AE191" s="13"/>
      <c r="AF191" s="14"/>
      <c r="AG191" s="14"/>
      <c r="AH191" s="15"/>
      <c r="AI191" s="16"/>
      <c r="AJ191" s="13"/>
      <c r="AK191" s="17"/>
      <c r="AL191" s="17"/>
      <c r="AM191" s="17"/>
      <c r="AN191" s="17"/>
      <c r="AO191" s="13"/>
      <c r="AP191" s="14"/>
    </row>
    <row r="192">
      <c r="A192" s="8" t="s">
        <v>924</v>
      </c>
      <c r="B192" s="8" t="s">
        <v>925</v>
      </c>
      <c r="C192" s="8" t="s">
        <v>872</v>
      </c>
      <c r="D192" s="8" t="s">
        <v>66</v>
      </c>
      <c r="E192" s="8" t="s">
        <v>873</v>
      </c>
      <c r="F192" s="8" t="s">
        <v>874</v>
      </c>
      <c r="G192" s="8" t="s">
        <v>359</v>
      </c>
      <c r="H192" s="8" t="s">
        <v>360</v>
      </c>
      <c r="I192" s="8" t="s">
        <v>50</v>
      </c>
      <c r="J192" s="8" t="s">
        <v>51</v>
      </c>
      <c r="K192" s="9" t="s">
        <v>52</v>
      </c>
      <c r="L192" s="8" t="s">
        <v>53</v>
      </c>
      <c r="M192" s="8" t="s">
        <v>54</v>
      </c>
      <c r="N192" s="53" t="s">
        <v>137</v>
      </c>
      <c r="O192" s="53" t="s">
        <v>70</v>
      </c>
      <c r="P192" s="20" t="s">
        <v>783</v>
      </c>
      <c r="Q192" s="21" t="s">
        <v>72</v>
      </c>
      <c r="R192" s="20" t="s">
        <v>207</v>
      </c>
      <c r="S192" s="20" t="s">
        <v>926</v>
      </c>
      <c r="T192" s="22">
        <v>5.73168154937E11</v>
      </c>
      <c r="U192" s="53" t="s">
        <v>75</v>
      </c>
      <c r="V192" s="11"/>
      <c r="W192" s="11"/>
      <c r="X192" s="11"/>
      <c r="Y192" s="54">
        <v>5.0</v>
      </c>
      <c r="Z192" s="13"/>
      <c r="AA192" s="13"/>
      <c r="AB192" s="13"/>
      <c r="AC192" s="13"/>
      <c r="AD192" s="13"/>
      <c r="AE192" s="13"/>
      <c r="AF192" s="14"/>
      <c r="AG192" s="14"/>
      <c r="AH192" s="15"/>
      <c r="AI192" s="16"/>
      <c r="AJ192" s="13"/>
      <c r="AK192" s="17"/>
      <c r="AL192" s="17"/>
      <c r="AM192" s="17"/>
      <c r="AN192" s="17"/>
      <c r="AO192" s="13"/>
      <c r="AP192" s="14"/>
    </row>
    <row r="193">
      <c r="A193" s="8" t="s">
        <v>927</v>
      </c>
      <c r="B193" s="8" t="s">
        <v>928</v>
      </c>
      <c r="C193" s="8" t="s">
        <v>872</v>
      </c>
      <c r="D193" s="8" t="s">
        <v>66</v>
      </c>
      <c r="E193" s="8" t="s">
        <v>873</v>
      </c>
      <c r="F193" s="8" t="s">
        <v>874</v>
      </c>
      <c r="G193" s="8" t="s">
        <v>359</v>
      </c>
      <c r="H193" s="8" t="s">
        <v>360</v>
      </c>
      <c r="I193" s="8" t="s">
        <v>50</v>
      </c>
      <c r="J193" s="8" t="s">
        <v>51</v>
      </c>
      <c r="K193" s="9" t="s">
        <v>52</v>
      </c>
      <c r="L193" s="8" t="s">
        <v>53</v>
      </c>
      <c r="M193" s="8" t="s">
        <v>54</v>
      </c>
      <c r="N193" s="53" t="s">
        <v>55</v>
      </c>
      <c r="O193" s="53" t="s">
        <v>70</v>
      </c>
      <c r="P193" s="20" t="s">
        <v>573</v>
      </c>
      <c r="Q193" s="21" t="s">
        <v>111</v>
      </c>
      <c r="R193" s="20" t="s">
        <v>148</v>
      </c>
      <c r="S193" s="20" t="s">
        <v>929</v>
      </c>
      <c r="T193" s="22">
        <v>5.73022497685E11</v>
      </c>
      <c r="U193" s="53" t="s">
        <v>75</v>
      </c>
      <c r="V193" s="11"/>
      <c r="W193" s="11"/>
      <c r="X193" s="11"/>
      <c r="Y193" s="54">
        <v>5.0</v>
      </c>
      <c r="Z193" s="13"/>
      <c r="AA193" s="13"/>
      <c r="AB193" s="13"/>
      <c r="AC193" s="13"/>
      <c r="AD193" s="13"/>
      <c r="AE193" s="13"/>
      <c r="AF193" s="14"/>
      <c r="AG193" s="14"/>
      <c r="AH193" s="15"/>
      <c r="AI193" s="16"/>
      <c r="AJ193" s="13"/>
      <c r="AK193" s="17"/>
      <c r="AL193" s="17"/>
      <c r="AM193" s="17"/>
      <c r="AN193" s="17"/>
      <c r="AO193" s="13"/>
      <c r="AP193" s="14"/>
    </row>
    <row r="194">
      <c r="A194" s="8" t="s">
        <v>930</v>
      </c>
      <c r="B194" s="8" t="s">
        <v>931</v>
      </c>
      <c r="C194" s="8" t="s">
        <v>872</v>
      </c>
      <c r="D194" s="8" t="s">
        <v>66</v>
      </c>
      <c r="E194" s="8" t="s">
        <v>873</v>
      </c>
      <c r="F194" s="8" t="s">
        <v>874</v>
      </c>
      <c r="G194" s="8" t="s">
        <v>359</v>
      </c>
      <c r="H194" s="8" t="s">
        <v>360</v>
      </c>
      <c r="I194" s="8" t="s">
        <v>50</v>
      </c>
      <c r="J194" s="8" t="s">
        <v>51</v>
      </c>
      <c r="K194" s="9" t="s">
        <v>52</v>
      </c>
      <c r="L194" s="8" t="s">
        <v>53</v>
      </c>
      <c r="M194" s="8" t="s">
        <v>69</v>
      </c>
      <c r="N194" s="53" t="s">
        <v>55</v>
      </c>
      <c r="O194" s="53" t="s">
        <v>70</v>
      </c>
      <c r="P194" s="20" t="s">
        <v>317</v>
      </c>
      <c r="Q194" s="21" t="s">
        <v>122</v>
      </c>
      <c r="R194" s="20" t="s">
        <v>932</v>
      </c>
      <c r="S194" s="20" t="s">
        <v>933</v>
      </c>
      <c r="T194" s="22">
        <v>5.73207452945E11</v>
      </c>
      <c r="U194" s="53" t="s">
        <v>61</v>
      </c>
      <c r="V194" s="11"/>
      <c r="W194" s="11"/>
      <c r="X194" s="11"/>
      <c r="Y194" s="54">
        <v>5.0</v>
      </c>
      <c r="Z194" s="13"/>
      <c r="AA194" s="13"/>
      <c r="AB194" s="13"/>
      <c r="AC194" s="13"/>
      <c r="AD194" s="13"/>
      <c r="AE194" s="13"/>
      <c r="AF194" s="14"/>
      <c r="AG194" s="14"/>
      <c r="AH194" s="15"/>
      <c r="AI194" s="16"/>
      <c r="AJ194" s="13"/>
      <c r="AK194" s="17"/>
      <c r="AL194" s="17"/>
      <c r="AM194" s="17"/>
      <c r="AN194" s="17"/>
      <c r="AO194" s="13"/>
      <c r="AP194" s="14"/>
    </row>
    <row r="195">
      <c r="A195" s="8" t="s">
        <v>934</v>
      </c>
      <c r="B195" s="8" t="s">
        <v>935</v>
      </c>
      <c r="C195" s="8" t="s">
        <v>341</v>
      </c>
      <c r="D195" s="8" t="s">
        <v>293</v>
      </c>
      <c r="E195" s="8" t="s">
        <v>342</v>
      </c>
      <c r="F195" s="8" t="s">
        <v>295</v>
      </c>
      <c r="G195" s="8" t="s">
        <v>343</v>
      </c>
      <c r="H195" s="8" t="s">
        <v>344</v>
      </c>
      <c r="I195" s="8" t="s">
        <v>50</v>
      </c>
      <c r="J195" s="8" t="s">
        <v>51</v>
      </c>
      <c r="K195" s="9" t="s">
        <v>52</v>
      </c>
      <c r="L195" s="8" t="s">
        <v>53</v>
      </c>
      <c r="M195" s="8" t="s">
        <v>69</v>
      </c>
      <c r="N195" s="53" t="s">
        <v>85</v>
      </c>
      <c r="O195" s="53" t="s">
        <v>70</v>
      </c>
      <c r="P195" s="91" t="s">
        <v>936</v>
      </c>
      <c r="Q195" s="92" t="s">
        <v>122</v>
      </c>
      <c r="R195" s="91" t="s">
        <v>79</v>
      </c>
      <c r="S195" s="91" t="s">
        <v>904</v>
      </c>
      <c r="T195" s="93">
        <v>1.4145754402E10</v>
      </c>
      <c r="U195" s="53" t="s">
        <v>75</v>
      </c>
      <c r="V195" s="11"/>
      <c r="W195" s="11"/>
      <c r="X195" s="11"/>
      <c r="Y195" s="54">
        <v>5.0</v>
      </c>
      <c r="Z195" s="13"/>
      <c r="AA195" s="13"/>
      <c r="AB195" s="13"/>
      <c r="AC195" s="13"/>
      <c r="AD195" s="13"/>
      <c r="AE195" s="13"/>
      <c r="AF195" s="14"/>
      <c r="AG195" s="14"/>
      <c r="AH195" s="15"/>
      <c r="AI195" s="16"/>
      <c r="AJ195" s="13"/>
      <c r="AK195" s="17"/>
      <c r="AL195" s="17"/>
      <c r="AM195" s="17"/>
      <c r="AN195" s="17"/>
      <c r="AO195" s="13"/>
      <c r="AP195" s="14"/>
    </row>
    <row r="196">
      <c r="A196" s="8" t="s">
        <v>937</v>
      </c>
      <c r="B196" s="8" t="s">
        <v>938</v>
      </c>
      <c r="C196" s="8" t="s">
        <v>872</v>
      </c>
      <c r="D196" s="8" t="s">
        <v>66</v>
      </c>
      <c r="E196" s="8" t="s">
        <v>873</v>
      </c>
      <c r="F196" s="8" t="s">
        <v>874</v>
      </c>
      <c r="G196" s="8" t="s">
        <v>359</v>
      </c>
      <c r="H196" s="8" t="s">
        <v>360</v>
      </c>
      <c r="I196" s="8" t="s">
        <v>50</v>
      </c>
      <c r="J196" s="8" t="s">
        <v>51</v>
      </c>
      <c r="K196" s="9" t="s">
        <v>52</v>
      </c>
      <c r="L196" s="8" t="s">
        <v>53</v>
      </c>
      <c r="M196" s="8" t="s">
        <v>54</v>
      </c>
      <c r="N196" s="53" t="s">
        <v>55</v>
      </c>
      <c r="O196" s="53" t="s">
        <v>70</v>
      </c>
      <c r="P196" s="20" t="s">
        <v>939</v>
      </c>
      <c r="Q196" s="21" t="s">
        <v>72</v>
      </c>
      <c r="R196" s="20" t="s">
        <v>940</v>
      </c>
      <c r="S196" s="20" t="s">
        <v>941</v>
      </c>
      <c r="T196" s="22">
        <v>5.73246862074E11</v>
      </c>
      <c r="U196" s="53" t="s">
        <v>75</v>
      </c>
      <c r="V196" s="11"/>
      <c r="W196" s="11"/>
      <c r="X196" s="11"/>
      <c r="Y196" s="54">
        <v>5.0</v>
      </c>
      <c r="Z196" s="28"/>
      <c r="AA196" s="29"/>
      <c r="AB196" s="29"/>
      <c r="AC196" s="29"/>
      <c r="AD196" s="29"/>
      <c r="AE196" s="29"/>
      <c r="AF196" s="29"/>
      <c r="AG196" s="29"/>
      <c r="AH196" s="30"/>
      <c r="AI196" s="30"/>
      <c r="AJ196" s="28"/>
      <c r="AK196" s="32"/>
      <c r="AL196" s="32"/>
      <c r="AM196" s="32"/>
      <c r="AN196" s="32"/>
      <c r="AO196" s="32"/>
      <c r="AP196" s="28"/>
    </row>
    <row r="197">
      <c r="A197" s="8" t="s">
        <v>942</v>
      </c>
      <c r="B197" s="8" t="s">
        <v>943</v>
      </c>
      <c r="C197" s="8" t="s">
        <v>872</v>
      </c>
      <c r="D197" s="8" t="s">
        <v>66</v>
      </c>
      <c r="E197" s="8" t="s">
        <v>873</v>
      </c>
      <c r="F197" s="8" t="s">
        <v>874</v>
      </c>
      <c r="G197" s="8" t="s">
        <v>359</v>
      </c>
      <c r="H197" s="8" t="s">
        <v>360</v>
      </c>
      <c r="I197" s="8" t="s">
        <v>50</v>
      </c>
      <c r="J197" s="8" t="s">
        <v>51</v>
      </c>
      <c r="K197" s="9" t="s">
        <v>52</v>
      </c>
      <c r="L197" s="8" t="s">
        <v>84</v>
      </c>
      <c r="M197" s="8" t="s">
        <v>54</v>
      </c>
      <c r="N197" s="53" t="s">
        <v>55</v>
      </c>
      <c r="O197" s="53" t="s">
        <v>70</v>
      </c>
      <c r="P197" s="20" t="s">
        <v>944</v>
      </c>
      <c r="Q197" s="21" t="s">
        <v>105</v>
      </c>
      <c r="R197" s="20" t="s">
        <v>918</v>
      </c>
      <c r="S197" s="20" t="s">
        <v>945</v>
      </c>
      <c r="T197" s="22">
        <v>5.73043949272E11</v>
      </c>
      <c r="U197" s="53" t="s">
        <v>75</v>
      </c>
      <c r="V197" s="11"/>
      <c r="W197" s="11"/>
      <c r="X197" s="11"/>
      <c r="Y197" s="54">
        <v>5.0</v>
      </c>
      <c r="Z197" s="28"/>
      <c r="AA197" s="28"/>
      <c r="AB197" s="28"/>
      <c r="AC197" s="29"/>
      <c r="AD197" s="29"/>
      <c r="AE197" s="29"/>
      <c r="AF197" s="29"/>
      <c r="AG197" s="29"/>
      <c r="AH197" s="30"/>
      <c r="AI197" s="31"/>
      <c r="AJ197" s="28"/>
      <c r="AK197" s="32"/>
      <c r="AL197" s="32"/>
      <c r="AM197" s="32"/>
      <c r="AN197" s="32"/>
      <c r="AO197" s="28"/>
      <c r="AP197" s="29"/>
    </row>
    <row r="198">
      <c r="A198" s="8" t="s">
        <v>946</v>
      </c>
      <c r="B198" s="8" t="s">
        <v>947</v>
      </c>
      <c r="C198" s="8" t="s">
        <v>872</v>
      </c>
      <c r="D198" s="8" t="s">
        <v>66</v>
      </c>
      <c r="E198" s="8" t="s">
        <v>873</v>
      </c>
      <c r="F198" s="8" t="s">
        <v>874</v>
      </c>
      <c r="G198" s="8" t="s">
        <v>359</v>
      </c>
      <c r="H198" s="8" t="s">
        <v>360</v>
      </c>
      <c r="I198" s="8" t="s">
        <v>50</v>
      </c>
      <c r="J198" s="8" t="s">
        <v>51</v>
      </c>
      <c r="K198" s="9" t="s">
        <v>52</v>
      </c>
      <c r="L198" s="8" t="s">
        <v>84</v>
      </c>
      <c r="M198" s="8" t="s">
        <v>69</v>
      </c>
      <c r="N198" s="53" t="s">
        <v>137</v>
      </c>
      <c r="O198" s="53" t="s">
        <v>70</v>
      </c>
      <c r="P198" s="20" t="s">
        <v>948</v>
      </c>
      <c r="Q198" s="21" t="s">
        <v>111</v>
      </c>
      <c r="R198" s="20" t="s">
        <v>173</v>
      </c>
      <c r="S198" s="20" t="s">
        <v>949</v>
      </c>
      <c r="T198" s="22">
        <v>5.73213496553E11</v>
      </c>
      <c r="U198" s="53" t="s">
        <v>75</v>
      </c>
      <c r="V198" s="11"/>
      <c r="W198" s="11"/>
      <c r="X198" s="11"/>
      <c r="Y198" s="54">
        <v>5.0</v>
      </c>
      <c r="Z198" s="28"/>
      <c r="AA198" s="28"/>
      <c r="AB198" s="28"/>
      <c r="AC198" s="28"/>
      <c r="AD198" s="28"/>
      <c r="AE198" s="28"/>
      <c r="AF198" s="29"/>
      <c r="AG198" s="29"/>
      <c r="AH198" s="30"/>
      <c r="AI198" s="31"/>
      <c r="AJ198" s="32"/>
      <c r="AK198" s="32"/>
      <c r="AL198" s="32"/>
      <c r="AM198" s="32"/>
      <c r="AN198" s="32"/>
      <c r="AO198" s="32"/>
      <c r="AP198" s="29"/>
    </row>
    <row r="199">
      <c r="A199" s="8" t="s">
        <v>950</v>
      </c>
      <c r="B199" s="8" t="s">
        <v>951</v>
      </c>
      <c r="C199" s="8" t="s">
        <v>872</v>
      </c>
      <c r="D199" s="8" t="s">
        <v>66</v>
      </c>
      <c r="E199" s="8" t="s">
        <v>873</v>
      </c>
      <c r="F199" s="8" t="s">
        <v>874</v>
      </c>
      <c r="G199" s="8" t="s">
        <v>359</v>
      </c>
      <c r="H199" s="8" t="s">
        <v>360</v>
      </c>
      <c r="I199" s="8" t="s">
        <v>50</v>
      </c>
      <c r="J199" s="8" t="s">
        <v>51</v>
      </c>
      <c r="K199" s="9" t="s">
        <v>52</v>
      </c>
      <c r="L199" s="8" t="s">
        <v>53</v>
      </c>
      <c r="M199" s="8" t="s">
        <v>54</v>
      </c>
      <c r="N199" s="53" t="s">
        <v>137</v>
      </c>
      <c r="O199" s="53" t="s">
        <v>70</v>
      </c>
      <c r="P199" s="20" t="s">
        <v>57</v>
      </c>
      <c r="Q199" s="21" t="s">
        <v>58</v>
      </c>
      <c r="R199" s="20" t="s">
        <v>73</v>
      </c>
      <c r="S199" s="20" t="s">
        <v>952</v>
      </c>
      <c r="T199" s="22">
        <v>5.73128434703E11</v>
      </c>
      <c r="U199" s="53" t="s">
        <v>61</v>
      </c>
      <c r="V199" s="11"/>
      <c r="W199" s="11"/>
      <c r="X199" s="11"/>
      <c r="Y199" s="54">
        <v>5.0</v>
      </c>
      <c r="Z199" s="28"/>
      <c r="AA199" s="28"/>
      <c r="AB199" s="28"/>
      <c r="AC199" s="28"/>
      <c r="AD199" s="29"/>
      <c r="AE199" s="29"/>
      <c r="AF199" s="29"/>
      <c r="AG199" s="29"/>
      <c r="AH199" s="30"/>
      <c r="AI199" s="31"/>
      <c r="AJ199" s="28"/>
      <c r="AK199" s="32"/>
      <c r="AL199" s="32"/>
      <c r="AM199" s="32"/>
      <c r="AN199" s="32"/>
      <c r="AO199" s="28"/>
      <c r="AP199" s="29"/>
    </row>
    <row r="200">
      <c r="A200" s="8" t="s">
        <v>953</v>
      </c>
      <c r="B200" s="8" t="s">
        <v>954</v>
      </c>
      <c r="C200" s="8" t="s">
        <v>872</v>
      </c>
      <c r="D200" s="8" t="s">
        <v>66</v>
      </c>
      <c r="E200" s="8" t="s">
        <v>873</v>
      </c>
      <c r="F200" s="8" t="s">
        <v>874</v>
      </c>
      <c r="G200" s="8" t="s">
        <v>359</v>
      </c>
      <c r="H200" s="8" t="s">
        <v>360</v>
      </c>
      <c r="I200" s="8" t="s">
        <v>50</v>
      </c>
      <c r="J200" s="8" t="s">
        <v>51</v>
      </c>
      <c r="K200" s="9" t="s">
        <v>52</v>
      </c>
      <c r="L200" s="8" t="s">
        <v>53</v>
      </c>
      <c r="M200" s="8" t="s">
        <v>69</v>
      </c>
      <c r="N200" s="53" t="s">
        <v>55</v>
      </c>
      <c r="O200" s="53" t="s">
        <v>70</v>
      </c>
      <c r="P200" s="20" t="s">
        <v>282</v>
      </c>
      <c r="Q200" s="21" t="s">
        <v>94</v>
      </c>
      <c r="R200" s="20" t="s">
        <v>955</v>
      </c>
      <c r="S200" s="20" t="s">
        <v>956</v>
      </c>
      <c r="T200" s="22">
        <v>5.731057651E11</v>
      </c>
      <c r="U200" s="53" t="s">
        <v>75</v>
      </c>
      <c r="V200" s="11"/>
      <c r="W200" s="11"/>
      <c r="X200" s="11"/>
      <c r="Y200" s="54">
        <v>5.0</v>
      </c>
      <c r="Z200" s="28"/>
      <c r="AA200" s="28"/>
      <c r="AB200" s="29"/>
      <c r="AC200" s="29"/>
      <c r="AD200" s="29"/>
      <c r="AE200" s="29"/>
      <c r="AF200" s="29"/>
      <c r="AG200" s="29"/>
      <c r="AH200" s="30"/>
      <c r="AI200" s="31"/>
      <c r="AJ200" s="28"/>
      <c r="AK200" s="32"/>
      <c r="AL200" s="32"/>
      <c r="AM200" s="32"/>
      <c r="AN200" s="32"/>
      <c r="AO200" s="28"/>
      <c r="AP200" s="29"/>
    </row>
    <row r="201">
      <c r="A201" s="8" t="s">
        <v>957</v>
      </c>
      <c r="B201" s="8" t="s">
        <v>958</v>
      </c>
      <c r="C201" s="8" t="s">
        <v>872</v>
      </c>
      <c r="D201" s="8" t="s">
        <v>66</v>
      </c>
      <c r="E201" s="8" t="s">
        <v>873</v>
      </c>
      <c r="F201" s="8" t="s">
        <v>874</v>
      </c>
      <c r="G201" s="8" t="s">
        <v>359</v>
      </c>
      <c r="H201" s="8" t="s">
        <v>360</v>
      </c>
      <c r="I201" s="8" t="s">
        <v>50</v>
      </c>
      <c r="J201" s="8" t="s">
        <v>51</v>
      </c>
      <c r="K201" s="9" t="s">
        <v>52</v>
      </c>
      <c r="L201" s="8" t="s">
        <v>53</v>
      </c>
      <c r="M201" s="8" t="s">
        <v>54</v>
      </c>
      <c r="N201" s="53" t="s">
        <v>85</v>
      </c>
      <c r="O201" s="53" t="s">
        <v>70</v>
      </c>
      <c r="P201" s="20" t="s">
        <v>116</v>
      </c>
      <c r="Q201" s="21" t="s">
        <v>487</v>
      </c>
      <c r="R201" s="20" t="s">
        <v>959</v>
      </c>
      <c r="S201" s="20" t="s">
        <v>960</v>
      </c>
      <c r="T201" s="22">
        <v>3.053203171E9</v>
      </c>
      <c r="U201" s="53" t="s">
        <v>75</v>
      </c>
      <c r="V201" s="11"/>
      <c r="W201" s="11"/>
      <c r="X201" s="11"/>
      <c r="Y201" s="54">
        <v>5.0</v>
      </c>
      <c r="Z201" s="28"/>
      <c r="AA201" s="28"/>
      <c r="AB201" s="28"/>
      <c r="AC201" s="28"/>
      <c r="AD201" s="28"/>
      <c r="AE201" s="28"/>
      <c r="AF201" s="29"/>
      <c r="AG201" s="29"/>
      <c r="AH201" s="30"/>
      <c r="AI201" s="31"/>
      <c r="AJ201" s="28"/>
      <c r="AK201" s="32"/>
      <c r="AL201" s="32"/>
      <c r="AM201" s="32"/>
      <c r="AN201" s="32"/>
      <c r="AO201" s="28"/>
      <c r="AP201" s="29"/>
    </row>
    <row r="202">
      <c r="A202" s="8" t="s">
        <v>961</v>
      </c>
      <c r="B202" s="8" t="s">
        <v>962</v>
      </c>
      <c r="C202" s="8" t="s">
        <v>872</v>
      </c>
      <c r="D202" s="8" t="s">
        <v>66</v>
      </c>
      <c r="E202" s="8" t="s">
        <v>873</v>
      </c>
      <c r="F202" s="8" t="s">
        <v>874</v>
      </c>
      <c r="G202" s="8" t="s">
        <v>359</v>
      </c>
      <c r="H202" s="8" t="s">
        <v>360</v>
      </c>
      <c r="I202" s="8" t="s">
        <v>50</v>
      </c>
      <c r="J202" s="8" t="s">
        <v>51</v>
      </c>
      <c r="K202" s="9" t="s">
        <v>52</v>
      </c>
      <c r="L202" s="8" t="s">
        <v>53</v>
      </c>
      <c r="M202" s="8" t="s">
        <v>69</v>
      </c>
      <c r="N202" s="53" t="s">
        <v>137</v>
      </c>
      <c r="O202" s="53" t="s">
        <v>70</v>
      </c>
      <c r="P202" s="20" t="s">
        <v>445</v>
      </c>
      <c r="Q202" s="21" t="s">
        <v>72</v>
      </c>
      <c r="R202" s="20" t="s">
        <v>207</v>
      </c>
      <c r="S202" s="20" t="s">
        <v>963</v>
      </c>
      <c r="T202" s="22">
        <v>5.7311575003E11</v>
      </c>
      <c r="U202" s="53" t="s">
        <v>75</v>
      </c>
      <c r="V202" s="11"/>
      <c r="W202" s="11"/>
      <c r="X202" s="11"/>
      <c r="Y202" s="54">
        <v>5.0</v>
      </c>
      <c r="Z202" s="28"/>
      <c r="AA202" s="28"/>
      <c r="AB202" s="28"/>
      <c r="AC202" s="28"/>
      <c r="AD202" s="28"/>
      <c r="AE202" s="28"/>
      <c r="AF202" s="29"/>
      <c r="AG202" s="29"/>
      <c r="AH202" s="30"/>
      <c r="AI202" s="31"/>
      <c r="AJ202" s="28"/>
      <c r="AK202" s="32"/>
      <c r="AL202" s="32"/>
      <c r="AM202" s="32"/>
      <c r="AN202" s="32"/>
      <c r="AO202" s="28"/>
      <c r="AP202" s="29"/>
    </row>
    <row r="203">
      <c r="A203" s="8" t="s">
        <v>964</v>
      </c>
      <c r="B203" s="8" t="s">
        <v>965</v>
      </c>
      <c r="C203" s="8" t="s">
        <v>872</v>
      </c>
      <c r="D203" s="8" t="s">
        <v>66</v>
      </c>
      <c r="E203" s="8" t="s">
        <v>873</v>
      </c>
      <c r="F203" s="8" t="s">
        <v>874</v>
      </c>
      <c r="G203" s="8" t="s">
        <v>359</v>
      </c>
      <c r="H203" s="8" t="s">
        <v>360</v>
      </c>
      <c r="I203" s="8" t="s">
        <v>50</v>
      </c>
      <c r="J203" s="8" t="s">
        <v>51</v>
      </c>
      <c r="K203" s="9" t="s">
        <v>52</v>
      </c>
      <c r="L203" s="8" t="s">
        <v>53</v>
      </c>
      <c r="M203" s="8" t="s">
        <v>54</v>
      </c>
      <c r="N203" s="53" t="s">
        <v>137</v>
      </c>
      <c r="O203" s="53" t="s">
        <v>70</v>
      </c>
      <c r="P203" s="20" t="s">
        <v>966</v>
      </c>
      <c r="Q203" s="21" t="s">
        <v>111</v>
      </c>
      <c r="R203" s="20" t="s">
        <v>967</v>
      </c>
      <c r="S203" s="20" t="s">
        <v>968</v>
      </c>
      <c r="T203" s="22">
        <v>5.73015562596E11</v>
      </c>
      <c r="U203" s="53" t="s">
        <v>61</v>
      </c>
      <c r="V203" s="11"/>
      <c r="W203" s="11"/>
      <c r="X203" s="11"/>
      <c r="Y203" s="54">
        <v>5.0</v>
      </c>
      <c r="Z203" s="28"/>
      <c r="AA203" s="28"/>
      <c r="AB203" s="28"/>
      <c r="AC203" s="28"/>
      <c r="AD203" s="28"/>
      <c r="AE203" s="28"/>
      <c r="AF203" s="29"/>
      <c r="AG203" s="29"/>
      <c r="AH203" s="30"/>
      <c r="AI203" s="31"/>
      <c r="AJ203" s="28"/>
      <c r="AK203" s="32"/>
      <c r="AL203" s="32"/>
      <c r="AM203" s="32"/>
      <c r="AN203" s="32"/>
      <c r="AO203" s="28"/>
      <c r="AP203" s="29"/>
    </row>
    <row r="204">
      <c r="A204" s="8" t="s">
        <v>969</v>
      </c>
      <c r="B204" s="8" t="s">
        <v>970</v>
      </c>
      <c r="C204" s="8" t="s">
        <v>872</v>
      </c>
      <c r="D204" s="8" t="s">
        <v>66</v>
      </c>
      <c r="E204" s="8" t="s">
        <v>873</v>
      </c>
      <c r="F204" s="8" t="s">
        <v>874</v>
      </c>
      <c r="G204" s="8" t="s">
        <v>359</v>
      </c>
      <c r="H204" s="8" t="s">
        <v>360</v>
      </c>
      <c r="I204" s="8" t="s">
        <v>50</v>
      </c>
      <c r="J204" s="8" t="s">
        <v>51</v>
      </c>
      <c r="K204" s="9" t="s">
        <v>52</v>
      </c>
      <c r="L204" s="8" t="s">
        <v>53</v>
      </c>
      <c r="M204" s="8" t="s">
        <v>69</v>
      </c>
      <c r="N204" s="53" t="s">
        <v>55</v>
      </c>
      <c r="O204" s="53" t="s">
        <v>70</v>
      </c>
      <c r="P204" s="20" t="s">
        <v>99</v>
      </c>
      <c r="Q204" s="21" t="s">
        <v>111</v>
      </c>
      <c r="R204" s="20" t="s">
        <v>971</v>
      </c>
      <c r="S204" s="20" t="s">
        <v>972</v>
      </c>
      <c r="T204" s="22">
        <v>5.73132587608E11</v>
      </c>
      <c r="U204" s="53" t="s">
        <v>75</v>
      </c>
      <c r="V204" s="11"/>
      <c r="W204" s="11"/>
      <c r="X204" s="11"/>
      <c r="Y204" s="54">
        <v>5.0</v>
      </c>
      <c r="Z204" s="28"/>
      <c r="AA204" s="28"/>
      <c r="AB204" s="28"/>
      <c r="AC204" s="28"/>
      <c r="AD204" s="28"/>
      <c r="AE204" s="28"/>
      <c r="AF204" s="29"/>
      <c r="AG204" s="29"/>
      <c r="AH204" s="30"/>
      <c r="AI204" s="31"/>
      <c r="AJ204" s="28"/>
      <c r="AK204" s="32"/>
      <c r="AL204" s="32"/>
      <c r="AM204" s="32"/>
      <c r="AN204" s="32"/>
      <c r="AO204" s="28"/>
      <c r="AP204" s="29"/>
    </row>
    <row r="205">
      <c r="A205" s="8" t="s">
        <v>973</v>
      </c>
      <c r="B205" s="8" t="s">
        <v>974</v>
      </c>
      <c r="C205" s="8" t="s">
        <v>872</v>
      </c>
      <c r="D205" s="8" t="s">
        <v>66</v>
      </c>
      <c r="E205" s="8" t="s">
        <v>873</v>
      </c>
      <c r="F205" s="8" t="s">
        <v>874</v>
      </c>
      <c r="G205" s="8" t="s">
        <v>359</v>
      </c>
      <c r="H205" s="8" t="s">
        <v>360</v>
      </c>
      <c r="I205" s="8" t="s">
        <v>50</v>
      </c>
      <c r="J205" s="8" t="s">
        <v>51</v>
      </c>
      <c r="K205" s="9" t="s">
        <v>52</v>
      </c>
      <c r="L205" s="8" t="s">
        <v>53</v>
      </c>
      <c r="M205" s="8" t="s">
        <v>69</v>
      </c>
      <c r="N205" s="53" t="s">
        <v>55</v>
      </c>
      <c r="O205" s="53" t="s">
        <v>70</v>
      </c>
      <c r="P205" s="20" t="s">
        <v>282</v>
      </c>
      <c r="Q205" s="21" t="s">
        <v>72</v>
      </c>
      <c r="R205" s="20" t="s">
        <v>173</v>
      </c>
      <c r="S205" s="20" t="s">
        <v>975</v>
      </c>
      <c r="T205" s="22">
        <v>3.017798818E9</v>
      </c>
      <c r="U205" s="53" t="s">
        <v>61</v>
      </c>
      <c r="V205" s="11"/>
      <c r="W205" s="11"/>
      <c r="X205" s="11"/>
      <c r="Y205" s="54">
        <v>5.0</v>
      </c>
      <c r="Z205" s="28"/>
      <c r="AA205" s="28"/>
      <c r="AB205" s="28"/>
      <c r="AC205" s="28"/>
      <c r="AD205" s="28"/>
      <c r="AE205" s="28"/>
      <c r="AF205" s="29"/>
      <c r="AG205" s="29"/>
      <c r="AH205" s="30"/>
      <c r="AI205" s="31"/>
      <c r="AJ205" s="28"/>
      <c r="AK205" s="32"/>
      <c r="AL205" s="32"/>
      <c r="AM205" s="32"/>
      <c r="AN205" s="32"/>
      <c r="AO205" s="28"/>
      <c r="AP205" s="29"/>
    </row>
    <row r="206">
      <c r="A206" s="8" t="s">
        <v>976</v>
      </c>
      <c r="B206" s="8" t="s">
        <v>977</v>
      </c>
      <c r="C206" s="8" t="s">
        <v>872</v>
      </c>
      <c r="D206" s="8" t="s">
        <v>66</v>
      </c>
      <c r="E206" s="8" t="s">
        <v>873</v>
      </c>
      <c r="F206" s="8" t="s">
        <v>874</v>
      </c>
      <c r="G206" s="8" t="s">
        <v>359</v>
      </c>
      <c r="H206" s="8" t="s">
        <v>360</v>
      </c>
      <c r="I206" s="8" t="s">
        <v>50</v>
      </c>
      <c r="J206" s="8" t="s">
        <v>51</v>
      </c>
      <c r="K206" s="9" t="s">
        <v>52</v>
      </c>
      <c r="L206" s="8" t="s">
        <v>53</v>
      </c>
      <c r="M206" s="8" t="s">
        <v>54</v>
      </c>
      <c r="N206" s="53" t="s">
        <v>55</v>
      </c>
      <c r="O206" s="53" t="s">
        <v>70</v>
      </c>
      <c r="P206" s="20" t="s">
        <v>978</v>
      </c>
      <c r="Q206" s="20" t="s">
        <v>979</v>
      </c>
      <c r="R206" s="20" t="s">
        <v>458</v>
      </c>
      <c r="S206" s="20" t="s">
        <v>980</v>
      </c>
      <c r="T206" s="22">
        <v>5.73186238043E11</v>
      </c>
      <c r="U206" s="53" t="s">
        <v>61</v>
      </c>
      <c r="V206" s="11"/>
      <c r="W206" s="11"/>
      <c r="X206" s="11"/>
      <c r="Y206" s="54">
        <v>5.0</v>
      </c>
      <c r="Z206" s="28"/>
      <c r="AA206" s="28"/>
      <c r="AB206" s="28"/>
      <c r="AC206" s="28"/>
      <c r="AD206" s="28"/>
      <c r="AE206" s="28"/>
      <c r="AF206" s="29"/>
      <c r="AG206" s="29"/>
      <c r="AH206" s="30"/>
      <c r="AI206" s="31"/>
      <c r="AJ206" s="28"/>
      <c r="AK206" s="32"/>
      <c r="AL206" s="32"/>
      <c r="AM206" s="32"/>
      <c r="AN206" s="32"/>
      <c r="AO206" s="28"/>
      <c r="AP206" s="29"/>
    </row>
    <row r="207">
      <c r="A207" s="8" t="s">
        <v>981</v>
      </c>
      <c r="B207" s="8" t="s">
        <v>982</v>
      </c>
      <c r="C207" s="8" t="s">
        <v>983</v>
      </c>
      <c r="D207" s="8" t="s">
        <v>984</v>
      </c>
      <c r="E207" s="8" t="s">
        <v>985</v>
      </c>
      <c r="F207" s="8" t="s">
        <v>47</v>
      </c>
      <c r="G207" s="8" t="s">
        <v>986</v>
      </c>
      <c r="H207" s="8" t="s">
        <v>987</v>
      </c>
      <c r="I207" s="8" t="s">
        <v>50</v>
      </c>
      <c r="J207" s="8" t="s">
        <v>51</v>
      </c>
      <c r="K207" s="9" t="s">
        <v>52</v>
      </c>
      <c r="L207" s="8" t="s">
        <v>53</v>
      </c>
      <c r="M207" s="8" t="s">
        <v>54</v>
      </c>
      <c r="N207" s="53" t="s">
        <v>55</v>
      </c>
      <c r="O207" s="53" t="s">
        <v>70</v>
      </c>
      <c r="P207" s="20" t="s">
        <v>152</v>
      </c>
      <c r="Q207" s="21" t="s">
        <v>592</v>
      </c>
      <c r="R207" s="20" t="s">
        <v>988</v>
      </c>
      <c r="S207" s="20" t="s">
        <v>989</v>
      </c>
      <c r="T207" s="22">
        <v>5.7317381156E11</v>
      </c>
      <c r="U207" s="53" t="s">
        <v>75</v>
      </c>
      <c r="V207" s="11"/>
      <c r="W207" s="11"/>
      <c r="X207" s="11"/>
      <c r="Y207" s="54">
        <v>5.0</v>
      </c>
      <c r="Z207" s="49"/>
      <c r="AA207" s="49"/>
      <c r="AB207" s="49"/>
      <c r="AC207" s="49"/>
      <c r="AD207" s="49"/>
      <c r="AE207" s="49"/>
      <c r="AF207" s="50"/>
      <c r="AG207" s="50"/>
      <c r="AH207" s="51"/>
      <c r="AI207" s="51"/>
      <c r="AJ207" s="49"/>
      <c r="AK207" s="52"/>
      <c r="AL207" s="52"/>
      <c r="AM207" s="52"/>
      <c r="AN207" s="52"/>
      <c r="AO207" s="49"/>
      <c r="AP207" s="50"/>
    </row>
    <row r="208">
      <c r="A208" s="8" t="s">
        <v>990</v>
      </c>
      <c r="B208" s="8" t="s">
        <v>991</v>
      </c>
      <c r="C208" s="8" t="s">
        <v>983</v>
      </c>
      <c r="D208" s="8" t="s">
        <v>984</v>
      </c>
      <c r="E208" s="8" t="s">
        <v>985</v>
      </c>
      <c r="F208" s="8" t="s">
        <v>47</v>
      </c>
      <c r="G208" s="8" t="s">
        <v>986</v>
      </c>
      <c r="H208" s="8" t="s">
        <v>987</v>
      </c>
      <c r="I208" s="8" t="s">
        <v>50</v>
      </c>
      <c r="J208" s="8" t="s">
        <v>51</v>
      </c>
      <c r="K208" s="9" t="s">
        <v>52</v>
      </c>
      <c r="L208" s="8" t="s">
        <v>53</v>
      </c>
      <c r="M208" s="8" t="s">
        <v>54</v>
      </c>
      <c r="N208" s="53" t="s">
        <v>55</v>
      </c>
      <c r="O208" s="53" t="s">
        <v>70</v>
      </c>
      <c r="P208" s="20" t="s">
        <v>992</v>
      </c>
      <c r="Q208" s="21" t="s">
        <v>58</v>
      </c>
      <c r="R208" s="20" t="s">
        <v>73</v>
      </c>
      <c r="S208" s="20" t="s">
        <v>993</v>
      </c>
      <c r="T208" s="22">
        <v>5.73115657996E11</v>
      </c>
      <c r="U208" s="53" t="s">
        <v>75</v>
      </c>
      <c r="V208" s="11"/>
      <c r="W208" s="11"/>
      <c r="X208" s="11"/>
      <c r="Y208" s="54">
        <v>5.0</v>
      </c>
      <c r="Z208" s="28"/>
      <c r="AA208" s="28"/>
      <c r="AB208" s="28"/>
      <c r="AC208" s="28"/>
      <c r="AD208" s="28"/>
      <c r="AE208" s="28"/>
      <c r="AF208" s="29"/>
      <c r="AG208" s="29"/>
      <c r="AH208" s="30"/>
      <c r="AI208" s="31"/>
      <c r="AJ208" s="28"/>
      <c r="AK208" s="32"/>
      <c r="AL208" s="32"/>
      <c r="AM208" s="32"/>
      <c r="AN208" s="32"/>
      <c r="AO208" s="28"/>
      <c r="AP208" s="29"/>
    </row>
    <row r="209">
      <c r="A209" s="8" t="s">
        <v>994</v>
      </c>
      <c r="B209" s="8" t="s">
        <v>995</v>
      </c>
      <c r="C209" s="8" t="s">
        <v>983</v>
      </c>
      <c r="D209" s="8" t="s">
        <v>984</v>
      </c>
      <c r="E209" s="8" t="s">
        <v>985</v>
      </c>
      <c r="F209" s="8" t="s">
        <v>47</v>
      </c>
      <c r="G209" s="8" t="s">
        <v>986</v>
      </c>
      <c r="H209" s="8" t="s">
        <v>987</v>
      </c>
      <c r="I209" s="8" t="s">
        <v>50</v>
      </c>
      <c r="J209" s="8" t="s">
        <v>51</v>
      </c>
      <c r="K209" s="9" t="s">
        <v>52</v>
      </c>
      <c r="L209" s="8" t="s">
        <v>53</v>
      </c>
      <c r="M209" s="8" t="s">
        <v>54</v>
      </c>
      <c r="N209" s="53" t="s">
        <v>137</v>
      </c>
      <c r="O209" s="53" t="s">
        <v>70</v>
      </c>
      <c r="P209" s="20" t="s">
        <v>996</v>
      </c>
      <c r="Q209" s="21" t="s">
        <v>58</v>
      </c>
      <c r="R209" s="20" t="s">
        <v>679</v>
      </c>
      <c r="S209" s="20" t="s">
        <v>997</v>
      </c>
      <c r="T209" s="22">
        <v>5.73186265866E11</v>
      </c>
      <c r="U209" s="53" t="s">
        <v>61</v>
      </c>
      <c r="V209" s="11"/>
      <c r="W209" s="11"/>
      <c r="X209" s="11"/>
      <c r="Y209" s="54">
        <v>5.0</v>
      </c>
      <c r="Z209" s="28"/>
      <c r="AA209" s="28"/>
      <c r="AB209" s="28"/>
      <c r="AC209" s="28"/>
      <c r="AD209" s="28"/>
      <c r="AE209" s="28"/>
      <c r="AF209" s="29"/>
      <c r="AG209" s="29"/>
      <c r="AH209" s="30"/>
      <c r="AI209" s="31"/>
      <c r="AJ209" s="28"/>
      <c r="AK209" s="32"/>
      <c r="AL209" s="32"/>
      <c r="AM209" s="32"/>
      <c r="AN209" s="32"/>
      <c r="AO209" s="28"/>
      <c r="AP209" s="29"/>
    </row>
    <row r="210">
      <c r="A210" s="8" t="s">
        <v>998</v>
      </c>
      <c r="B210" s="8" t="s">
        <v>999</v>
      </c>
      <c r="C210" s="8" t="s">
        <v>872</v>
      </c>
      <c r="D210" s="8" t="s">
        <v>66</v>
      </c>
      <c r="E210" s="8" t="s">
        <v>873</v>
      </c>
      <c r="F210" s="8" t="s">
        <v>874</v>
      </c>
      <c r="G210" s="8" t="s">
        <v>359</v>
      </c>
      <c r="H210" s="8" t="s">
        <v>360</v>
      </c>
      <c r="I210" s="8" t="s">
        <v>50</v>
      </c>
      <c r="J210" s="8" t="s">
        <v>51</v>
      </c>
      <c r="K210" s="9" t="s">
        <v>52</v>
      </c>
      <c r="L210" s="8" t="s">
        <v>53</v>
      </c>
      <c r="M210" s="8" t="s">
        <v>69</v>
      </c>
      <c r="N210" s="53" t="s">
        <v>85</v>
      </c>
      <c r="O210" s="53" t="s">
        <v>70</v>
      </c>
      <c r="P210" s="20" t="s">
        <v>104</v>
      </c>
      <c r="Q210" s="21" t="s">
        <v>111</v>
      </c>
      <c r="R210" s="20" t="s">
        <v>466</v>
      </c>
      <c r="S210" s="20" t="s">
        <v>1000</v>
      </c>
      <c r="T210" s="22">
        <v>5.73006724274E11</v>
      </c>
      <c r="U210" s="53" t="s">
        <v>61</v>
      </c>
      <c r="V210" s="11"/>
      <c r="W210" s="11"/>
      <c r="X210" s="11"/>
      <c r="Y210" s="54">
        <v>5.0</v>
      </c>
      <c r="Z210" s="28"/>
      <c r="AA210" s="28"/>
      <c r="AB210" s="28"/>
      <c r="AC210" s="28"/>
      <c r="AD210" s="28"/>
      <c r="AE210" s="28"/>
      <c r="AF210" s="29"/>
      <c r="AG210" s="29"/>
      <c r="AH210" s="30"/>
      <c r="AI210" s="31"/>
      <c r="AJ210" s="28"/>
      <c r="AK210" s="32"/>
      <c r="AL210" s="32"/>
      <c r="AM210" s="32"/>
      <c r="AN210" s="32"/>
      <c r="AO210" s="28"/>
      <c r="AP210" s="29"/>
    </row>
    <row r="211">
      <c r="A211" s="8" t="s">
        <v>1001</v>
      </c>
      <c r="B211" s="8" t="s">
        <v>1002</v>
      </c>
      <c r="C211" s="8" t="s">
        <v>872</v>
      </c>
      <c r="D211" s="8" t="s">
        <v>66</v>
      </c>
      <c r="E211" s="8" t="s">
        <v>873</v>
      </c>
      <c r="F211" s="8" t="s">
        <v>874</v>
      </c>
      <c r="G211" s="8" t="s">
        <v>359</v>
      </c>
      <c r="H211" s="8" t="s">
        <v>360</v>
      </c>
      <c r="I211" s="8" t="s">
        <v>50</v>
      </c>
      <c r="J211" s="8" t="s">
        <v>51</v>
      </c>
      <c r="K211" s="9" t="s">
        <v>52</v>
      </c>
      <c r="L211" s="8" t="s">
        <v>53</v>
      </c>
      <c r="M211" s="8" t="s">
        <v>54</v>
      </c>
      <c r="N211" s="53" t="s">
        <v>85</v>
      </c>
      <c r="O211" s="53" t="s">
        <v>70</v>
      </c>
      <c r="P211" s="20" t="s">
        <v>762</v>
      </c>
      <c r="Q211" s="21" t="s">
        <v>111</v>
      </c>
      <c r="R211" s="20" t="s">
        <v>1003</v>
      </c>
      <c r="S211" s="20" t="s">
        <v>1004</v>
      </c>
      <c r="T211" s="22">
        <v>5.73134692467E11</v>
      </c>
      <c r="U211" s="53" t="s">
        <v>61</v>
      </c>
      <c r="V211" s="11"/>
      <c r="W211" s="11"/>
      <c r="X211" s="11"/>
      <c r="Y211" s="54">
        <v>5.0</v>
      </c>
      <c r="Z211" s="49"/>
      <c r="AA211" s="49"/>
      <c r="AB211" s="49"/>
      <c r="AC211" s="49"/>
      <c r="AD211" s="49"/>
      <c r="AE211" s="49"/>
      <c r="AF211" s="50"/>
      <c r="AG211" s="50"/>
      <c r="AH211" s="51"/>
      <c r="AI211" s="51"/>
      <c r="AJ211" s="49"/>
      <c r="AK211" s="52"/>
      <c r="AL211" s="52"/>
      <c r="AM211" s="52"/>
      <c r="AN211" s="52"/>
      <c r="AO211" s="49"/>
      <c r="AP211" s="50"/>
    </row>
    <row r="212">
      <c r="A212" s="8" t="s">
        <v>1005</v>
      </c>
      <c r="B212" s="8" t="s">
        <v>1006</v>
      </c>
      <c r="C212" s="8" t="s">
        <v>983</v>
      </c>
      <c r="D212" s="8" t="s">
        <v>984</v>
      </c>
      <c r="E212" s="8" t="s">
        <v>985</v>
      </c>
      <c r="F212" s="8" t="s">
        <v>47</v>
      </c>
      <c r="G212" s="8" t="s">
        <v>986</v>
      </c>
      <c r="H212" s="8" t="s">
        <v>987</v>
      </c>
      <c r="I212" s="8" t="s">
        <v>50</v>
      </c>
      <c r="J212" s="8" t="s">
        <v>51</v>
      </c>
      <c r="K212" s="9" t="s">
        <v>52</v>
      </c>
      <c r="L212" s="8" t="s">
        <v>53</v>
      </c>
      <c r="M212" s="8" t="s">
        <v>54</v>
      </c>
      <c r="N212" s="53" t="s">
        <v>55</v>
      </c>
      <c r="O212" s="53" t="s">
        <v>70</v>
      </c>
      <c r="P212" s="20" t="s">
        <v>1007</v>
      </c>
      <c r="Q212" s="21" t="s">
        <v>111</v>
      </c>
      <c r="R212" s="20" t="s">
        <v>512</v>
      </c>
      <c r="S212" s="20" t="s">
        <v>1008</v>
      </c>
      <c r="T212" s="22">
        <v>5.73218851109E11</v>
      </c>
      <c r="U212" s="53" t="s">
        <v>61</v>
      </c>
      <c r="V212" s="11"/>
      <c r="W212" s="11"/>
      <c r="X212" s="11"/>
      <c r="Y212" s="54">
        <v>5.0</v>
      </c>
      <c r="Z212" s="28"/>
      <c r="AA212" s="28"/>
      <c r="AB212" s="28"/>
      <c r="AC212" s="28"/>
      <c r="AD212" s="28"/>
      <c r="AE212" s="28"/>
      <c r="AF212" s="29"/>
      <c r="AG212" s="29"/>
      <c r="AH212" s="30"/>
      <c r="AI212" s="31"/>
      <c r="AJ212" s="28"/>
      <c r="AK212" s="32"/>
      <c r="AL212" s="32"/>
      <c r="AM212" s="32"/>
      <c r="AN212" s="32"/>
      <c r="AO212" s="28"/>
      <c r="AP212" s="29"/>
    </row>
    <row r="213">
      <c r="A213" s="8" t="s">
        <v>1009</v>
      </c>
      <c r="B213" s="8" t="s">
        <v>1010</v>
      </c>
      <c r="C213" s="8" t="s">
        <v>872</v>
      </c>
      <c r="D213" s="8" t="s">
        <v>66</v>
      </c>
      <c r="E213" s="8" t="s">
        <v>873</v>
      </c>
      <c r="F213" s="8" t="s">
        <v>874</v>
      </c>
      <c r="G213" s="8" t="s">
        <v>359</v>
      </c>
      <c r="H213" s="8" t="s">
        <v>360</v>
      </c>
      <c r="I213" s="8" t="s">
        <v>50</v>
      </c>
      <c r="J213" s="8" t="s">
        <v>51</v>
      </c>
      <c r="K213" s="9" t="s">
        <v>52</v>
      </c>
      <c r="L213" s="8" t="s">
        <v>53</v>
      </c>
      <c r="M213" s="8" t="s">
        <v>54</v>
      </c>
      <c r="N213" s="53" t="s">
        <v>55</v>
      </c>
      <c r="O213" s="53" t="s">
        <v>70</v>
      </c>
      <c r="P213" s="20" t="s">
        <v>308</v>
      </c>
      <c r="Q213" s="21" t="s">
        <v>94</v>
      </c>
      <c r="R213" s="20" t="s">
        <v>1011</v>
      </c>
      <c r="S213" s="20" t="s">
        <v>1012</v>
      </c>
      <c r="T213" s="22">
        <v>5.731371364E11</v>
      </c>
      <c r="U213" s="53" t="s">
        <v>61</v>
      </c>
      <c r="V213" s="11"/>
      <c r="W213" s="11"/>
      <c r="X213" s="11"/>
      <c r="Y213" s="54">
        <v>5.0</v>
      </c>
      <c r="Z213" s="28"/>
      <c r="AA213" s="28"/>
      <c r="AB213" s="28"/>
      <c r="AC213" s="28"/>
      <c r="AD213" s="28"/>
      <c r="AE213" s="28"/>
      <c r="AF213" s="29"/>
      <c r="AG213" s="29"/>
      <c r="AH213" s="30"/>
      <c r="AI213" s="31"/>
      <c r="AJ213" s="28"/>
      <c r="AK213" s="32"/>
      <c r="AL213" s="32"/>
      <c r="AM213" s="32"/>
      <c r="AN213" s="32"/>
      <c r="AO213" s="28"/>
      <c r="AP213" s="29"/>
    </row>
    <row r="214">
      <c r="A214" s="8" t="s">
        <v>1013</v>
      </c>
      <c r="B214" s="8" t="s">
        <v>1014</v>
      </c>
      <c r="C214" s="8" t="s">
        <v>872</v>
      </c>
      <c r="D214" s="8" t="s">
        <v>66</v>
      </c>
      <c r="E214" s="8" t="s">
        <v>873</v>
      </c>
      <c r="F214" s="8" t="s">
        <v>874</v>
      </c>
      <c r="G214" s="8" t="s">
        <v>359</v>
      </c>
      <c r="H214" s="8" t="s">
        <v>360</v>
      </c>
      <c r="I214" s="8" t="s">
        <v>50</v>
      </c>
      <c r="J214" s="8" t="s">
        <v>51</v>
      </c>
      <c r="K214" s="9" t="s">
        <v>52</v>
      </c>
      <c r="L214" s="8" t="s">
        <v>53</v>
      </c>
      <c r="M214" s="8" t="s">
        <v>54</v>
      </c>
      <c r="N214" s="53" t="s">
        <v>137</v>
      </c>
      <c r="O214" s="53" t="s">
        <v>70</v>
      </c>
      <c r="P214" s="20" t="s">
        <v>104</v>
      </c>
      <c r="Q214" s="21" t="s">
        <v>58</v>
      </c>
      <c r="R214" s="20" t="s">
        <v>1015</v>
      </c>
      <c r="S214" s="20" t="s">
        <v>1016</v>
      </c>
      <c r="T214" s="22">
        <v>5.73206883616E11</v>
      </c>
      <c r="U214" s="53" t="s">
        <v>75</v>
      </c>
      <c r="V214" s="11"/>
      <c r="W214" s="11"/>
      <c r="X214" s="11"/>
      <c r="Y214" s="54">
        <v>5.0</v>
      </c>
      <c r="Z214" s="13"/>
      <c r="AA214" s="13"/>
      <c r="AB214" s="13"/>
      <c r="AC214" s="13"/>
      <c r="AD214" s="13"/>
      <c r="AE214" s="13"/>
      <c r="AF214" s="14"/>
      <c r="AG214" s="14"/>
      <c r="AH214" s="15"/>
      <c r="AI214" s="16"/>
      <c r="AJ214" s="13"/>
      <c r="AK214" s="17"/>
      <c r="AL214" s="17"/>
      <c r="AM214" s="17"/>
      <c r="AN214" s="17"/>
      <c r="AO214" s="13"/>
      <c r="AP214" s="14"/>
    </row>
    <row r="215">
      <c r="A215" s="8" t="s">
        <v>1017</v>
      </c>
      <c r="B215" s="8" t="s">
        <v>1018</v>
      </c>
      <c r="C215" s="8" t="s">
        <v>983</v>
      </c>
      <c r="D215" s="8" t="s">
        <v>984</v>
      </c>
      <c r="E215" s="8" t="s">
        <v>985</v>
      </c>
      <c r="F215" s="8" t="s">
        <v>47</v>
      </c>
      <c r="G215" s="8" t="s">
        <v>986</v>
      </c>
      <c r="H215" s="8" t="s">
        <v>987</v>
      </c>
      <c r="I215" s="8" t="s">
        <v>50</v>
      </c>
      <c r="J215" s="8" t="s">
        <v>51</v>
      </c>
      <c r="K215" s="9" t="s">
        <v>52</v>
      </c>
      <c r="L215" s="8" t="s">
        <v>53</v>
      </c>
      <c r="M215" s="8" t="s">
        <v>69</v>
      </c>
      <c r="N215" s="53" t="s">
        <v>55</v>
      </c>
      <c r="O215" s="53" t="s">
        <v>70</v>
      </c>
      <c r="P215" s="20" t="s">
        <v>141</v>
      </c>
      <c r="Q215" s="21" t="s">
        <v>111</v>
      </c>
      <c r="R215" s="20" t="s">
        <v>100</v>
      </c>
      <c r="S215" s="20" t="s">
        <v>1019</v>
      </c>
      <c r="T215" s="22">
        <v>5.73102359823E11</v>
      </c>
      <c r="U215" s="53" t="s">
        <v>61</v>
      </c>
      <c r="V215" s="11"/>
      <c r="W215" s="11"/>
      <c r="X215" s="11"/>
      <c r="Y215" s="54">
        <v>5.0</v>
      </c>
      <c r="Z215" s="13"/>
      <c r="AA215" s="13"/>
      <c r="AB215" s="13"/>
      <c r="AC215" s="13"/>
      <c r="AD215" s="13"/>
      <c r="AE215" s="13"/>
      <c r="AF215" s="14"/>
      <c r="AG215" s="14"/>
      <c r="AH215" s="15"/>
      <c r="AI215" s="16"/>
      <c r="AJ215" s="13"/>
      <c r="AK215" s="17"/>
      <c r="AL215" s="17"/>
      <c r="AM215" s="17"/>
      <c r="AN215" s="17"/>
      <c r="AO215" s="13"/>
      <c r="AP215" s="14"/>
    </row>
    <row r="216">
      <c r="A216" s="8" t="s">
        <v>1020</v>
      </c>
      <c r="B216" s="8" t="s">
        <v>1021</v>
      </c>
      <c r="C216" s="8" t="s">
        <v>983</v>
      </c>
      <c r="D216" s="8" t="s">
        <v>984</v>
      </c>
      <c r="E216" s="8" t="s">
        <v>985</v>
      </c>
      <c r="F216" s="8" t="s">
        <v>47</v>
      </c>
      <c r="G216" s="8" t="s">
        <v>986</v>
      </c>
      <c r="H216" s="8" t="s">
        <v>987</v>
      </c>
      <c r="I216" s="8" t="s">
        <v>50</v>
      </c>
      <c r="J216" s="8" t="s">
        <v>51</v>
      </c>
      <c r="K216" s="9" t="s">
        <v>52</v>
      </c>
      <c r="L216" s="8" t="s">
        <v>53</v>
      </c>
      <c r="M216" s="8" t="s">
        <v>69</v>
      </c>
      <c r="N216" s="53" t="s">
        <v>55</v>
      </c>
      <c r="O216" s="53" t="s">
        <v>70</v>
      </c>
      <c r="P216" s="20" t="s">
        <v>1022</v>
      </c>
      <c r="Q216" s="21" t="s">
        <v>58</v>
      </c>
      <c r="R216" s="20" t="s">
        <v>168</v>
      </c>
      <c r="S216" s="20" t="s">
        <v>1023</v>
      </c>
      <c r="T216" s="22">
        <v>5.73014871362E11</v>
      </c>
      <c r="U216" s="53" t="s">
        <v>61</v>
      </c>
      <c r="V216" s="11"/>
      <c r="W216" s="11"/>
      <c r="X216" s="11"/>
      <c r="Y216" s="54">
        <v>5.0</v>
      </c>
      <c r="Z216" s="13"/>
      <c r="AA216" s="13"/>
      <c r="AB216" s="13"/>
      <c r="AC216" s="13"/>
      <c r="AD216" s="13"/>
      <c r="AE216" s="13"/>
      <c r="AF216" s="14"/>
      <c r="AG216" s="14"/>
      <c r="AH216" s="15"/>
      <c r="AI216" s="16"/>
      <c r="AJ216" s="13"/>
      <c r="AK216" s="17"/>
      <c r="AL216" s="17"/>
      <c r="AM216" s="17"/>
      <c r="AN216" s="17"/>
      <c r="AO216" s="13"/>
      <c r="AP216" s="14"/>
    </row>
    <row r="217">
      <c r="A217" s="8" t="s">
        <v>1024</v>
      </c>
      <c r="B217" s="8" t="s">
        <v>1025</v>
      </c>
      <c r="C217" s="8" t="s">
        <v>872</v>
      </c>
      <c r="D217" s="8" t="s">
        <v>66</v>
      </c>
      <c r="E217" s="8" t="s">
        <v>873</v>
      </c>
      <c r="F217" s="8" t="s">
        <v>874</v>
      </c>
      <c r="G217" s="8" t="s">
        <v>359</v>
      </c>
      <c r="H217" s="8" t="s">
        <v>360</v>
      </c>
      <c r="I217" s="8" t="s">
        <v>50</v>
      </c>
      <c r="J217" s="8" t="s">
        <v>51</v>
      </c>
      <c r="K217" s="9" t="s">
        <v>52</v>
      </c>
      <c r="L217" s="8" t="s">
        <v>53</v>
      </c>
      <c r="M217" s="8" t="s">
        <v>54</v>
      </c>
      <c r="N217" s="53" t="s">
        <v>55</v>
      </c>
      <c r="O217" s="53" t="s">
        <v>70</v>
      </c>
      <c r="P217" s="20" t="s">
        <v>127</v>
      </c>
      <c r="Q217" s="21" t="s">
        <v>105</v>
      </c>
      <c r="R217" s="20" t="s">
        <v>173</v>
      </c>
      <c r="S217" s="20" t="s">
        <v>1026</v>
      </c>
      <c r="T217" s="22">
        <v>3.223821315E9</v>
      </c>
      <c r="U217" s="53" t="s">
        <v>61</v>
      </c>
      <c r="V217" s="11"/>
      <c r="W217" s="11"/>
      <c r="X217" s="11"/>
      <c r="Y217" s="54">
        <v>5.0</v>
      </c>
      <c r="Z217" s="13"/>
      <c r="AA217" s="13"/>
      <c r="AB217" s="13"/>
      <c r="AC217" s="13"/>
      <c r="AD217" s="13"/>
      <c r="AE217" s="13"/>
      <c r="AF217" s="14"/>
      <c r="AG217" s="14"/>
      <c r="AH217" s="15"/>
      <c r="AI217" s="16"/>
      <c r="AJ217" s="13"/>
      <c r="AK217" s="17"/>
      <c r="AL217" s="17"/>
      <c r="AM217" s="17"/>
      <c r="AN217" s="17"/>
      <c r="AO217" s="13"/>
      <c r="AP217" s="14"/>
    </row>
    <row r="218">
      <c r="A218" s="8" t="s">
        <v>1027</v>
      </c>
      <c r="B218" s="8" t="s">
        <v>1028</v>
      </c>
      <c r="C218" s="8" t="s">
        <v>872</v>
      </c>
      <c r="D218" s="8" t="s">
        <v>66</v>
      </c>
      <c r="E218" s="8" t="s">
        <v>873</v>
      </c>
      <c r="F218" s="8" t="s">
        <v>874</v>
      </c>
      <c r="G218" s="8" t="s">
        <v>359</v>
      </c>
      <c r="H218" s="8" t="s">
        <v>360</v>
      </c>
      <c r="I218" s="8" t="s">
        <v>50</v>
      </c>
      <c r="J218" s="8" t="s">
        <v>51</v>
      </c>
      <c r="K218" s="9" t="s">
        <v>52</v>
      </c>
      <c r="L218" s="8" t="s">
        <v>53</v>
      </c>
      <c r="M218" s="8" t="s">
        <v>69</v>
      </c>
      <c r="N218" s="53" t="s">
        <v>55</v>
      </c>
      <c r="O218" s="53" t="s">
        <v>70</v>
      </c>
      <c r="P218" s="20" t="s">
        <v>474</v>
      </c>
      <c r="Q218" s="21" t="s">
        <v>94</v>
      </c>
      <c r="R218" s="21" t="s">
        <v>1029</v>
      </c>
      <c r="S218" s="20" t="s">
        <v>1030</v>
      </c>
      <c r="T218" s="22">
        <v>5.73023604039E11</v>
      </c>
      <c r="U218" s="53" t="s">
        <v>61</v>
      </c>
      <c r="V218" s="11"/>
      <c r="W218" s="11"/>
      <c r="X218" s="11"/>
      <c r="Y218" s="54">
        <v>5.0</v>
      </c>
      <c r="Z218" s="13"/>
      <c r="AA218" s="13"/>
      <c r="AB218" s="13"/>
      <c r="AC218" s="13"/>
      <c r="AD218" s="13"/>
      <c r="AE218" s="13"/>
      <c r="AF218" s="14"/>
      <c r="AG218" s="14"/>
      <c r="AH218" s="15"/>
      <c r="AI218" s="16"/>
      <c r="AJ218" s="13"/>
      <c r="AK218" s="17"/>
      <c r="AL218" s="17"/>
      <c r="AM218" s="17"/>
      <c r="AN218" s="17"/>
      <c r="AO218" s="13"/>
      <c r="AP218" s="14"/>
    </row>
    <row r="219">
      <c r="A219" s="84" t="s">
        <v>1031</v>
      </c>
      <c r="B219" s="84" t="s">
        <v>1032</v>
      </c>
      <c r="C219" s="84" t="s">
        <v>983</v>
      </c>
      <c r="D219" s="84" t="s">
        <v>984</v>
      </c>
      <c r="E219" s="84" t="s">
        <v>985</v>
      </c>
      <c r="F219" s="84" t="s">
        <v>47</v>
      </c>
      <c r="G219" s="84" t="s">
        <v>986</v>
      </c>
      <c r="H219" s="84" t="s">
        <v>987</v>
      </c>
      <c r="I219" s="84" t="s">
        <v>50</v>
      </c>
      <c r="J219" s="84" t="s">
        <v>51</v>
      </c>
      <c r="K219" s="85" t="s">
        <v>52</v>
      </c>
      <c r="L219" s="84" t="s">
        <v>53</v>
      </c>
      <c r="M219" s="84" t="s">
        <v>54</v>
      </c>
      <c r="N219" s="84" t="s">
        <v>137</v>
      </c>
      <c r="O219" s="84" t="s">
        <v>56</v>
      </c>
      <c r="P219" s="84" t="s">
        <v>141</v>
      </c>
      <c r="Q219" s="85" t="s">
        <v>58</v>
      </c>
      <c r="R219" s="84" t="s">
        <v>1033</v>
      </c>
      <c r="S219" s="84" t="s">
        <v>1034</v>
      </c>
      <c r="T219" s="94">
        <v>5.73001660464E11</v>
      </c>
      <c r="U219" s="84" t="s">
        <v>75</v>
      </c>
      <c r="V219" s="89"/>
      <c r="W219" s="89"/>
      <c r="X219" s="89"/>
      <c r="Y219" s="95" t="s">
        <v>62</v>
      </c>
      <c r="Z219" s="13"/>
      <c r="AA219" s="13"/>
      <c r="AB219" s="13"/>
      <c r="AC219" s="13"/>
      <c r="AD219" s="13"/>
      <c r="AE219" s="13"/>
      <c r="AF219" s="14"/>
      <c r="AG219" s="14"/>
      <c r="AH219" s="15"/>
      <c r="AI219" s="16"/>
      <c r="AJ219" s="13"/>
      <c r="AK219" s="17"/>
      <c r="AL219" s="17"/>
      <c r="AM219" s="17"/>
      <c r="AN219" s="17"/>
      <c r="AO219" s="13"/>
      <c r="AP219" s="14"/>
    </row>
    <row r="220">
      <c r="A220" s="84" t="s">
        <v>1035</v>
      </c>
      <c r="B220" s="84" t="s">
        <v>1036</v>
      </c>
      <c r="C220" s="84" t="s">
        <v>872</v>
      </c>
      <c r="D220" s="84" t="s">
        <v>66</v>
      </c>
      <c r="E220" s="84" t="s">
        <v>873</v>
      </c>
      <c r="F220" s="84" t="s">
        <v>874</v>
      </c>
      <c r="G220" s="84" t="s">
        <v>359</v>
      </c>
      <c r="H220" s="84" t="s">
        <v>360</v>
      </c>
      <c r="I220" s="84" t="s">
        <v>50</v>
      </c>
      <c r="J220" s="84" t="s">
        <v>51</v>
      </c>
      <c r="K220" s="85" t="s">
        <v>52</v>
      </c>
      <c r="L220" s="84" t="s">
        <v>84</v>
      </c>
      <c r="M220" s="84" t="s">
        <v>69</v>
      </c>
      <c r="N220" s="86" t="s">
        <v>55</v>
      </c>
      <c r="O220" s="86" t="s">
        <v>70</v>
      </c>
      <c r="P220" s="86" t="s">
        <v>1037</v>
      </c>
      <c r="Q220" s="87" t="s">
        <v>122</v>
      </c>
      <c r="R220" s="86" t="s">
        <v>512</v>
      </c>
      <c r="S220" s="86" t="s">
        <v>1038</v>
      </c>
      <c r="T220" s="88">
        <v>5.73102336387E11</v>
      </c>
      <c r="U220" s="86" t="s">
        <v>75</v>
      </c>
      <c r="V220" s="89"/>
      <c r="W220" s="89"/>
      <c r="X220" s="89"/>
      <c r="Y220" s="90">
        <v>5.0</v>
      </c>
      <c r="Z220" s="13"/>
      <c r="AA220" s="13"/>
      <c r="AB220" s="13"/>
      <c r="AC220" s="13"/>
      <c r="AD220" s="13"/>
      <c r="AE220" s="13"/>
      <c r="AF220" s="14"/>
      <c r="AG220" s="14"/>
      <c r="AH220" s="15"/>
      <c r="AI220" s="16"/>
      <c r="AJ220" s="13"/>
      <c r="AK220" s="17"/>
      <c r="AL220" s="17"/>
      <c r="AM220" s="17"/>
      <c r="AN220" s="17"/>
      <c r="AO220" s="13"/>
      <c r="AP220" s="14"/>
    </row>
    <row r="221">
      <c r="A221" s="8" t="s">
        <v>1039</v>
      </c>
      <c r="B221" s="8" t="s">
        <v>1040</v>
      </c>
      <c r="C221" s="8" t="s">
        <v>983</v>
      </c>
      <c r="D221" s="55" t="s">
        <v>984</v>
      </c>
      <c r="E221" s="8" t="s">
        <v>985</v>
      </c>
      <c r="F221" s="8" t="s">
        <v>47</v>
      </c>
      <c r="G221" s="8" t="s">
        <v>986</v>
      </c>
      <c r="H221" s="8" t="s">
        <v>987</v>
      </c>
      <c r="I221" s="8" t="s">
        <v>50</v>
      </c>
      <c r="J221" s="8" t="s">
        <v>51</v>
      </c>
      <c r="K221" s="9" t="s">
        <v>52</v>
      </c>
      <c r="L221" s="8" t="s">
        <v>53</v>
      </c>
      <c r="M221" s="8" t="s">
        <v>54</v>
      </c>
      <c r="N221" s="53" t="s">
        <v>85</v>
      </c>
      <c r="O221" s="53" t="s">
        <v>70</v>
      </c>
      <c r="P221" s="20" t="s">
        <v>1041</v>
      </c>
      <c r="Q221" s="21" t="s">
        <v>111</v>
      </c>
      <c r="R221" s="20" t="s">
        <v>1042</v>
      </c>
      <c r="S221" s="20" t="s">
        <v>1043</v>
      </c>
      <c r="T221" s="22">
        <v>5.7311207867E11</v>
      </c>
      <c r="U221" s="53" t="s">
        <v>61</v>
      </c>
      <c r="V221" s="11"/>
      <c r="W221" s="11"/>
      <c r="X221" s="11"/>
      <c r="Y221" s="54">
        <v>5.0</v>
      </c>
      <c r="Z221" s="13"/>
      <c r="AA221" s="13"/>
      <c r="AB221" s="13"/>
      <c r="AC221" s="13"/>
      <c r="AD221" s="13"/>
      <c r="AE221" s="13"/>
      <c r="AF221" s="14"/>
      <c r="AG221" s="14"/>
      <c r="AH221" s="15"/>
      <c r="AI221" s="16"/>
      <c r="AJ221" s="13"/>
      <c r="AK221" s="17"/>
      <c r="AL221" s="17"/>
      <c r="AM221" s="17"/>
      <c r="AN221" s="17"/>
      <c r="AO221" s="13"/>
      <c r="AP221" s="14"/>
    </row>
    <row r="222">
      <c r="A222" s="8" t="s">
        <v>1044</v>
      </c>
      <c r="B222" s="8" t="s">
        <v>1045</v>
      </c>
      <c r="C222" s="8" t="s">
        <v>872</v>
      </c>
      <c r="D222" s="8" t="s">
        <v>66</v>
      </c>
      <c r="E222" s="8" t="s">
        <v>873</v>
      </c>
      <c r="F222" s="8" t="s">
        <v>874</v>
      </c>
      <c r="G222" s="8" t="s">
        <v>359</v>
      </c>
      <c r="H222" s="8" t="s">
        <v>360</v>
      </c>
      <c r="I222" s="8" t="s">
        <v>50</v>
      </c>
      <c r="J222" s="8" t="s">
        <v>51</v>
      </c>
      <c r="K222" s="9" t="s">
        <v>52</v>
      </c>
      <c r="L222" s="8" t="s">
        <v>53</v>
      </c>
      <c r="M222" s="8" t="s">
        <v>69</v>
      </c>
      <c r="N222" s="53" t="s">
        <v>55</v>
      </c>
      <c r="O222" s="53" t="s">
        <v>70</v>
      </c>
      <c r="P222" s="20" t="s">
        <v>1046</v>
      </c>
      <c r="Q222" s="21" t="s">
        <v>72</v>
      </c>
      <c r="R222" s="20" t="s">
        <v>117</v>
      </c>
      <c r="S222" s="20" t="s">
        <v>1047</v>
      </c>
      <c r="T222" s="22">
        <v>3.184079859E9</v>
      </c>
      <c r="U222" s="53" t="s">
        <v>61</v>
      </c>
      <c r="V222" s="11"/>
      <c r="W222" s="11"/>
      <c r="X222" s="11"/>
      <c r="Y222" s="54">
        <v>5.0</v>
      </c>
      <c r="Z222" s="13"/>
      <c r="AA222" s="13"/>
      <c r="AB222" s="13"/>
      <c r="AC222" s="13"/>
      <c r="AD222" s="13"/>
      <c r="AE222" s="13"/>
      <c r="AF222" s="14"/>
      <c r="AG222" s="14"/>
      <c r="AH222" s="15"/>
      <c r="AI222" s="16"/>
      <c r="AJ222" s="13"/>
      <c r="AK222" s="17"/>
      <c r="AL222" s="17"/>
      <c r="AM222" s="17"/>
      <c r="AN222" s="17"/>
      <c r="AO222" s="13"/>
      <c r="AP222" s="14"/>
    </row>
    <row r="223">
      <c r="A223" s="8" t="s">
        <v>1048</v>
      </c>
      <c r="B223" s="8" t="s">
        <v>1049</v>
      </c>
      <c r="C223" s="8" t="s">
        <v>983</v>
      </c>
      <c r="D223" s="55" t="s">
        <v>984</v>
      </c>
      <c r="E223" s="8" t="s">
        <v>985</v>
      </c>
      <c r="F223" s="8" t="s">
        <v>47</v>
      </c>
      <c r="G223" s="8" t="s">
        <v>986</v>
      </c>
      <c r="H223" s="8" t="s">
        <v>987</v>
      </c>
      <c r="I223" s="8" t="s">
        <v>50</v>
      </c>
      <c r="J223" s="8" t="s">
        <v>51</v>
      </c>
      <c r="K223" s="9" t="s">
        <v>52</v>
      </c>
      <c r="L223" s="8" t="s">
        <v>53</v>
      </c>
      <c r="M223" s="8" t="s">
        <v>69</v>
      </c>
      <c r="N223" s="53" t="s">
        <v>137</v>
      </c>
      <c r="O223" s="53" t="s">
        <v>70</v>
      </c>
      <c r="P223" s="20" t="s">
        <v>1050</v>
      </c>
      <c r="Q223" s="21" t="s">
        <v>105</v>
      </c>
      <c r="R223" s="20" t="s">
        <v>1051</v>
      </c>
      <c r="S223" s="20" t="s">
        <v>1052</v>
      </c>
      <c r="T223" s="22">
        <v>5.73003340774E11</v>
      </c>
      <c r="U223" s="53" t="s">
        <v>75</v>
      </c>
      <c r="V223" s="11"/>
      <c r="W223" s="11"/>
      <c r="X223" s="11"/>
      <c r="Y223" s="54">
        <v>5.0</v>
      </c>
      <c r="Z223" s="13"/>
      <c r="AA223" s="13"/>
      <c r="AB223" s="13"/>
      <c r="AC223" s="13"/>
      <c r="AD223" s="13"/>
      <c r="AE223" s="13"/>
      <c r="AF223" s="14"/>
      <c r="AG223" s="14"/>
      <c r="AH223" s="15"/>
      <c r="AI223" s="16"/>
      <c r="AJ223" s="13"/>
      <c r="AK223" s="17"/>
      <c r="AL223" s="17"/>
      <c r="AM223" s="17"/>
      <c r="AN223" s="17"/>
      <c r="AO223" s="13"/>
      <c r="AP223" s="14"/>
    </row>
    <row r="224">
      <c r="A224" s="84" t="s">
        <v>1053</v>
      </c>
      <c r="B224" s="84" t="s">
        <v>1054</v>
      </c>
      <c r="C224" s="84" t="s">
        <v>983</v>
      </c>
      <c r="D224" s="84" t="s">
        <v>984</v>
      </c>
      <c r="E224" s="84" t="s">
        <v>985</v>
      </c>
      <c r="F224" s="84" t="s">
        <v>47</v>
      </c>
      <c r="G224" s="84" t="s">
        <v>986</v>
      </c>
      <c r="H224" s="84" t="s">
        <v>987</v>
      </c>
      <c r="I224" s="84" t="s">
        <v>50</v>
      </c>
      <c r="J224" s="84" t="s">
        <v>51</v>
      </c>
      <c r="K224" s="85" t="s">
        <v>52</v>
      </c>
      <c r="L224" s="84" t="s">
        <v>53</v>
      </c>
      <c r="M224" s="84" t="s">
        <v>69</v>
      </c>
      <c r="N224" s="86" t="s">
        <v>55</v>
      </c>
      <c r="O224" s="86" t="s">
        <v>70</v>
      </c>
      <c r="P224" s="86" t="s">
        <v>282</v>
      </c>
      <c r="Q224" s="87" t="s">
        <v>111</v>
      </c>
      <c r="R224" s="86" t="s">
        <v>1055</v>
      </c>
      <c r="S224" s="86" t="s">
        <v>1056</v>
      </c>
      <c r="T224" s="88">
        <v>5.73014543286E11</v>
      </c>
      <c r="U224" s="86" t="s">
        <v>61</v>
      </c>
      <c r="V224" s="89"/>
      <c r="W224" s="89"/>
      <c r="X224" s="89"/>
      <c r="Y224" s="90">
        <v>5.0</v>
      </c>
      <c r="Z224" s="13"/>
      <c r="AA224" s="13"/>
      <c r="AB224" s="13"/>
      <c r="AC224" s="13"/>
      <c r="AD224" s="13"/>
      <c r="AE224" s="13"/>
      <c r="AF224" s="14"/>
      <c r="AG224" s="14"/>
      <c r="AH224" s="15"/>
      <c r="AI224" s="16"/>
      <c r="AJ224" s="13"/>
      <c r="AK224" s="17"/>
      <c r="AL224" s="17"/>
      <c r="AM224" s="17"/>
      <c r="AN224" s="17"/>
      <c r="AO224" s="13"/>
      <c r="AP224" s="14"/>
    </row>
    <row r="225">
      <c r="A225" s="8" t="s">
        <v>1057</v>
      </c>
      <c r="B225" s="8" t="s">
        <v>1058</v>
      </c>
      <c r="C225" s="8" t="s">
        <v>983</v>
      </c>
      <c r="D225" s="55" t="s">
        <v>984</v>
      </c>
      <c r="E225" s="8" t="s">
        <v>985</v>
      </c>
      <c r="F225" s="8" t="s">
        <v>47</v>
      </c>
      <c r="G225" s="8" t="s">
        <v>986</v>
      </c>
      <c r="H225" s="8" t="s">
        <v>987</v>
      </c>
      <c r="I225" s="8" t="s">
        <v>50</v>
      </c>
      <c r="J225" s="8" t="s">
        <v>51</v>
      </c>
      <c r="K225" s="9" t="s">
        <v>52</v>
      </c>
      <c r="L225" s="8" t="s">
        <v>53</v>
      </c>
      <c r="M225" s="8" t="s">
        <v>69</v>
      </c>
      <c r="N225" s="53" t="s">
        <v>55</v>
      </c>
      <c r="O225" s="53" t="s">
        <v>70</v>
      </c>
      <c r="P225" s="20" t="s">
        <v>381</v>
      </c>
      <c r="Q225" s="21" t="s">
        <v>111</v>
      </c>
      <c r="R225" s="20" t="s">
        <v>100</v>
      </c>
      <c r="S225" s="20" t="s">
        <v>1059</v>
      </c>
      <c r="T225" s="22">
        <v>5.7310739392E11</v>
      </c>
      <c r="U225" s="53" t="s">
        <v>75</v>
      </c>
      <c r="V225" s="11"/>
      <c r="W225" s="11"/>
      <c r="X225" s="11"/>
      <c r="Y225" s="54">
        <v>5.0</v>
      </c>
      <c r="Z225" s="13"/>
      <c r="AA225" s="13"/>
      <c r="AB225" s="13"/>
      <c r="AC225" s="13"/>
      <c r="AD225" s="13"/>
      <c r="AE225" s="13"/>
      <c r="AF225" s="14"/>
      <c r="AG225" s="14"/>
      <c r="AH225" s="15"/>
      <c r="AI225" s="16"/>
      <c r="AJ225" s="13"/>
      <c r="AK225" s="17"/>
      <c r="AL225" s="17"/>
      <c r="AM225" s="17"/>
      <c r="AN225" s="17"/>
      <c r="AO225" s="13"/>
      <c r="AP225" s="14"/>
    </row>
    <row r="226">
      <c r="A226" s="8" t="s">
        <v>1060</v>
      </c>
      <c r="B226" s="8" t="s">
        <v>1061</v>
      </c>
      <c r="C226" s="8" t="s">
        <v>872</v>
      </c>
      <c r="D226" s="8" t="s">
        <v>66</v>
      </c>
      <c r="E226" s="8" t="s">
        <v>873</v>
      </c>
      <c r="F226" s="8" t="s">
        <v>874</v>
      </c>
      <c r="G226" s="8" t="s">
        <v>359</v>
      </c>
      <c r="H226" s="8" t="s">
        <v>360</v>
      </c>
      <c r="I226" s="8" t="s">
        <v>50</v>
      </c>
      <c r="J226" s="8" t="s">
        <v>51</v>
      </c>
      <c r="K226" s="9" t="s">
        <v>52</v>
      </c>
      <c r="L226" s="8" t="s">
        <v>53</v>
      </c>
      <c r="M226" s="8" t="s">
        <v>69</v>
      </c>
      <c r="N226" s="53" t="s">
        <v>137</v>
      </c>
      <c r="O226" s="53" t="s">
        <v>70</v>
      </c>
      <c r="P226" s="20" t="s">
        <v>936</v>
      </c>
      <c r="Q226" s="21" t="s">
        <v>105</v>
      </c>
      <c r="R226" s="20" t="s">
        <v>437</v>
      </c>
      <c r="S226" s="20" t="s">
        <v>1062</v>
      </c>
      <c r="T226" s="22">
        <v>5.73015680097E11</v>
      </c>
      <c r="U226" s="53" t="s">
        <v>61</v>
      </c>
      <c r="V226" s="11"/>
      <c r="W226" s="11"/>
      <c r="X226" s="11"/>
      <c r="Y226" s="54">
        <v>5.0</v>
      </c>
      <c r="Z226" s="13"/>
      <c r="AA226" s="13"/>
      <c r="AB226" s="13"/>
      <c r="AC226" s="13"/>
      <c r="AD226" s="13"/>
      <c r="AE226" s="13"/>
      <c r="AF226" s="14"/>
      <c r="AG226" s="14"/>
      <c r="AH226" s="15"/>
      <c r="AI226" s="16"/>
      <c r="AJ226" s="13"/>
      <c r="AK226" s="17"/>
      <c r="AL226" s="17"/>
      <c r="AM226" s="17"/>
      <c r="AN226" s="17"/>
      <c r="AO226" s="13"/>
      <c r="AP226" s="14"/>
    </row>
    <row r="227">
      <c r="A227" s="84" t="s">
        <v>1063</v>
      </c>
      <c r="B227" s="84" t="s">
        <v>1064</v>
      </c>
      <c r="C227" s="84" t="s">
        <v>872</v>
      </c>
      <c r="D227" s="84" t="s">
        <v>66</v>
      </c>
      <c r="E227" s="84" t="s">
        <v>873</v>
      </c>
      <c r="F227" s="84" t="s">
        <v>874</v>
      </c>
      <c r="G227" s="84" t="s">
        <v>359</v>
      </c>
      <c r="H227" s="84" t="s">
        <v>360</v>
      </c>
      <c r="I227" s="84" t="s">
        <v>50</v>
      </c>
      <c r="J227" s="84" t="s">
        <v>51</v>
      </c>
      <c r="K227" s="85" t="s">
        <v>52</v>
      </c>
      <c r="L227" s="84" t="s">
        <v>53</v>
      </c>
      <c r="M227" s="84" t="s">
        <v>54</v>
      </c>
      <c r="N227" s="86" t="s">
        <v>85</v>
      </c>
      <c r="O227" s="86" t="s">
        <v>70</v>
      </c>
      <c r="P227" s="86" t="s">
        <v>393</v>
      </c>
      <c r="Q227" s="87" t="s">
        <v>111</v>
      </c>
      <c r="R227" s="86" t="s">
        <v>1065</v>
      </c>
      <c r="S227" s="86" t="s">
        <v>1066</v>
      </c>
      <c r="T227" s="88">
        <v>3.216949519E9</v>
      </c>
      <c r="U227" s="86" t="s">
        <v>61</v>
      </c>
      <c r="V227" s="89"/>
      <c r="W227" s="89"/>
      <c r="X227" s="89"/>
      <c r="Y227" s="90">
        <v>5.0</v>
      </c>
      <c r="Z227" s="13"/>
      <c r="AA227" s="13"/>
      <c r="AB227" s="13"/>
      <c r="AC227" s="13"/>
      <c r="AD227" s="13"/>
      <c r="AE227" s="13"/>
      <c r="AF227" s="14"/>
      <c r="AG227" s="14"/>
      <c r="AH227" s="15"/>
      <c r="AI227" s="16"/>
      <c r="AJ227" s="13"/>
      <c r="AK227" s="17"/>
      <c r="AL227" s="17"/>
      <c r="AM227" s="17"/>
      <c r="AN227" s="17"/>
      <c r="AO227" s="13"/>
      <c r="AP227" s="14"/>
    </row>
    <row r="228">
      <c r="A228" s="84" t="s">
        <v>1067</v>
      </c>
      <c r="B228" s="84" t="s">
        <v>1068</v>
      </c>
      <c r="C228" s="84" t="s">
        <v>872</v>
      </c>
      <c r="D228" s="84" t="s">
        <v>66</v>
      </c>
      <c r="E228" s="84" t="s">
        <v>873</v>
      </c>
      <c r="F228" s="84" t="s">
        <v>874</v>
      </c>
      <c r="G228" s="84" t="s">
        <v>359</v>
      </c>
      <c r="H228" s="84" t="s">
        <v>360</v>
      </c>
      <c r="I228" s="84" t="s">
        <v>50</v>
      </c>
      <c r="J228" s="84" t="s">
        <v>51</v>
      </c>
      <c r="K228" s="85" t="s">
        <v>52</v>
      </c>
      <c r="L228" s="84" t="s">
        <v>53</v>
      </c>
      <c r="M228" s="84" t="s">
        <v>69</v>
      </c>
      <c r="N228" s="86" t="s">
        <v>55</v>
      </c>
      <c r="O228" s="86" t="s">
        <v>70</v>
      </c>
      <c r="P228" s="86" t="s">
        <v>211</v>
      </c>
      <c r="Q228" s="87" t="s">
        <v>111</v>
      </c>
      <c r="R228" s="86" t="s">
        <v>154</v>
      </c>
      <c r="S228" s="86" t="s">
        <v>1069</v>
      </c>
      <c r="T228" s="88">
        <v>5.73174037936E11</v>
      </c>
      <c r="U228" s="86" t="s">
        <v>61</v>
      </c>
      <c r="V228" s="89"/>
      <c r="W228" s="89"/>
      <c r="X228" s="89"/>
      <c r="Y228" s="90">
        <v>5.0</v>
      </c>
      <c r="Z228" s="13"/>
      <c r="AA228" s="13"/>
      <c r="AB228" s="13"/>
      <c r="AC228" s="13"/>
      <c r="AD228" s="13"/>
      <c r="AE228" s="13"/>
      <c r="AF228" s="14"/>
      <c r="AG228" s="14"/>
      <c r="AH228" s="15"/>
      <c r="AI228" s="16"/>
      <c r="AJ228" s="13"/>
      <c r="AK228" s="17"/>
      <c r="AL228" s="17"/>
      <c r="AM228" s="17"/>
      <c r="AN228" s="17"/>
      <c r="AO228" s="13"/>
      <c r="AP228" s="14"/>
    </row>
    <row r="229">
      <c r="A229" s="8" t="s">
        <v>1070</v>
      </c>
      <c r="B229" s="8" t="s">
        <v>1071</v>
      </c>
      <c r="C229" s="8" t="s">
        <v>872</v>
      </c>
      <c r="D229" s="8" t="s">
        <v>66</v>
      </c>
      <c r="E229" s="8" t="s">
        <v>873</v>
      </c>
      <c r="F229" s="8" t="s">
        <v>874</v>
      </c>
      <c r="G229" s="8" t="s">
        <v>359</v>
      </c>
      <c r="H229" s="8" t="s">
        <v>360</v>
      </c>
      <c r="I229" s="8" t="s">
        <v>50</v>
      </c>
      <c r="J229" s="8" t="s">
        <v>51</v>
      </c>
      <c r="K229" s="9" t="s">
        <v>52</v>
      </c>
      <c r="L229" s="8" t="s">
        <v>53</v>
      </c>
      <c r="M229" s="8" t="s">
        <v>54</v>
      </c>
      <c r="N229" s="8" t="s">
        <v>85</v>
      </c>
      <c r="O229" s="8" t="s">
        <v>56</v>
      </c>
      <c r="P229" s="8" t="s">
        <v>1072</v>
      </c>
      <c r="Q229" s="9" t="s">
        <v>111</v>
      </c>
      <c r="R229" s="8" t="s">
        <v>173</v>
      </c>
      <c r="S229" s="8" t="s">
        <v>1073</v>
      </c>
      <c r="T229" s="10">
        <v>5.7301470523E11</v>
      </c>
      <c r="U229" s="8" t="s">
        <v>61</v>
      </c>
      <c r="V229" s="11"/>
      <c r="W229" s="11"/>
      <c r="X229" s="11"/>
      <c r="Y229" s="12" t="s">
        <v>62</v>
      </c>
      <c r="Z229" s="13"/>
      <c r="AA229" s="13"/>
      <c r="AB229" s="13"/>
      <c r="AC229" s="13"/>
      <c r="AD229" s="13"/>
      <c r="AE229" s="13"/>
      <c r="AF229" s="14"/>
      <c r="AG229" s="14"/>
      <c r="AH229" s="15"/>
      <c r="AI229" s="16"/>
      <c r="AJ229" s="13"/>
      <c r="AK229" s="17"/>
      <c r="AL229" s="17"/>
      <c r="AM229" s="17"/>
      <c r="AN229" s="17"/>
      <c r="AO229" s="13"/>
      <c r="AP229" s="14"/>
    </row>
    <row r="230">
      <c r="A230" s="8" t="s">
        <v>1074</v>
      </c>
      <c r="B230" s="8" t="s">
        <v>1075</v>
      </c>
      <c r="C230" s="8" t="s">
        <v>872</v>
      </c>
      <c r="D230" s="8" t="s">
        <v>66</v>
      </c>
      <c r="E230" s="8" t="s">
        <v>873</v>
      </c>
      <c r="F230" s="8" t="s">
        <v>874</v>
      </c>
      <c r="G230" s="8" t="s">
        <v>359</v>
      </c>
      <c r="H230" s="8" t="s">
        <v>360</v>
      </c>
      <c r="I230" s="8" t="s">
        <v>50</v>
      </c>
      <c r="J230" s="8" t="s">
        <v>51</v>
      </c>
      <c r="K230" s="9" t="s">
        <v>52</v>
      </c>
      <c r="L230" s="8" t="s">
        <v>53</v>
      </c>
      <c r="M230" s="8" t="s">
        <v>69</v>
      </c>
      <c r="N230" s="53" t="s">
        <v>85</v>
      </c>
      <c r="O230" s="53" t="s">
        <v>70</v>
      </c>
      <c r="P230" s="20" t="s">
        <v>639</v>
      </c>
      <c r="Q230" s="21" t="s">
        <v>111</v>
      </c>
      <c r="R230" s="20" t="s">
        <v>1076</v>
      </c>
      <c r="S230" s="20" t="s">
        <v>1077</v>
      </c>
      <c r="T230" s="22">
        <v>3.168347108E9</v>
      </c>
      <c r="U230" s="53" t="s">
        <v>75</v>
      </c>
      <c r="V230" s="11"/>
      <c r="W230" s="11"/>
      <c r="X230" s="11"/>
      <c r="Y230" s="54">
        <v>5.0</v>
      </c>
      <c r="Z230" s="13"/>
      <c r="AA230" s="13"/>
      <c r="AB230" s="13"/>
      <c r="AC230" s="13"/>
      <c r="AD230" s="13"/>
      <c r="AE230" s="13"/>
      <c r="AF230" s="14"/>
      <c r="AG230" s="14"/>
      <c r="AH230" s="15"/>
      <c r="AI230" s="16"/>
      <c r="AJ230" s="13"/>
      <c r="AK230" s="17"/>
      <c r="AL230" s="17"/>
      <c r="AM230" s="17"/>
      <c r="AN230" s="17"/>
      <c r="AO230" s="13"/>
      <c r="AP230" s="14"/>
    </row>
    <row r="231">
      <c r="A231" s="8" t="s">
        <v>1078</v>
      </c>
      <c r="B231" s="8" t="s">
        <v>1079</v>
      </c>
      <c r="C231" s="8" t="s">
        <v>983</v>
      </c>
      <c r="D231" s="8" t="s">
        <v>1080</v>
      </c>
      <c r="E231" s="8" t="s">
        <v>985</v>
      </c>
      <c r="F231" s="8" t="s">
        <v>47</v>
      </c>
      <c r="G231" s="8" t="s">
        <v>986</v>
      </c>
      <c r="H231" s="8" t="s">
        <v>987</v>
      </c>
      <c r="I231" s="8" t="s">
        <v>50</v>
      </c>
      <c r="J231" s="8" t="s">
        <v>51</v>
      </c>
      <c r="K231" s="9" t="s">
        <v>52</v>
      </c>
      <c r="L231" s="8" t="s">
        <v>53</v>
      </c>
      <c r="M231" s="8" t="s">
        <v>54</v>
      </c>
      <c r="N231" s="53" t="s">
        <v>85</v>
      </c>
      <c r="O231" s="53" t="s">
        <v>70</v>
      </c>
      <c r="P231" s="20" t="s">
        <v>127</v>
      </c>
      <c r="Q231" s="21" t="s">
        <v>58</v>
      </c>
      <c r="R231" s="20" t="s">
        <v>173</v>
      </c>
      <c r="S231" s="20" t="s">
        <v>1081</v>
      </c>
      <c r="T231" s="22">
        <v>5.73218095916E11</v>
      </c>
      <c r="U231" s="53" t="s">
        <v>61</v>
      </c>
      <c r="V231" s="11"/>
      <c r="W231" s="11"/>
      <c r="X231" s="11"/>
      <c r="Y231" s="54">
        <v>5.0</v>
      </c>
      <c r="Z231" s="28"/>
      <c r="AA231" s="28"/>
      <c r="AB231" s="28"/>
      <c r="AC231" s="28"/>
      <c r="AD231" s="28"/>
      <c r="AE231" s="28"/>
      <c r="AF231" s="29"/>
      <c r="AG231" s="29"/>
      <c r="AH231" s="30"/>
      <c r="AI231" s="31"/>
      <c r="AJ231" s="28"/>
      <c r="AK231" s="32"/>
      <c r="AL231" s="32"/>
      <c r="AM231" s="32"/>
      <c r="AN231" s="32"/>
      <c r="AO231" s="28"/>
      <c r="AP231" s="29"/>
    </row>
    <row r="232">
      <c r="A232" s="8" t="s">
        <v>1082</v>
      </c>
      <c r="B232" s="8" t="s">
        <v>1083</v>
      </c>
      <c r="C232" s="8" t="s">
        <v>983</v>
      </c>
      <c r="D232" s="8" t="s">
        <v>1080</v>
      </c>
      <c r="E232" s="8" t="s">
        <v>985</v>
      </c>
      <c r="F232" s="8" t="s">
        <v>47</v>
      </c>
      <c r="G232" s="8" t="s">
        <v>986</v>
      </c>
      <c r="H232" s="8" t="s">
        <v>987</v>
      </c>
      <c r="I232" s="8" t="s">
        <v>50</v>
      </c>
      <c r="J232" s="8" t="s">
        <v>51</v>
      </c>
      <c r="K232" s="9" t="s">
        <v>52</v>
      </c>
      <c r="L232" s="8" t="s">
        <v>53</v>
      </c>
      <c r="M232" s="8" t="s">
        <v>69</v>
      </c>
      <c r="N232" s="53" t="s">
        <v>55</v>
      </c>
      <c r="O232" s="53" t="s">
        <v>70</v>
      </c>
      <c r="P232" s="20" t="s">
        <v>1084</v>
      </c>
      <c r="Q232" s="21" t="s">
        <v>111</v>
      </c>
      <c r="R232" s="20" t="s">
        <v>918</v>
      </c>
      <c r="S232" s="20" t="s">
        <v>1085</v>
      </c>
      <c r="T232" s="22">
        <v>5.73146937575E11</v>
      </c>
      <c r="U232" s="53" t="s">
        <v>61</v>
      </c>
      <c r="V232" s="11"/>
      <c r="W232" s="11"/>
      <c r="X232" s="11"/>
      <c r="Y232" s="54">
        <v>5.0</v>
      </c>
      <c r="Z232" s="13"/>
      <c r="AA232" s="13"/>
      <c r="AB232" s="13"/>
      <c r="AC232" s="13"/>
      <c r="AD232" s="13"/>
      <c r="AE232" s="13"/>
      <c r="AF232" s="14"/>
      <c r="AG232" s="14"/>
      <c r="AH232" s="15"/>
      <c r="AI232" s="16"/>
      <c r="AJ232" s="13"/>
      <c r="AK232" s="17"/>
      <c r="AL232" s="17"/>
      <c r="AM232" s="17"/>
      <c r="AN232" s="17"/>
      <c r="AO232" s="13"/>
      <c r="AP232" s="14"/>
    </row>
    <row r="233">
      <c r="A233" s="84" t="s">
        <v>1086</v>
      </c>
      <c r="B233" s="84" t="s">
        <v>1087</v>
      </c>
      <c r="C233" s="84" t="s">
        <v>983</v>
      </c>
      <c r="D233" s="84" t="s">
        <v>1080</v>
      </c>
      <c r="E233" s="84" t="s">
        <v>985</v>
      </c>
      <c r="F233" s="84" t="s">
        <v>47</v>
      </c>
      <c r="G233" s="84" t="s">
        <v>986</v>
      </c>
      <c r="H233" s="84" t="s">
        <v>987</v>
      </c>
      <c r="I233" s="84" t="s">
        <v>50</v>
      </c>
      <c r="J233" s="84" t="s">
        <v>51</v>
      </c>
      <c r="K233" s="85" t="s">
        <v>52</v>
      </c>
      <c r="L233" s="84" t="s">
        <v>53</v>
      </c>
      <c r="M233" s="84" t="s">
        <v>69</v>
      </c>
      <c r="N233" s="86" t="s">
        <v>137</v>
      </c>
      <c r="O233" s="86" t="s">
        <v>70</v>
      </c>
      <c r="P233" s="86" t="s">
        <v>141</v>
      </c>
      <c r="Q233" s="87" t="s">
        <v>111</v>
      </c>
      <c r="R233" s="86" t="s">
        <v>914</v>
      </c>
      <c r="S233" s="86" t="s">
        <v>1088</v>
      </c>
      <c r="T233" s="88">
        <v>3.178658786E9</v>
      </c>
      <c r="U233" s="86" t="s">
        <v>75</v>
      </c>
      <c r="V233" s="89"/>
      <c r="W233" s="89"/>
      <c r="X233" s="89"/>
      <c r="Y233" s="90">
        <v>5.0</v>
      </c>
      <c r="Z233" s="13"/>
      <c r="AA233" s="13"/>
      <c r="AB233" s="13"/>
      <c r="AC233" s="13"/>
      <c r="AD233" s="13"/>
      <c r="AE233" s="13"/>
      <c r="AF233" s="14"/>
      <c r="AG233" s="14"/>
      <c r="AH233" s="15"/>
      <c r="AI233" s="16"/>
      <c r="AJ233" s="13"/>
      <c r="AK233" s="17"/>
      <c r="AL233" s="17"/>
      <c r="AM233" s="17"/>
      <c r="AN233" s="17"/>
      <c r="AO233" s="13"/>
      <c r="AP233" s="14"/>
    </row>
    <row r="234">
      <c r="A234" s="8" t="s">
        <v>1089</v>
      </c>
      <c r="B234" s="8" t="s">
        <v>1090</v>
      </c>
      <c r="C234" s="8" t="s">
        <v>983</v>
      </c>
      <c r="D234" s="8" t="s">
        <v>1080</v>
      </c>
      <c r="E234" s="8" t="s">
        <v>985</v>
      </c>
      <c r="F234" s="8" t="s">
        <v>47</v>
      </c>
      <c r="G234" s="8" t="s">
        <v>986</v>
      </c>
      <c r="H234" s="8" t="s">
        <v>987</v>
      </c>
      <c r="I234" s="8" t="s">
        <v>50</v>
      </c>
      <c r="J234" s="8" t="s">
        <v>51</v>
      </c>
      <c r="K234" s="9" t="s">
        <v>52</v>
      </c>
      <c r="L234" s="8" t="s">
        <v>53</v>
      </c>
      <c r="M234" s="8" t="s">
        <v>69</v>
      </c>
      <c r="N234" s="53" t="s">
        <v>137</v>
      </c>
      <c r="O234" s="53" t="s">
        <v>70</v>
      </c>
      <c r="P234" s="20" t="s">
        <v>110</v>
      </c>
      <c r="Q234" s="21" t="s">
        <v>111</v>
      </c>
      <c r="R234" s="20" t="s">
        <v>173</v>
      </c>
      <c r="S234" s="20" t="s">
        <v>1091</v>
      </c>
      <c r="T234" s="22">
        <v>5.73185973059E11</v>
      </c>
      <c r="U234" s="53" t="s">
        <v>61</v>
      </c>
      <c r="V234" s="11"/>
      <c r="W234" s="11"/>
      <c r="X234" s="11"/>
      <c r="Y234" s="54">
        <v>5.0</v>
      </c>
      <c r="Z234" s="13"/>
      <c r="AA234" s="13"/>
      <c r="AB234" s="13"/>
      <c r="AC234" s="13"/>
      <c r="AD234" s="13"/>
      <c r="AE234" s="13"/>
      <c r="AF234" s="14"/>
      <c r="AG234" s="14"/>
      <c r="AH234" s="15"/>
      <c r="AI234" s="16"/>
      <c r="AJ234" s="13"/>
      <c r="AK234" s="17"/>
      <c r="AL234" s="17"/>
      <c r="AM234" s="17"/>
      <c r="AN234" s="17"/>
      <c r="AO234" s="13"/>
      <c r="AP234" s="14"/>
    </row>
    <row r="235">
      <c r="A235" s="8" t="s">
        <v>1092</v>
      </c>
      <c r="B235" s="8" t="s">
        <v>1093</v>
      </c>
      <c r="C235" s="8" t="s">
        <v>983</v>
      </c>
      <c r="D235" s="8" t="s">
        <v>1080</v>
      </c>
      <c r="E235" s="8" t="s">
        <v>985</v>
      </c>
      <c r="F235" s="8" t="s">
        <v>47</v>
      </c>
      <c r="G235" s="8" t="s">
        <v>986</v>
      </c>
      <c r="H235" s="8" t="s">
        <v>987</v>
      </c>
      <c r="I235" s="8" t="s">
        <v>50</v>
      </c>
      <c r="J235" s="8" t="s">
        <v>51</v>
      </c>
      <c r="K235" s="9" t="s">
        <v>52</v>
      </c>
      <c r="L235" s="8" t="s">
        <v>53</v>
      </c>
      <c r="M235" s="8" t="s">
        <v>69</v>
      </c>
      <c r="N235" s="53" t="s">
        <v>55</v>
      </c>
      <c r="O235" s="53" t="s">
        <v>70</v>
      </c>
      <c r="P235" s="20" t="s">
        <v>308</v>
      </c>
      <c r="Q235" s="21" t="s">
        <v>111</v>
      </c>
      <c r="R235" s="20" t="s">
        <v>100</v>
      </c>
      <c r="S235" s="20" t="s">
        <v>1094</v>
      </c>
      <c r="T235" s="22">
        <v>5.73132974348E11</v>
      </c>
      <c r="U235" s="53" t="s">
        <v>61</v>
      </c>
      <c r="V235" s="11"/>
      <c r="W235" s="11"/>
      <c r="X235" s="11"/>
      <c r="Y235" s="54">
        <v>5.0</v>
      </c>
      <c r="Z235" s="28"/>
      <c r="AA235" s="28"/>
      <c r="AB235" s="28"/>
      <c r="AC235" s="28"/>
      <c r="AD235" s="28"/>
      <c r="AE235" s="28"/>
      <c r="AF235" s="29"/>
      <c r="AG235" s="29"/>
      <c r="AH235" s="30"/>
      <c r="AI235" s="31"/>
      <c r="AJ235" s="28"/>
      <c r="AK235" s="32"/>
      <c r="AL235" s="32"/>
      <c r="AM235" s="32"/>
      <c r="AN235" s="32"/>
      <c r="AO235" s="28"/>
      <c r="AP235" s="29"/>
    </row>
    <row r="236">
      <c r="A236" s="8" t="s">
        <v>1095</v>
      </c>
      <c r="B236" s="8" t="s">
        <v>1096</v>
      </c>
      <c r="C236" s="8" t="s">
        <v>983</v>
      </c>
      <c r="D236" s="8" t="s">
        <v>1080</v>
      </c>
      <c r="E236" s="8" t="s">
        <v>985</v>
      </c>
      <c r="F236" s="8" t="s">
        <v>47</v>
      </c>
      <c r="G236" s="8" t="s">
        <v>986</v>
      </c>
      <c r="H236" s="8" t="s">
        <v>987</v>
      </c>
      <c r="I236" s="8" t="s">
        <v>50</v>
      </c>
      <c r="J236" s="8" t="s">
        <v>51</v>
      </c>
      <c r="K236" s="9" t="s">
        <v>52</v>
      </c>
      <c r="L236" s="8" t="s">
        <v>53</v>
      </c>
      <c r="M236" s="8" t="s">
        <v>54</v>
      </c>
      <c r="N236" s="53" t="s">
        <v>55</v>
      </c>
      <c r="O236" s="53" t="s">
        <v>70</v>
      </c>
      <c r="P236" s="20" t="s">
        <v>255</v>
      </c>
      <c r="Q236" s="21" t="s">
        <v>1097</v>
      </c>
      <c r="R236" s="20" t="s">
        <v>1098</v>
      </c>
      <c r="S236" s="20" t="s">
        <v>1099</v>
      </c>
      <c r="T236" s="22">
        <v>5.73117816934E11</v>
      </c>
      <c r="U236" s="20" t="s">
        <v>75</v>
      </c>
      <c r="V236" s="11"/>
      <c r="W236" s="11"/>
      <c r="X236" s="11"/>
      <c r="Y236" s="54">
        <v>5.0</v>
      </c>
      <c r="Z236" s="28"/>
      <c r="AA236" s="28"/>
      <c r="AB236" s="28"/>
      <c r="AC236" s="28"/>
      <c r="AD236" s="28"/>
      <c r="AE236" s="28"/>
      <c r="AF236" s="29"/>
      <c r="AG236" s="29"/>
      <c r="AH236" s="30"/>
      <c r="AI236" s="31"/>
      <c r="AJ236" s="28"/>
      <c r="AK236" s="32"/>
      <c r="AL236" s="32"/>
      <c r="AM236" s="32"/>
      <c r="AN236" s="32"/>
      <c r="AO236" s="28"/>
      <c r="AP236" s="29"/>
    </row>
    <row r="237">
      <c r="A237" s="8" t="s">
        <v>1100</v>
      </c>
      <c r="B237" s="8" t="s">
        <v>1101</v>
      </c>
      <c r="C237" s="8" t="s">
        <v>872</v>
      </c>
      <c r="D237" s="8" t="s">
        <v>66</v>
      </c>
      <c r="E237" s="8" t="s">
        <v>873</v>
      </c>
      <c r="F237" s="8" t="s">
        <v>874</v>
      </c>
      <c r="G237" s="8" t="s">
        <v>359</v>
      </c>
      <c r="H237" s="8" t="s">
        <v>360</v>
      </c>
      <c r="I237" s="8" t="s">
        <v>50</v>
      </c>
      <c r="J237" s="8" t="s">
        <v>51</v>
      </c>
      <c r="K237" s="9" t="s">
        <v>52</v>
      </c>
      <c r="L237" s="8" t="s">
        <v>53</v>
      </c>
      <c r="M237" s="8" t="s">
        <v>54</v>
      </c>
      <c r="N237" s="53" t="s">
        <v>85</v>
      </c>
      <c r="O237" s="53" t="s">
        <v>70</v>
      </c>
      <c r="P237" s="96" t="s">
        <v>1102</v>
      </c>
      <c r="Q237" s="97" t="s">
        <v>111</v>
      </c>
      <c r="R237" s="97" t="s">
        <v>1103</v>
      </c>
      <c r="S237" s="96" t="s">
        <v>1104</v>
      </c>
      <c r="T237" s="98">
        <v>3.102087326E9</v>
      </c>
      <c r="U237" s="96" t="s">
        <v>75</v>
      </c>
      <c r="V237" s="11"/>
      <c r="W237" s="11"/>
      <c r="X237" s="11"/>
      <c r="Y237" s="54">
        <v>5.0</v>
      </c>
      <c r="Z237" s="28"/>
      <c r="AA237" s="28"/>
      <c r="AB237" s="28"/>
      <c r="AC237" s="28"/>
      <c r="AD237" s="28"/>
      <c r="AE237" s="28"/>
      <c r="AF237" s="29"/>
      <c r="AG237" s="29"/>
      <c r="AH237" s="30"/>
      <c r="AI237" s="31"/>
      <c r="AJ237" s="28"/>
      <c r="AK237" s="32"/>
      <c r="AL237" s="32"/>
      <c r="AM237" s="32"/>
      <c r="AN237" s="32"/>
      <c r="AO237" s="28"/>
      <c r="AP237" s="29"/>
    </row>
    <row r="238">
      <c r="A238" s="84" t="s">
        <v>1105</v>
      </c>
      <c r="B238" s="84" t="s">
        <v>1106</v>
      </c>
      <c r="C238" s="84" t="s">
        <v>983</v>
      </c>
      <c r="D238" s="84" t="s">
        <v>1080</v>
      </c>
      <c r="E238" s="84" t="s">
        <v>985</v>
      </c>
      <c r="F238" s="84" t="s">
        <v>47</v>
      </c>
      <c r="G238" s="84" t="s">
        <v>986</v>
      </c>
      <c r="H238" s="84" t="s">
        <v>987</v>
      </c>
      <c r="I238" s="84" t="s">
        <v>50</v>
      </c>
      <c r="J238" s="84" t="s">
        <v>51</v>
      </c>
      <c r="K238" s="85" t="s">
        <v>52</v>
      </c>
      <c r="L238" s="84" t="s">
        <v>53</v>
      </c>
      <c r="M238" s="84" t="s">
        <v>54</v>
      </c>
      <c r="N238" s="86" t="s">
        <v>55</v>
      </c>
      <c r="O238" s="86" t="s">
        <v>70</v>
      </c>
      <c r="P238" s="86" t="s">
        <v>104</v>
      </c>
      <c r="Q238" s="87" t="s">
        <v>94</v>
      </c>
      <c r="R238" s="86" t="s">
        <v>1107</v>
      </c>
      <c r="S238" s="86" t="s">
        <v>1108</v>
      </c>
      <c r="T238" s="88">
        <v>5.73006904948E11</v>
      </c>
      <c r="U238" s="86" t="s">
        <v>61</v>
      </c>
      <c r="V238" s="89"/>
      <c r="W238" s="89"/>
      <c r="X238" s="89"/>
      <c r="Y238" s="90">
        <v>5.0</v>
      </c>
      <c r="Z238" s="28"/>
      <c r="AA238" s="28"/>
      <c r="AB238" s="28"/>
      <c r="AC238" s="28"/>
      <c r="AD238" s="28"/>
      <c r="AE238" s="28"/>
      <c r="AF238" s="29"/>
      <c r="AG238" s="29"/>
      <c r="AH238" s="30"/>
      <c r="AI238" s="31"/>
      <c r="AJ238" s="28"/>
      <c r="AK238" s="32"/>
      <c r="AL238" s="32"/>
      <c r="AM238" s="32"/>
      <c r="AN238" s="32"/>
      <c r="AO238" s="28"/>
      <c r="AP238" s="29"/>
    </row>
    <row r="239">
      <c r="A239" s="8" t="s">
        <v>1109</v>
      </c>
      <c r="B239" s="8" t="s">
        <v>1110</v>
      </c>
      <c r="C239" s="8" t="s">
        <v>872</v>
      </c>
      <c r="D239" s="8" t="s">
        <v>66</v>
      </c>
      <c r="E239" s="8" t="s">
        <v>873</v>
      </c>
      <c r="F239" s="8" t="s">
        <v>874</v>
      </c>
      <c r="G239" s="8" t="s">
        <v>359</v>
      </c>
      <c r="H239" s="8" t="s">
        <v>360</v>
      </c>
      <c r="I239" s="8" t="s">
        <v>50</v>
      </c>
      <c r="J239" s="8" t="s">
        <v>51</v>
      </c>
      <c r="K239" s="9" t="s">
        <v>52</v>
      </c>
      <c r="L239" s="8" t="s">
        <v>53</v>
      </c>
      <c r="M239" s="8" t="s">
        <v>54</v>
      </c>
      <c r="N239" s="53" t="s">
        <v>137</v>
      </c>
      <c r="O239" s="53" t="s">
        <v>70</v>
      </c>
      <c r="P239" s="20" t="s">
        <v>232</v>
      </c>
      <c r="Q239" s="21" t="s">
        <v>147</v>
      </c>
      <c r="R239" s="20" t="s">
        <v>458</v>
      </c>
      <c r="S239" s="20" t="s">
        <v>1111</v>
      </c>
      <c r="T239" s="22">
        <v>5.73105501861E11</v>
      </c>
      <c r="U239" s="53" t="s">
        <v>61</v>
      </c>
      <c r="V239" s="11"/>
      <c r="W239" s="11"/>
      <c r="X239" s="11"/>
      <c r="Y239" s="54">
        <v>5.0</v>
      </c>
      <c r="Z239" s="28"/>
      <c r="AA239" s="28"/>
      <c r="AB239" s="28"/>
      <c r="AC239" s="28"/>
      <c r="AD239" s="28"/>
      <c r="AE239" s="28"/>
      <c r="AF239" s="29"/>
      <c r="AG239" s="29"/>
      <c r="AH239" s="30"/>
      <c r="AI239" s="31"/>
      <c r="AJ239" s="28"/>
      <c r="AK239" s="32"/>
      <c r="AL239" s="32"/>
      <c r="AM239" s="32"/>
      <c r="AN239" s="32"/>
      <c r="AO239" s="28"/>
      <c r="AP239" s="29"/>
    </row>
    <row r="240">
      <c r="A240" s="8" t="s">
        <v>1112</v>
      </c>
      <c r="B240" s="8" t="s">
        <v>1113</v>
      </c>
      <c r="C240" s="8" t="s">
        <v>872</v>
      </c>
      <c r="D240" s="8" t="s">
        <v>66</v>
      </c>
      <c r="E240" s="8" t="s">
        <v>873</v>
      </c>
      <c r="F240" s="8" t="s">
        <v>874</v>
      </c>
      <c r="G240" s="8" t="s">
        <v>359</v>
      </c>
      <c r="H240" s="8" t="s">
        <v>360</v>
      </c>
      <c r="I240" s="8" t="s">
        <v>50</v>
      </c>
      <c r="J240" s="8" t="s">
        <v>51</v>
      </c>
      <c r="K240" s="9" t="s">
        <v>52</v>
      </c>
      <c r="L240" s="8" t="s">
        <v>53</v>
      </c>
      <c r="M240" s="8" t="s">
        <v>54</v>
      </c>
      <c r="N240" s="53" t="s">
        <v>55</v>
      </c>
      <c r="O240" s="53" t="s">
        <v>70</v>
      </c>
      <c r="P240" s="20" t="s">
        <v>232</v>
      </c>
      <c r="Q240" s="21" t="s">
        <v>487</v>
      </c>
      <c r="R240" s="20" t="s">
        <v>189</v>
      </c>
      <c r="S240" s="20" t="s">
        <v>1114</v>
      </c>
      <c r="T240" s="22">
        <v>5.7312557262E11</v>
      </c>
      <c r="U240" s="53" t="s">
        <v>75</v>
      </c>
      <c r="V240" s="11"/>
      <c r="W240" s="11"/>
      <c r="X240" s="11"/>
      <c r="Y240" s="54">
        <v>5.0</v>
      </c>
      <c r="Z240" s="34"/>
      <c r="AA240" s="34"/>
      <c r="AB240" s="34"/>
      <c r="AC240" s="34"/>
      <c r="AD240" s="34"/>
      <c r="AE240" s="34"/>
      <c r="AF240" s="35"/>
      <c r="AG240" s="35"/>
      <c r="AH240" s="36"/>
      <c r="AI240" s="37"/>
      <c r="AJ240" s="34"/>
      <c r="AK240" s="38"/>
      <c r="AL240" s="38"/>
      <c r="AM240" s="38"/>
      <c r="AN240" s="38"/>
      <c r="AO240" s="34"/>
      <c r="AP240" s="35"/>
    </row>
    <row r="241">
      <c r="A241" s="8" t="s">
        <v>1115</v>
      </c>
      <c r="B241" s="8" t="s">
        <v>1116</v>
      </c>
      <c r="C241" s="8" t="s">
        <v>872</v>
      </c>
      <c r="D241" s="8" t="s">
        <v>66</v>
      </c>
      <c r="E241" s="8" t="s">
        <v>873</v>
      </c>
      <c r="F241" s="8" t="s">
        <v>874</v>
      </c>
      <c r="G241" s="8" t="s">
        <v>359</v>
      </c>
      <c r="H241" s="8" t="s">
        <v>360</v>
      </c>
      <c r="I241" s="8" t="s">
        <v>50</v>
      </c>
      <c r="J241" s="8" t="s">
        <v>51</v>
      </c>
      <c r="K241" s="9" t="s">
        <v>52</v>
      </c>
      <c r="L241" s="8" t="s">
        <v>53</v>
      </c>
      <c r="M241" s="8" t="s">
        <v>54</v>
      </c>
      <c r="N241" s="53" t="s">
        <v>55</v>
      </c>
      <c r="O241" s="53" t="s">
        <v>70</v>
      </c>
      <c r="P241" s="20" t="s">
        <v>141</v>
      </c>
      <c r="Q241" s="21" t="s">
        <v>183</v>
      </c>
      <c r="R241" s="20" t="s">
        <v>1117</v>
      </c>
      <c r="S241" s="20" t="s">
        <v>1118</v>
      </c>
      <c r="T241" s="22">
        <v>5.73008184818E11</v>
      </c>
      <c r="U241" s="53" t="s">
        <v>681</v>
      </c>
      <c r="V241" s="11"/>
      <c r="W241" s="11"/>
      <c r="X241" s="11"/>
      <c r="Y241" s="54">
        <v>5.0</v>
      </c>
      <c r="Z241" s="28"/>
      <c r="AA241" s="28"/>
      <c r="AB241" s="28"/>
      <c r="AC241" s="28"/>
      <c r="AD241" s="28"/>
      <c r="AE241" s="28"/>
      <c r="AF241" s="29"/>
      <c r="AG241" s="29"/>
      <c r="AH241" s="30"/>
      <c r="AI241" s="31"/>
      <c r="AJ241" s="28"/>
      <c r="AK241" s="32"/>
      <c r="AL241" s="32"/>
      <c r="AM241" s="32"/>
      <c r="AN241" s="32"/>
      <c r="AO241" s="28"/>
      <c r="AP241" s="29"/>
    </row>
    <row r="242">
      <c r="A242" s="8" t="s">
        <v>1119</v>
      </c>
      <c r="B242" s="8" t="s">
        <v>1120</v>
      </c>
      <c r="C242" s="8" t="s">
        <v>872</v>
      </c>
      <c r="D242" s="8" t="s">
        <v>66</v>
      </c>
      <c r="E242" s="8" t="s">
        <v>873</v>
      </c>
      <c r="F242" s="8" t="s">
        <v>874</v>
      </c>
      <c r="G242" s="8" t="s">
        <v>359</v>
      </c>
      <c r="H242" s="8" t="s">
        <v>360</v>
      </c>
      <c r="I242" s="8" t="s">
        <v>50</v>
      </c>
      <c r="J242" s="8" t="s">
        <v>51</v>
      </c>
      <c r="K242" s="9" t="s">
        <v>52</v>
      </c>
      <c r="L242" s="8" t="s">
        <v>53</v>
      </c>
      <c r="M242" s="8" t="s">
        <v>54</v>
      </c>
      <c r="N242" s="8" t="s">
        <v>55</v>
      </c>
      <c r="O242" s="8" t="s">
        <v>86</v>
      </c>
      <c r="P242" s="8" t="s">
        <v>1121</v>
      </c>
      <c r="Q242" s="9" t="s">
        <v>58</v>
      </c>
      <c r="R242" s="8" t="s">
        <v>73</v>
      </c>
      <c r="S242" s="8" t="s">
        <v>1122</v>
      </c>
      <c r="T242" s="10">
        <v>5.73118656102E11</v>
      </c>
      <c r="U242" s="8" t="s">
        <v>75</v>
      </c>
      <c r="V242" s="11"/>
      <c r="W242" s="11"/>
      <c r="X242" s="11"/>
      <c r="Y242" s="33">
        <v>45779.0</v>
      </c>
      <c r="Z242" s="13"/>
      <c r="AA242" s="13"/>
      <c r="AB242" s="13"/>
      <c r="AC242" s="13"/>
      <c r="AD242" s="13"/>
      <c r="AE242" s="13"/>
      <c r="AF242" s="14"/>
      <c r="AG242" s="14"/>
      <c r="AH242" s="15"/>
      <c r="AI242" s="16"/>
      <c r="AJ242" s="13"/>
      <c r="AK242" s="17"/>
      <c r="AL242" s="17"/>
      <c r="AM242" s="17"/>
      <c r="AN242" s="17"/>
      <c r="AO242" s="13"/>
      <c r="AP242" s="14"/>
    </row>
    <row r="243">
      <c r="A243" s="8" t="s">
        <v>1123</v>
      </c>
      <c r="B243" s="8" t="s">
        <v>1124</v>
      </c>
      <c r="C243" s="8" t="s">
        <v>983</v>
      </c>
      <c r="D243" s="8" t="s">
        <v>1080</v>
      </c>
      <c r="E243" s="8" t="s">
        <v>985</v>
      </c>
      <c r="F243" s="8" t="s">
        <v>47</v>
      </c>
      <c r="G243" s="8" t="s">
        <v>986</v>
      </c>
      <c r="H243" s="8" t="s">
        <v>987</v>
      </c>
      <c r="I243" s="8" t="s">
        <v>50</v>
      </c>
      <c r="J243" s="8" t="s">
        <v>51</v>
      </c>
      <c r="K243" s="9" t="s">
        <v>52</v>
      </c>
      <c r="L243" s="8" t="s">
        <v>53</v>
      </c>
      <c r="M243" s="8" t="s">
        <v>69</v>
      </c>
      <c r="N243" s="53" t="s">
        <v>137</v>
      </c>
      <c r="O243" s="53" t="s">
        <v>70</v>
      </c>
      <c r="P243" s="20" t="s">
        <v>500</v>
      </c>
      <c r="Q243" s="21" t="s">
        <v>111</v>
      </c>
      <c r="R243" s="20" t="s">
        <v>466</v>
      </c>
      <c r="S243" s="20" t="s">
        <v>1125</v>
      </c>
      <c r="T243" s="22">
        <v>5.73154430281E11</v>
      </c>
      <c r="U243" s="53" t="s">
        <v>75</v>
      </c>
      <c r="V243" s="11"/>
      <c r="W243" s="11"/>
      <c r="X243" s="11"/>
      <c r="Y243" s="54">
        <v>5.0</v>
      </c>
      <c r="Z243" s="13"/>
      <c r="AA243" s="13"/>
      <c r="AB243" s="13"/>
      <c r="AC243" s="13"/>
      <c r="AD243" s="13"/>
      <c r="AE243" s="13"/>
      <c r="AF243" s="14"/>
      <c r="AG243" s="14"/>
      <c r="AH243" s="15"/>
      <c r="AI243" s="16"/>
      <c r="AJ243" s="13"/>
      <c r="AK243" s="17"/>
      <c r="AL243" s="17"/>
      <c r="AM243" s="17"/>
      <c r="AN243" s="17"/>
      <c r="AO243" s="13"/>
      <c r="AP243" s="14"/>
    </row>
    <row r="244">
      <c r="A244" s="8" t="s">
        <v>1126</v>
      </c>
      <c r="B244" s="8" t="s">
        <v>1127</v>
      </c>
      <c r="C244" s="8" t="s">
        <v>872</v>
      </c>
      <c r="D244" s="8" t="s">
        <v>66</v>
      </c>
      <c r="E244" s="8" t="s">
        <v>873</v>
      </c>
      <c r="F244" s="8" t="s">
        <v>874</v>
      </c>
      <c r="G244" s="8" t="s">
        <v>359</v>
      </c>
      <c r="H244" s="8" t="s">
        <v>360</v>
      </c>
      <c r="I244" s="8" t="s">
        <v>50</v>
      </c>
      <c r="J244" s="8" t="s">
        <v>51</v>
      </c>
      <c r="K244" s="9" t="s">
        <v>52</v>
      </c>
      <c r="L244" s="8" t="s">
        <v>53</v>
      </c>
      <c r="M244" s="8" t="s">
        <v>69</v>
      </c>
      <c r="N244" s="53" t="s">
        <v>55</v>
      </c>
      <c r="O244" s="53" t="s">
        <v>70</v>
      </c>
      <c r="P244" s="20" t="s">
        <v>211</v>
      </c>
      <c r="Q244" s="21" t="s">
        <v>111</v>
      </c>
      <c r="R244" s="20" t="s">
        <v>1128</v>
      </c>
      <c r="S244" s="20" t="s">
        <v>1129</v>
      </c>
      <c r="T244" s="22">
        <v>5.73222706099E11</v>
      </c>
      <c r="U244" s="53" t="s">
        <v>61</v>
      </c>
      <c r="V244" s="11"/>
      <c r="W244" s="11"/>
      <c r="X244" s="11"/>
      <c r="Y244" s="54">
        <v>5.0</v>
      </c>
      <c r="Z244" s="28"/>
      <c r="AA244" s="28"/>
      <c r="AB244" s="28"/>
      <c r="AC244" s="28"/>
      <c r="AD244" s="28"/>
      <c r="AE244" s="28"/>
      <c r="AF244" s="29"/>
      <c r="AG244" s="29"/>
      <c r="AH244" s="30"/>
      <c r="AI244" s="31"/>
      <c r="AJ244" s="28"/>
      <c r="AK244" s="32"/>
      <c r="AL244" s="32"/>
      <c r="AM244" s="32"/>
      <c r="AN244" s="32"/>
      <c r="AO244" s="28"/>
      <c r="AP244" s="29"/>
    </row>
    <row r="245">
      <c r="A245" s="8" t="s">
        <v>1130</v>
      </c>
      <c r="B245" s="8" t="s">
        <v>1131</v>
      </c>
      <c r="C245" s="8" t="s">
        <v>872</v>
      </c>
      <c r="D245" s="8" t="s">
        <v>66</v>
      </c>
      <c r="E245" s="8" t="s">
        <v>873</v>
      </c>
      <c r="F245" s="8" t="s">
        <v>874</v>
      </c>
      <c r="G245" s="8" t="s">
        <v>359</v>
      </c>
      <c r="H245" s="8" t="s">
        <v>360</v>
      </c>
      <c r="I245" s="8" t="s">
        <v>50</v>
      </c>
      <c r="J245" s="8" t="s">
        <v>51</v>
      </c>
      <c r="K245" s="9" t="s">
        <v>52</v>
      </c>
      <c r="L245" s="8" t="s">
        <v>53</v>
      </c>
      <c r="M245" s="8" t="s">
        <v>54</v>
      </c>
      <c r="N245" s="53" t="s">
        <v>55</v>
      </c>
      <c r="O245" s="53" t="s">
        <v>70</v>
      </c>
      <c r="P245" s="20" t="s">
        <v>1132</v>
      </c>
      <c r="Q245" s="21" t="s">
        <v>94</v>
      </c>
      <c r="R245" s="20" t="s">
        <v>73</v>
      </c>
      <c r="S245" s="20" t="s">
        <v>1133</v>
      </c>
      <c r="T245" s="22">
        <v>5.73146284423E11</v>
      </c>
      <c r="U245" s="53" t="s">
        <v>75</v>
      </c>
      <c r="V245" s="11"/>
      <c r="W245" s="11"/>
      <c r="X245" s="11"/>
      <c r="Y245" s="54">
        <v>5.0</v>
      </c>
      <c r="Z245" s="28"/>
      <c r="AA245" s="28"/>
      <c r="AB245" s="28"/>
      <c r="AC245" s="28"/>
      <c r="AD245" s="28"/>
      <c r="AE245" s="28"/>
      <c r="AF245" s="29"/>
      <c r="AG245" s="29"/>
      <c r="AH245" s="30"/>
      <c r="AI245" s="31"/>
      <c r="AJ245" s="28"/>
      <c r="AK245" s="32"/>
      <c r="AL245" s="32"/>
      <c r="AM245" s="32"/>
      <c r="AN245" s="32"/>
      <c r="AO245" s="28"/>
      <c r="AP245" s="29"/>
    </row>
    <row r="246">
      <c r="A246" s="8" t="s">
        <v>1134</v>
      </c>
      <c r="B246" s="8" t="s">
        <v>1135</v>
      </c>
      <c r="C246" s="8" t="s">
        <v>983</v>
      </c>
      <c r="D246" s="8" t="s">
        <v>1080</v>
      </c>
      <c r="E246" s="8" t="s">
        <v>985</v>
      </c>
      <c r="F246" s="8" t="s">
        <v>47</v>
      </c>
      <c r="G246" s="8" t="s">
        <v>986</v>
      </c>
      <c r="H246" s="8" t="s">
        <v>987</v>
      </c>
      <c r="I246" s="8" t="s">
        <v>50</v>
      </c>
      <c r="J246" s="8" t="s">
        <v>51</v>
      </c>
      <c r="K246" s="9" t="s">
        <v>52</v>
      </c>
      <c r="L246" s="8" t="s">
        <v>53</v>
      </c>
      <c r="M246" s="8" t="s">
        <v>54</v>
      </c>
      <c r="N246" s="8" t="s">
        <v>85</v>
      </c>
      <c r="O246" s="8" t="s">
        <v>56</v>
      </c>
      <c r="P246" s="8" t="s">
        <v>1136</v>
      </c>
      <c r="Q246" s="9" t="s">
        <v>111</v>
      </c>
      <c r="R246" s="8" t="s">
        <v>1137</v>
      </c>
      <c r="S246" s="8" t="s">
        <v>1138</v>
      </c>
      <c r="T246" s="10">
        <v>5.73015345595E11</v>
      </c>
      <c r="U246" s="8" t="s">
        <v>75</v>
      </c>
      <c r="V246" s="11"/>
      <c r="W246" s="11"/>
      <c r="X246" s="11"/>
      <c r="Y246" s="12" t="s">
        <v>62</v>
      </c>
      <c r="Z246" s="28"/>
      <c r="AA246" s="28"/>
      <c r="AB246" s="28"/>
      <c r="AC246" s="28"/>
      <c r="AD246" s="28"/>
      <c r="AE246" s="28"/>
      <c r="AF246" s="29"/>
      <c r="AG246" s="29"/>
      <c r="AH246" s="30"/>
      <c r="AI246" s="31"/>
      <c r="AJ246" s="28"/>
      <c r="AK246" s="32"/>
      <c r="AL246" s="32"/>
      <c r="AM246" s="32"/>
      <c r="AN246" s="32"/>
      <c r="AO246" s="28"/>
      <c r="AP246" s="29"/>
    </row>
    <row r="247">
      <c r="A247" s="8" t="s">
        <v>1139</v>
      </c>
      <c r="B247" s="8" t="s">
        <v>1140</v>
      </c>
      <c r="C247" s="8" t="s">
        <v>872</v>
      </c>
      <c r="D247" s="8" t="s">
        <v>66</v>
      </c>
      <c r="E247" s="8" t="s">
        <v>873</v>
      </c>
      <c r="F247" s="8" t="s">
        <v>874</v>
      </c>
      <c r="G247" s="8" t="s">
        <v>359</v>
      </c>
      <c r="H247" s="8" t="s">
        <v>360</v>
      </c>
      <c r="I247" s="8" t="s">
        <v>50</v>
      </c>
      <c r="J247" s="8" t="s">
        <v>51</v>
      </c>
      <c r="K247" s="9" t="s">
        <v>52</v>
      </c>
      <c r="L247" s="8" t="s">
        <v>53</v>
      </c>
      <c r="M247" s="8" t="s">
        <v>54</v>
      </c>
      <c r="N247" s="8" t="s">
        <v>85</v>
      </c>
      <c r="O247" s="8" t="s">
        <v>56</v>
      </c>
      <c r="P247" s="8" t="s">
        <v>1141</v>
      </c>
      <c r="Q247" s="8" t="s">
        <v>1141</v>
      </c>
      <c r="R247" s="8" t="s">
        <v>1142</v>
      </c>
      <c r="S247" s="8" t="s">
        <v>1143</v>
      </c>
      <c r="T247" s="10">
        <v>5.7300751642E11</v>
      </c>
      <c r="U247" s="8" t="s">
        <v>75</v>
      </c>
      <c r="V247" s="11"/>
      <c r="W247" s="11"/>
      <c r="X247" s="11"/>
      <c r="Y247" s="12" t="s">
        <v>62</v>
      </c>
      <c r="Z247" s="28"/>
      <c r="AA247" s="28"/>
      <c r="AB247" s="28"/>
      <c r="AC247" s="28"/>
      <c r="AD247" s="28"/>
      <c r="AE247" s="29"/>
      <c r="AF247" s="29"/>
      <c r="AG247" s="29"/>
      <c r="AH247" s="30"/>
      <c r="AI247" s="39"/>
      <c r="AJ247" s="28"/>
      <c r="AK247" s="28"/>
      <c r="AL247" s="28"/>
      <c r="AM247" s="32"/>
      <c r="AN247" s="32"/>
      <c r="AO247" s="32"/>
      <c r="AP247" s="29"/>
    </row>
    <row r="248">
      <c r="A248" s="8" t="s">
        <v>1144</v>
      </c>
      <c r="B248" s="8" t="s">
        <v>1145</v>
      </c>
      <c r="C248" s="8" t="s">
        <v>872</v>
      </c>
      <c r="D248" s="8" t="s">
        <v>66</v>
      </c>
      <c r="E248" s="8" t="s">
        <v>873</v>
      </c>
      <c r="F248" s="8" t="s">
        <v>874</v>
      </c>
      <c r="G248" s="8" t="s">
        <v>359</v>
      </c>
      <c r="H248" s="8" t="s">
        <v>360</v>
      </c>
      <c r="I248" s="8" t="s">
        <v>50</v>
      </c>
      <c r="J248" s="8" t="s">
        <v>51</v>
      </c>
      <c r="K248" s="9" t="s">
        <v>52</v>
      </c>
      <c r="L248" s="8" t="s">
        <v>84</v>
      </c>
      <c r="M248" s="8" t="s">
        <v>54</v>
      </c>
      <c r="N248" s="53" t="s">
        <v>55</v>
      </c>
      <c r="O248" s="53" t="s">
        <v>70</v>
      </c>
      <c r="P248" s="20" t="s">
        <v>141</v>
      </c>
      <c r="Q248" s="21" t="s">
        <v>122</v>
      </c>
      <c r="R248" s="20" t="s">
        <v>1146</v>
      </c>
      <c r="S248" s="20" t="s">
        <v>1147</v>
      </c>
      <c r="T248" s="22">
        <v>5.73134274872E11</v>
      </c>
      <c r="U248" s="53" t="s">
        <v>75</v>
      </c>
      <c r="V248" s="11"/>
      <c r="W248" s="11"/>
      <c r="X248" s="11"/>
      <c r="Y248" s="54">
        <v>5.0</v>
      </c>
      <c r="Z248" s="28"/>
      <c r="AA248" s="28"/>
      <c r="AB248" s="28"/>
      <c r="AC248" s="28"/>
      <c r="AD248" s="28"/>
      <c r="AE248" s="28"/>
      <c r="AF248" s="29"/>
      <c r="AG248" s="29"/>
      <c r="AH248" s="30"/>
      <c r="AI248" s="31"/>
      <c r="AJ248" s="28"/>
      <c r="AK248" s="32"/>
      <c r="AL248" s="32"/>
      <c r="AM248" s="32"/>
      <c r="AN248" s="32"/>
      <c r="AO248" s="28"/>
      <c r="AP248" s="29"/>
    </row>
    <row r="249">
      <c r="A249" s="8" t="s">
        <v>1148</v>
      </c>
      <c r="B249" s="8" t="s">
        <v>1149</v>
      </c>
      <c r="C249" s="8" t="s">
        <v>872</v>
      </c>
      <c r="D249" s="8" t="s">
        <v>66</v>
      </c>
      <c r="E249" s="8" t="s">
        <v>873</v>
      </c>
      <c r="F249" s="8" t="s">
        <v>874</v>
      </c>
      <c r="G249" s="8" t="s">
        <v>359</v>
      </c>
      <c r="H249" s="8" t="s">
        <v>360</v>
      </c>
      <c r="I249" s="8" t="s">
        <v>50</v>
      </c>
      <c r="J249" s="8" t="s">
        <v>51</v>
      </c>
      <c r="K249" s="9" t="s">
        <v>52</v>
      </c>
      <c r="L249" s="8" t="s">
        <v>53</v>
      </c>
      <c r="M249" s="8" t="s">
        <v>69</v>
      </c>
      <c r="N249" s="53" t="s">
        <v>85</v>
      </c>
      <c r="O249" s="53" t="s">
        <v>70</v>
      </c>
      <c r="P249" s="20" t="s">
        <v>282</v>
      </c>
      <c r="Q249" s="21" t="s">
        <v>72</v>
      </c>
      <c r="R249" s="20" t="s">
        <v>173</v>
      </c>
      <c r="S249" s="20" t="s">
        <v>1150</v>
      </c>
      <c r="T249" s="22">
        <v>5.73102165829E11</v>
      </c>
      <c r="U249" s="53" t="s">
        <v>81</v>
      </c>
      <c r="V249" s="11"/>
      <c r="W249" s="11"/>
      <c r="X249" s="11"/>
      <c r="Y249" s="54">
        <v>5.0</v>
      </c>
      <c r="Z249" s="28"/>
      <c r="AA249" s="28"/>
      <c r="AB249" s="28"/>
      <c r="AC249" s="28"/>
      <c r="AD249" s="28"/>
      <c r="AE249" s="28"/>
      <c r="AF249" s="29"/>
      <c r="AG249" s="29"/>
      <c r="AH249" s="30"/>
      <c r="AI249" s="31"/>
      <c r="AJ249" s="28"/>
      <c r="AK249" s="32"/>
      <c r="AL249" s="32"/>
      <c r="AM249" s="32"/>
      <c r="AN249" s="32"/>
      <c r="AO249" s="28"/>
      <c r="AP249" s="29"/>
    </row>
    <row r="250">
      <c r="A250" s="8" t="s">
        <v>1151</v>
      </c>
      <c r="B250" s="8" t="s">
        <v>1152</v>
      </c>
      <c r="C250" s="8" t="s">
        <v>872</v>
      </c>
      <c r="D250" s="8" t="s">
        <v>66</v>
      </c>
      <c r="E250" s="8" t="s">
        <v>873</v>
      </c>
      <c r="F250" s="8" t="s">
        <v>874</v>
      </c>
      <c r="G250" s="8" t="s">
        <v>359</v>
      </c>
      <c r="H250" s="8" t="s">
        <v>360</v>
      </c>
      <c r="I250" s="8" t="s">
        <v>50</v>
      </c>
      <c r="J250" s="8" t="s">
        <v>51</v>
      </c>
      <c r="K250" s="9" t="s">
        <v>52</v>
      </c>
      <c r="L250" s="8" t="s">
        <v>53</v>
      </c>
      <c r="M250" s="8" t="s">
        <v>54</v>
      </c>
      <c r="N250" s="53" t="s">
        <v>85</v>
      </c>
      <c r="O250" s="53" t="s">
        <v>70</v>
      </c>
      <c r="P250" s="20" t="s">
        <v>627</v>
      </c>
      <c r="Q250" s="21" t="s">
        <v>105</v>
      </c>
      <c r="R250" s="20" t="s">
        <v>1153</v>
      </c>
      <c r="S250" s="20" t="s">
        <v>1154</v>
      </c>
      <c r="T250" s="22">
        <v>5.73165281073E11</v>
      </c>
      <c r="U250" s="53" t="s">
        <v>61</v>
      </c>
      <c r="V250" s="11"/>
      <c r="W250" s="11"/>
      <c r="X250" s="11"/>
      <c r="Y250" s="54">
        <v>5.0</v>
      </c>
      <c r="Z250" s="28"/>
      <c r="AA250" s="28"/>
      <c r="AB250" s="28"/>
      <c r="AC250" s="28"/>
      <c r="AD250" s="28"/>
      <c r="AE250" s="28"/>
      <c r="AF250" s="29"/>
      <c r="AG250" s="29"/>
      <c r="AH250" s="30"/>
      <c r="AI250" s="31"/>
      <c r="AJ250" s="28"/>
      <c r="AK250" s="32"/>
      <c r="AL250" s="32"/>
      <c r="AM250" s="32"/>
      <c r="AN250" s="32"/>
      <c r="AO250" s="28"/>
      <c r="AP250" s="29"/>
    </row>
    <row r="251">
      <c r="A251" s="8" t="s">
        <v>1155</v>
      </c>
      <c r="B251" s="8" t="s">
        <v>1156</v>
      </c>
      <c r="C251" s="8" t="s">
        <v>872</v>
      </c>
      <c r="D251" s="8" t="s">
        <v>66</v>
      </c>
      <c r="E251" s="8" t="s">
        <v>873</v>
      </c>
      <c r="F251" s="8" t="s">
        <v>874</v>
      </c>
      <c r="G251" s="8" t="s">
        <v>359</v>
      </c>
      <c r="H251" s="8" t="s">
        <v>360</v>
      </c>
      <c r="I251" s="8" t="s">
        <v>50</v>
      </c>
      <c r="J251" s="8" t="s">
        <v>51</v>
      </c>
      <c r="K251" s="9" t="s">
        <v>52</v>
      </c>
      <c r="L251" s="8" t="s">
        <v>84</v>
      </c>
      <c r="M251" s="8" t="s">
        <v>54</v>
      </c>
      <c r="N251" s="53" t="s">
        <v>85</v>
      </c>
      <c r="O251" s="53" t="s">
        <v>70</v>
      </c>
      <c r="P251" s="20" t="s">
        <v>1157</v>
      </c>
      <c r="Q251" s="21" t="s">
        <v>94</v>
      </c>
      <c r="R251" s="20" t="s">
        <v>1158</v>
      </c>
      <c r="S251" s="20" t="s">
        <v>1159</v>
      </c>
      <c r="T251" s="22">
        <v>5.73112712601E11</v>
      </c>
      <c r="U251" s="53" t="s">
        <v>75</v>
      </c>
      <c r="V251" s="11"/>
      <c r="W251" s="11"/>
      <c r="X251" s="11"/>
      <c r="Y251" s="54">
        <v>5.0</v>
      </c>
      <c r="Z251" s="28"/>
      <c r="AA251" s="28"/>
      <c r="AB251" s="28"/>
      <c r="AC251" s="28"/>
      <c r="AD251" s="28"/>
      <c r="AE251" s="28"/>
      <c r="AF251" s="28"/>
      <c r="AG251" s="29"/>
      <c r="AH251" s="30"/>
      <c r="AI251" s="31"/>
      <c r="AJ251" s="28"/>
      <c r="AK251" s="32"/>
      <c r="AL251" s="32"/>
      <c r="AM251" s="32"/>
      <c r="AN251" s="32"/>
      <c r="AO251" s="28"/>
      <c r="AP251" s="29"/>
    </row>
    <row r="252">
      <c r="A252" s="8" t="s">
        <v>1160</v>
      </c>
      <c r="B252" s="8" t="s">
        <v>1161</v>
      </c>
      <c r="C252" s="8" t="s">
        <v>872</v>
      </c>
      <c r="D252" s="8" t="s">
        <v>66</v>
      </c>
      <c r="E252" s="8" t="s">
        <v>873</v>
      </c>
      <c r="F252" s="8" t="s">
        <v>874</v>
      </c>
      <c r="G252" s="8" t="s">
        <v>359</v>
      </c>
      <c r="H252" s="8" t="s">
        <v>360</v>
      </c>
      <c r="I252" s="8" t="s">
        <v>50</v>
      </c>
      <c r="J252" s="8" t="s">
        <v>51</v>
      </c>
      <c r="K252" s="9" t="s">
        <v>52</v>
      </c>
      <c r="L252" s="8" t="s">
        <v>53</v>
      </c>
      <c r="M252" s="8" t="s">
        <v>69</v>
      </c>
      <c r="N252" s="53" t="s">
        <v>85</v>
      </c>
      <c r="O252" s="53" t="s">
        <v>70</v>
      </c>
      <c r="P252" s="20" t="s">
        <v>57</v>
      </c>
      <c r="Q252" s="21" t="s">
        <v>111</v>
      </c>
      <c r="R252" s="20" t="s">
        <v>1162</v>
      </c>
      <c r="S252" s="20" t="s">
        <v>1163</v>
      </c>
      <c r="T252" s="22">
        <v>5.73165215772E11</v>
      </c>
      <c r="U252" s="53" t="s">
        <v>61</v>
      </c>
      <c r="V252" s="11"/>
      <c r="W252" s="11"/>
      <c r="X252" s="11"/>
      <c r="Y252" s="54">
        <v>5.0</v>
      </c>
      <c r="Z252" s="28"/>
      <c r="AA252" s="28"/>
      <c r="AB252" s="28"/>
      <c r="AC252" s="28"/>
      <c r="AD252" s="29"/>
      <c r="AE252" s="29"/>
      <c r="AF252" s="29"/>
      <c r="AG252" s="29"/>
      <c r="AH252" s="30"/>
      <c r="AI252" s="31"/>
      <c r="AJ252" s="28"/>
      <c r="AK252" s="28"/>
      <c r="AL252" s="32"/>
      <c r="AM252" s="32"/>
      <c r="AN252" s="32"/>
      <c r="AO252" s="28"/>
      <c r="AP252" s="29"/>
    </row>
    <row r="253">
      <c r="A253" s="8" t="s">
        <v>1164</v>
      </c>
      <c r="B253" s="8" t="s">
        <v>1165</v>
      </c>
      <c r="C253" s="8" t="s">
        <v>872</v>
      </c>
      <c r="D253" s="8" t="s">
        <v>66</v>
      </c>
      <c r="E253" s="8" t="s">
        <v>873</v>
      </c>
      <c r="F253" s="8" t="s">
        <v>874</v>
      </c>
      <c r="G253" s="8" t="s">
        <v>359</v>
      </c>
      <c r="H253" s="8" t="s">
        <v>360</v>
      </c>
      <c r="I253" s="8" t="s">
        <v>50</v>
      </c>
      <c r="J253" s="8" t="s">
        <v>51</v>
      </c>
      <c r="K253" s="9" t="s">
        <v>52</v>
      </c>
      <c r="L253" s="8" t="s">
        <v>53</v>
      </c>
      <c r="M253" s="8" t="s">
        <v>54</v>
      </c>
      <c r="N253" s="8" t="s">
        <v>55</v>
      </c>
      <c r="O253" s="8" t="s">
        <v>56</v>
      </c>
      <c r="P253" s="8" t="s">
        <v>770</v>
      </c>
      <c r="Q253" s="9" t="s">
        <v>58</v>
      </c>
      <c r="R253" s="8" t="s">
        <v>1166</v>
      </c>
      <c r="S253" s="8" t="s">
        <v>1167</v>
      </c>
      <c r="T253" s="10">
        <v>3.113434901E9</v>
      </c>
      <c r="U253" s="8" t="s">
        <v>61</v>
      </c>
      <c r="V253" s="11"/>
      <c r="W253" s="11"/>
      <c r="X253" s="11"/>
      <c r="Y253" s="12" t="s">
        <v>62</v>
      </c>
      <c r="Z253" s="13"/>
      <c r="AA253" s="13"/>
      <c r="AB253" s="13"/>
      <c r="AC253" s="13"/>
      <c r="AD253" s="13"/>
      <c r="AE253" s="13"/>
      <c r="AF253" s="14"/>
      <c r="AG253" s="14"/>
      <c r="AH253" s="15"/>
      <c r="AI253" s="16"/>
      <c r="AJ253" s="13"/>
      <c r="AK253" s="17"/>
      <c r="AL253" s="17"/>
      <c r="AM253" s="17"/>
      <c r="AN253" s="17"/>
      <c r="AO253" s="13"/>
      <c r="AP253" s="14"/>
    </row>
    <row r="254">
      <c r="A254" s="8" t="s">
        <v>1168</v>
      </c>
      <c r="B254" s="8" t="s">
        <v>1169</v>
      </c>
      <c r="C254" s="8" t="s">
        <v>872</v>
      </c>
      <c r="D254" s="8" t="s">
        <v>66</v>
      </c>
      <c r="E254" s="8" t="s">
        <v>873</v>
      </c>
      <c r="F254" s="8" t="s">
        <v>874</v>
      </c>
      <c r="G254" s="8" t="s">
        <v>359</v>
      </c>
      <c r="H254" s="8" t="s">
        <v>360</v>
      </c>
      <c r="I254" s="8" t="s">
        <v>50</v>
      </c>
      <c r="J254" s="8" t="s">
        <v>51</v>
      </c>
      <c r="K254" s="9" t="s">
        <v>52</v>
      </c>
      <c r="L254" s="8" t="s">
        <v>53</v>
      </c>
      <c r="M254" s="8" t="s">
        <v>54</v>
      </c>
      <c r="N254" s="53" t="s">
        <v>55</v>
      </c>
      <c r="O254" s="53" t="s">
        <v>70</v>
      </c>
      <c r="P254" s="20" t="s">
        <v>282</v>
      </c>
      <c r="Q254" s="21" t="s">
        <v>94</v>
      </c>
      <c r="R254" s="20" t="s">
        <v>635</v>
      </c>
      <c r="S254" s="20" t="s">
        <v>1170</v>
      </c>
      <c r="T254" s="22">
        <v>5.73146600891E11</v>
      </c>
      <c r="U254" s="53" t="s">
        <v>61</v>
      </c>
      <c r="V254" s="11"/>
      <c r="W254" s="11"/>
      <c r="X254" s="11"/>
      <c r="Y254" s="54">
        <v>5.0</v>
      </c>
      <c r="Z254" s="28"/>
      <c r="AA254" s="28"/>
      <c r="AB254" s="28"/>
      <c r="AC254" s="28"/>
      <c r="AD254" s="28"/>
      <c r="AE254" s="28"/>
      <c r="AF254" s="29"/>
      <c r="AG254" s="29"/>
      <c r="AH254" s="30"/>
      <c r="AI254" s="31"/>
      <c r="AJ254" s="28"/>
      <c r="AK254" s="32"/>
      <c r="AL254" s="32"/>
      <c r="AM254" s="32"/>
      <c r="AN254" s="32"/>
      <c r="AO254" s="28"/>
      <c r="AP254" s="29"/>
    </row>
    <row r="255">
      <c r="A255" s="8" t="s">
        <v>1171</v>
      </c>
      <c r="B255" s="8" t="s">
        <v>1172</v>
      </c>
      <c r="C255" s="8" t="s">
        <v>872</v>
      </c>
      <c r="D255" s="8" t="s">
        <v>66</v>
      </c>
      <c r="E255" s="8" t="s">
        <v>873</v>
      </c>
      <c r="F255" s="8" t="s">
        <v>874</v>
      </c>
      <c r="G255" s="8" t="s">
        <v>359</v>
      </c>
      <c r="H255" s="8" t="s">
        <v>360</v>
      </c>
      <c r="I255" s="8" t="s">
        <v>50</v>
      </c>
      <c r="J255" s="8" t="s">
        <v>51</v>
      </c>
      <c r="K255" s="9" t="s">
        <v>52</v>
      </c>
      <c r="L255" s="8" t="s">
        <v>53</v>
      </c>
      <c r="M255" s="8" t="s">
        <v>54</v>
      </c>
      <c r="N255" s="53" t="s">
        <v>55</v>
      </c>
      <c r="O255" s="53" t="s">
        <v>70</v>
      </c>
      <c r="P255" s="20" t="s">
        <v>99</v>
      </c>
      <c r="Q255" s="21" t="s">
        <v>105</v>
      </c>
      <c r="R255" s="20" t="s">
        <v>79</v>
      </c>
      <c r="S255" s="20" t="s">
        <v>1173</v>
      </c>
      <c r="T255" s="22">
        <v>5.73164420909E11</v>
      </c>
      <c r="U255" s="53" t="s">
        <v>75</v>
      </c>
      <c r="V255" s="11"/>
      <c r="W255" s="11"/>
      <c r="X255" s="11"/>
      <c r="Y255" s="54">
        <v>5.0</v>
      </c>
      <c r="Z255" s="28"/>
      <c r="AA255" s="28"/>
      <c r="AB255" s="28"/>
      <c r="AC255" s="28"/>
      <c r="AD255" s="28"/>
      <c r="AE255" s="28"/>
      <c r="AF255" s="29"/>
      <c r="AG255" s="29"/>
      <c r="AH255" s="30"/>
      <c r="AI255" s="31"/>
      <c r="AJ255" s="28"/>
      <c r="AK255" s="32"/>
      <c r="AL255" s="32"/>
      <c r="AM255" s="32"/>
      <c r="AN255" s="32"/>
      <c r="AO255" s="28"/>
      <c r="AP255" s="29"/>
    </row>
    <row r="256">
      <c r="A256" s="8" t="s">
        <v>1174</v>
      </c>
      <c r="B256" s="8" t="s">
        <v>1175</v>
      </c>
      <c r="C256" s="8" t="s">
        <v>983</v>
      </c>
      <c r="D256" s="8" t="s">
        <v>1080</v>
      </c>
      <c r="E256" s="8" t="s">
        <v>985</v>
      </c>
      <c r="F256" s="8" t="s">
        <v>47</v>
      </c>
      <c r="G256" s="8" t="s">
        <v>986</v>
      </c>
      <c r="H256" s="8" t="s">
        <v>987</v>
      </c>
      <c r="I256" s="8" t="s">
        <v>50</v>
      </c>
      <c r="J256" s="8" t="s">
        <v>51</v>
      </c>
      <c r="K256" s="9" t="s">
        <v>52</v>
      </c>
      <c r="L256" s="8" t="s">
        <v>53</v>
      </c>
      <c r="M256" s="8" t="s">
        <v>54</v>
      </c>
      <c r="N256" s="8" t="s">
        <v>85</v>
      </c>
      <c r="O256" s="8" t="s">
        <v>86</v>
      </c>
      <c r="P256" s="8" t="s">
        <v>678</v>
      </c>
      <c r="Q256" s="9" t="s">
        <v>111</v>
      </c>
      <c r="R256" s="8" t="s">
        <v>1176</v>
      </c>
      <c r="S256" s="8" t="s">
        <v>1177</v>
      </c>
      <c r="T256" s="10">
        <v>5.73006912511E11</v>
      </c>
      <c r="U256" s="8" t="s">
        <v>61</v>
      </c>
      <c r="V256" s="11"/>
      <c r="W256" s="11"/>
      <c r="X256" s="11"/>
      <c r="Y256" s="33">
        <v>45779.0</v>
      </c>
      <c r="Z256" s="28"/>
      <c r="AA256" s="28"/>
      <c r="AB256" s="28"/>
      <c r="AC256" s="28"/>
      <c r="AD256" s="28"/>
      <c r="AE256" s="28"/>
      <c r="AF256" s="29"/>
      <c r="AG256" s="29"/>
      <c r="AH256" s="30"/>
      <c r="AI256" s="31"/>
      <c r="AJ256" s="28"/>
      <c r="AK256" s="32"/>
      <c r="AL256" s="32"/>
      <c r="AM256" s="32"/>
      <c r="AN256" s="32"/>
      <c r="AO256" s="28"/>
      <c r="AP256" s="29"/>
    </row>
    <row r="257">
      <c r="A257" s="8" t="s">
        <v>1178</v>
      </c>
      <c r="B257" s="8" t="s">
        <v>1179</v>
      </c>
      <c r="C257" s="8" t="s">
        <v>872</v>
      </c>
      <c r="D257" s="8" t="s">
        <v>66</v>
      </c>
      <c r="E257" s="8" t="s">
        <v>873</v>
      </c>
      <c r="F257" s="8" t="s">
        <v>874</v>
      </c>
      <c r="G257" s="8" t="s">
        <v>359</v>
      </c>
      <c r="H257" s="8" t="s">
        <v>360</v>
      </c>
      <c r="I257" s="8" t="s">
        <v>50</v>
      </c>
      <c r="J257" s="8" t="s">
        <v>51</v>
      </c>
      <c r="K257" s="9" t="s">
        <v>52</v>
      </c>
      <c r="L257" s="8" t="s">
        <v>53</v>
      </c>
      <c r="M257" s="8" t="s">
        <v>54</v>
      </c>
      <c r="N257" s="53" t="s">
        <v>85</v>
      </c>
      <c r="O257" s="53" t="s">
        <v>70</v>
      </c>
      <c r="P257" s="20" t="s">
        <v>948</v>
      </c>
      <c r="Q257" s="21" t="s">
        <v>94</v>
      </c>
      <c r="R257" s="20" t="s">
        <v>512</v>
      </c>
      <c r="S257" s="20" t="s">
        <v>1180</v>
      </c>
      <c r="T257" s="22">
        <v>5.73003998118E11</v>
      </c>
      <c r="U257" s="53" t="s">
        <v>61</v>
      </c>
      <c r="V257" s="11"/>
      <c r="W257" s="11"/>
      <c r="X257" s="11"/>
      <c r="Y257" s="54">
        <v>5.0</v>
      </c>
      <c r="Z257" s="13"/>
      <c r="AA257" s="13"/>
      <c r="AB257" s="13"/>
      <c r="AC257" s="13"/>
      <c r="AD257" s="13"/>
      <c r="AE257" s="13"/>
      <c r="AF257" s="14"/>
      <c r="AG257" s="14"/>
      <c r="AH257" s="15"/>
      <c r="AI257" s="16"/>
      <c r="AJ257" s="13"/>
      <c r="AK257" s="17"/>
      <c r="AL257" s="17"/>
      <c r="AM257" s="17"/>
      <c r="AN257" s="17"/>
      <c r="AO257" s="13"/>
      <c r="AP257" s="14"/>
    </row>
    <row r="258">
      <c r="A258" s="8" t="s">
        <v>1181</v>
      </c>
      <c r="B258" s="8" t="s">
        <v>1182</v>
      </c>
      <c r="C258" s="8" t="s">
        <v>872</v>
      </c>
      <c r="D258" s="8" t="s">
        <v>66</v>
      </c>
      <c r="E258" s="8" t="s">
        <v>873</v>
      </c>
      <c r="F258" s="8" t="s">
        <v>874</v>
      </c>
      <c r="G258" s="8" t="s">
        <v>359</v>
      </c>
      <c r="H258" s="8" t="s">
        <v>360</v>
      </c>
      <c r="I258" s="8" t="s">
        <v>50</v>
      </c>
      <c r="J258" s="8" t="s">
        <v>51</v>
      </c>
      <c r="K258" s="9" t="s">
        <v>52</v>
      </c>
      <c r="L258" s="8" t="s">
        <v>53</v>
      </c>
      <c r="M258" s="8" t="s">
        <v>54</v>
      </c>
      <c r="N258" s="53" t="s">
        <v>55</v>
      </c>
      <c r="O258" s="53" t="s">
        <v>70</v>
      </c>
      <c r="P258" s="20" t="s">
        <v>627</v>
      </c>
      <c r="Q258" s="21" t="s">
        <v>105</v>
      </c>
      <c r="R258" s="20" t="s">
        <v>79</v>
      </c>
      <c r="S258" s="20" t="s">
        <v>1183</v>
      </c>
      <c r="T258" s="22">
        <v>3.017877643E9</v>
      </c>
      <c r="U258" s="53" t="s">
        <v>61</v>
      </c>
      <c r="V258" s="11"/>
      <c r="W258" s="11"/>
      <c r="X258" s="11"/>
      <c r="Y258" s="54">
        <v>5.0</v>
      </c>
      <c r="Z258" s="28"/>
      <c r="AA258" s="28"/>
      <c r="AB258" s="28"/>
      <c r="AC258" s="28"/>
      <c r="AD258" s="28"/>
      <c r="AE258" s="28"/>
      <c r="AF258" s="29"/>
      <c r="AG258" s="29"/>
      <c r="AH258" s="30"/>
      <c r="AI258" s="31"/>
      <c r="AJ258" s="28"/>
      <c r="AK258" s="32"/>
      <c r="AL258" s="32"/>
      <c r="AM258" s="32"/>
      <c r="AN258" s="32"/>
      <c r="AO258" s="28"/>
      <c r="AP258" s="29"/>
    </row>
    <row r="259">
      <c r="A259" s="8" t="s">
        <v>1184</v>
      </c>
      <c r="B259" s="8" t="s">
        <v>1185</v>
      </c>
      <c r="C259" s="8" t="s">
        <v>872</v>
      </c>
      <c r="D259" s="8" t="s">
        <v>66</v>
      </c>
      <c r="E259" s="8" t="s">
        <v>873</v>
      </c>
      <c r="F259" s="8" t="s">
        <v>874</v>
      </c>
      <c r="G259" s="8" t="s">
        <v>359</v>
      </c>
      <c r="H259" s="8" t="s">
        <v>360</v>
      </c>
      <c r="I259" s="8" t="s">
        <v>50</v>
      </c>
      <c r="J259" s="8" t="s">
        <v>51</v>
      </c>
      <c r="K259" s="9" t="s">
        <v>52</v>
      </c>
      <c r="L259" s="8" t="s">
        <v>53</v>
      </c>
      <c r="M259" s="8" t="s">
        <v>54</v>
      </c>
      <c r="N259" s="8" t="s">
        <v>85</v>
      </c>
      <c r="O259" s="8" t="s">
        <v>56</v>
      </c>
      <c r="P259" s="8" t="s">
        <v>546</v>
      </c>
      <c r="Q259" s="9" t="s">
        <v>487</v>
      </c>
      <c r="R259" s="8" t="s">
        <v>1186</v>
      </c>
      <c r="S259" s="8" t="s">
        <v>1187</v>
      </c>
      <c r="T259" s="10">
        <v>5.73165758926E11</v>
      </c>
      <c r="U259" s="8" t="s">
        <v>75</v>
      </c>
      <c r="V259" s="11"/>
      <c r="W259" s="11"/>
      <c r="X259" s="11"/>
      <c r="Y259" s="12" t="s">
        <v>62</v>
      </c>
      <c r="Z259" s="28"/>
      <c r="AA259" s="28"/>
      <c r="AB259" s="28"/>
      <c r="AC259" s="28"/>
      <c r="AD259" s="28"/>
      <c r="AE259" s="28"/>
      <c r="AF259" s="29"/>
      <c r="AG259" s="29"/>
      <c r="AH259" s="30"/>
      <c r="AI259" s="31"/>
      <c r="AJ259" s="28"/>
      <c r="AK259" s="32"/>
      <c r="AL259" s="32"/>
      <c r="AM259" s="32"/>
      <c r="AN259" s="32"/>
      <c r="AO259" s="28"/>
      <c r="AP259" s="29"/>
    </row>
    <row r="260">
      <c r="A260" s="8" t="s">
        <v>1188</v>
      </c>
      <c r="B260" s="8" t="s">
        <v>1189</v>
      </c>
      <c r="C260" s="8" t="s">
        <v>872</v>
      </c>
      <c r="D260" s="8" t="s">
        <v>66</v>
      </c>
      <c r="E260" s="8" t="s">
        <v>873</v>
      </c>
      <c r="F260" s="8" t="s">
        <v>874</v>
      </c>
      <c r="G260" s="8" t="s">
        <v>359</v>
      </c>
      <c r="H260" s="8" t="s">
        <v>360</v>
      </c>
      <c r="I260" s="8" t="s">
        <v>50</v>
      </c>
      <c r="J260" s="8" t="s">
        <v>51</v>
      </c>
      <c r="K260" s="9" t="s">
        <v>52</v>
      </c>
      <c r="L260" s="8" t="s">
        <v>53</v>
      </c>
      <c r="M260" s="8" t="s">
        <v>54</v>
      </c>
      <c r="N260" s="8" t="s">
        <v>85</v>
      </c>
      <c r="O260" s="8" t="s">
        <v>56</v>
      </c>
      <c r="P260" s="8" t="s">
        <v>99</v>
      </c>
      <c r="Q260" s="9" t="s">
        <v>122</v>
      </c>
      <c r="R260" s="8" t="s">
        <v>207</v>
      </c>
      <c r="S260" s="8" t="s">
        <v>1190</v>
      </c>
      <c r="T260" s="10">
        <v>3.117019336E9</v>
      </c>
      <c r="U260" s="8" t="s">
        <v>75</v>
      </c>
      <c r="V260" s="11"/>
      <c r="W260" s="11"/>
      <c r="X260" s="11"/>
      <c r="Y260" s="12" t="s">
        <v>62</v>
      </c>
      <c r="Z260" s="13"/>
      <c r="AA260" s="13"/>
      <c r="AB260" s="13"/>
      <c r="AC260" s="13"/>
      <c r="AD260" s="13"/>
      <c r="AE260" s="13"/>
      <c r="AF260" s="14"/>
      <c r="AG260" s="14"/>
      <c r="AH260" s="15"/>
      <c r="AI260" s="16"/>
      <c r="AJ260" s="13"/>
      <c r="AK260" s="17"/>
      <c r="AL260" s="17"/>
      <c r="AM260" s="17"/>
      <c r="AN260" s="17"/>
      <c r="AO260" s="13"/>
      <c r="AP260" s="14"/>
    </row>
    <row r="261">
      <c r="A261" s="8" t="s">
        <v>1191</v>
      </c>
      <c r="B261" s="8" t="s">
        <v>1192</v>
      </c>
      <c r="C261" s="8" t="s">
        <v>872</v>
      </c>
      <c r="D261" s="8" t="s">
        <v>66</v>
      </c>
      <c r="E261" s="8" t="s">
        <v>873</v>
      </c>
      <c r="F261" s="8" t="s">
        <v>874</v>
      </c>
      <c r="G261" s="8" t="s">
        <v>359</v>
      </c>
      <c r="H261" s="8" t="s">
        <v>360</v>
      </c>
      <c r="I261" s="8" t="s">
        <v>50</v>
      </c>
      <c r="J261" s="8" t="s">
        <v>51</v>
      </c>
      <c r="K261" s="9" t="s">
        <v>52</v>
      </c>
      <c r="L261" s="8" t="s">
        <v>53</v>
      </c>
      <c r="M261" s="8" t="s">
        <v>54</v>
      </c>
      <c r="N261" s="53" t="s">
        <v>55</v>
      </c>
      <c r="O261" s="53" t="s">
        <v>70</v>
      </c>
      <c r="P261" s="20" t="s">
        <v>1193</v>
      </c>
      <c r="Q261" s="21" t="s">
        <v>58</v>
      </c>
      <c r="R261" s="20" t="s">
        <v>650</v>
      </c>
      <c r="S261" s="20" t="s">
        <v>1194</v>
      </c>
      <c r="T261" s="22">
        <v>5.73222176401E11</v>
      </c>
      <c r="U261" s="53" t="s">
        <v>75</v>
      </c>
      <c r="V261" s="11"/>
      <c r="W261" s="11"/>
      <c r="X261" s="11"/>
      <c r="Y261" s="54">
        <v>5.0</v>
      </c>
      <c r="Z261" s="28"/>
      <c r="AA261" s="28"/>
      <c r="AB261" s="28"/>
      <c r="AC261" s="28"/>
      <c r="AD261" s="28"/>
      <c r="AE261" s="28"/>
      <c r="AF261" s="29"/>
      <c r="AG261" s="29"/>
      <c r="AH261" s="30"/>
      <c r="AI261" s="31"/>
      <c r="AJ261" s="28"/>
      <c r="AK261" s="32"/>
      <c r="AL261" s="32"/>
      <c r="AM261" s="32"/>
      <c r="AN261" s="32"/>
      <c r="AO261" s="28"/>
      <c r="AP261" s="29"/>
    </row>
    <row r="262">
      <c r="A262" s="8" t="s">
        <v>1195</v>
      </c>
      <c r="B262" s="8" t="s">
        <v>1196</v>
      </c>
      <c r="C262" s="8" t="s">
        <v>872</v>
      </c>
      <c r="D262" s="8" t="s">
        <v>66</v>
      </c>
      <c r="E262" s="8" t="s">
        <v>873</v>
      </c>
      <c r="F262" s="8" t="s">
        <v>874</v>
      </c>
      <c r="G262" s="8" t="s">
        <v>359</v>
      </c>
      <c r="H262" s="8" t="s">
        <v>360</v>
      </c>
      <c r="I262" s="8" t="s">
        <v>50</v>
      </c>
      <c r="J262" s="8" t="s">
        <v>51</v>
      </c>
      <c r="K262" s="9" t="s">
        <v>52</v>
      </c>
      <c r="L262" s="8" t="s">
        <v>84</v>
      </c>
      <c r="M262" s="8" t="s">
        <v>69</v>
      </c>
      <c r="N262" s="53" t="s">
        <v>55</v>
      </c>
      <c r="O262" s="53" t="s">
        <v>70</v>
      </c>
      <c r="P262" s="20" t="s">
        <v>1197</v>
      </c>
      <c r="Q262" s="21" t="s">
        <v>323</v>
      </c>
      <c r="R262" s="20" t="s">
        <v>1198</v>
      </c>
      <c r="S262" s="20" t="s">
        <v>1199</v>
      </c>
      <c r="T262" s="22">
        <v>5.73112741769E11</v>
      </c>
      <c r="U262" s="53" t="s">
        <v>75</v>
      </c>
      <c r="V262" s="11"/>
      <c r="W262" s="11"/>
      <c r="X262" s="11"/>
      <c r="Y262" s="54">
        <v>5.0</v>
      </c>
      <c r="Z262" s="13"/>
      <c r="AA262" s="13"/>
      <c r="AB262" s="13"/>
      <c r="AC262" s="13"/>
      <c r="AD262" s="13"/>
      <c r="AE262" s="13"/>
      <c r="AF262" s="14"/>
      <c r="AG262" s="14"/>
      <c r="AH262" s="15"/>
      <c r="AI262" s="16"/>
      <c r="AJ262" s="13"/>
      <c r="AK262" s="17"/>
      <c r="AL262" s="17"/>
      <c r="AM262" s="17"/>
      <c r="AN262" s="17"/>
      <c r="AO262" s="13"/>
      <c r="AP262" s="14"/>
    </row>
    <row r="263">
      <c r="A263" s="8" t="s">
        <v>1200</v>
      </c>
      <c r="B263" s="8" t="s">
        <v>1201</v>
      </c>
      <c r="C263" s="8" t="s">
        <v>1202</v>
      </c>
      <c r="D263" s="8" t="s">
        <v>1203</v>
      </c>
      <c r="E263" s="8" t="s">
        <v>1204</v>
      </c>
      <c r="F263" s="8" t="s">
        <v>47</v>
      </c>
      <c r="G263" s="8" t="s">
        <v>1205</v>
      </c>
      <c r="H263" s="8" t="s">
        <v>1206</v>
      </c>
      <c r="I263" s="8" t="s">
        <v>50</v>
      </c>
      <c r="J263" s="8" t="s">
        <v>51</v>
      </c>
      <c r="K263" s="9" t="s">
        <v>52</v>
      </c>
      <c r="L263" s="8" t="s">
        <v>84</v>
      </c>
      <c r="M263" s="8" t="s">
        <v>69</v>
      </c>
      <c r="N263" s="53" t="s">
        <v>85</v>
      </c>
      <c r="O263" s="53" t="s">
        <v>70</v>
      </c>
      <c r="P263" s="20" t="s">
        <v>104</v>
      </c>
      <c r="Q263" s="21" t="s">
        <v>111</v>
      </c>
      <c r="R263" s="20" t="s">
        <v>1207</v>
      </c>
      <c r="S263" s="20" t="s">
        <v>1208</v>
      </c>
      <c r="T263" s="22">
        <v>5.73046644045E11</v>
      </c>
      <c r="U263" s="53" t="s">
        <v>75</v>
      </c>
      <c r="V263" s="11"/>
      <c r="W263" s="11"/>
      <c r="X263" s="11"/>
      <c r="Y263" s="54">
        <v>5.0</v>
      </c>
      <c r="Z263" s="28"/>
      <c r="AA263" s="28"/>
      <c r="AB263" s="28"/>
      <c r="AC263" s="28"/>
      <c r="AD263" s="28"/>
      <c r="AE263" s="28"/>
      <c r="AF263" s="29"/>
      <c r="AG263" s="29"/>
      <c r="AH263" s="30"/>
      <c r="AI263" s="31"/>
      <c r="AJ263" s="28"/>
      <c r="AK263" s="32"/>
      <c r="AL263" s="32"/>
      <c r="AM263" s="32"/>
      <c r="AN263" s="32"/>
      <c r="AO263" s="28"/>
      <c r="AP263" s="29"/>
    </row>
    <row r="264">
      <c r="A264" s="8" t="s">
        <v>1209</v>
      </c>
      <c r="B264" s="8" t="s">
        <v>1210</v>
      </c>
      <c r="C264" s="8" t="s">
        <v>1202</v>
      </c>
      <c r="D264" s="8" t="s">
        <v>1203</v>
      </c>
      <c r="E264" s="8" t="s">
        <v>1204</v>
      </c>
      <c r="F264" s="8" t="s">
        <v>47</v>
      </c>
      <c r="G264" s="8" t="s">
        <v>1205</v>
      </c>
      <c r="H264" s="8" t="s">
        <v>1206</v>
      </c>
      <c r="I264" s="8" t="s">
        <v>50</v>
      </c>
      <c r="J264" s="8" t="s">
        <v>51</v>
      </c>
      <c r="K264" s="9" t="s">
        <v>52</v>
      </c>
      <c r="L264" s="8" t="s">
        <v>53</v>
      </c>
      <c r="M264" s="8" t="s">
        <v>69</v>
      </c>
      <c r="N264" s="53" t="s">
        <v>85</v>
      </c>
      <c r="O264" s="53" t="s">
        <v>70</v>
      </c>
      <c r="P264" s="20" t="s">
        <v>474</v>
      </c>
      <c r="Q264" s="21" t="s">
        <v>111</v>
      </c>
      <c r="R264" s="20" t="s">
        <v>1211</v>
      </c>
      <c r="S264" s="20" t="s">
        <v>1212</v>
      </c>
      <c r="T264" s="22">
        <v>5.73104475281E11</v>
      </c>
      <c r="U264" s="53" t="s">
        <v>75</v>
      </c>
      <c r="V264" s="11"/>
      <c r="W264" s="11"/>
      <c r="X264" s="11"/>
      <c r="Y264" s="54">
        <v>5.0</v>
      </c>
      <c r="Z264" s="28"/>
      <c r="AA264" s="28"/>
      <c r="AB264" s="28"/>
      <c r="AC264" s="28"/>
      <c r="AD264" s="28"/>
      <c r="AE264" s="29"/>
      <c r="AF264" s="29"/>
      <c r="AG264" s="29"/>
      <c r="AH264" s="30"/>
      <c r="AI264" s="31"/>
      <c r="AJ264" s="28"/>
      <c r="AK264" s="28"/>
      <c r="AL264" s="28"/>
      <c r="AM264" s="32"/>
      <c r="AN264" s="32"/>
      <c r="AO264" s="28"/>
      <c r="AP264" s="29"/>
    </row>
    <row r="265">
      <c r="A265" s="8" t="s">
        <v>1213</v>
      </c>
      <c r="B265" s="8" t="s">
        <v>1214</v>
      </c>
      <c r="C265" s="8" t="s">
        <v>1202</v>
      </c>
      <c r="D265" s="8" t="s">
        <v>1203</v>
      </c>
      <c r="E265" s="8" t="s">
        <v>1204</v>
      </c>
      <c r="F265" s="8" t="s">
        <v>47</v>
      </c>
      <c r="G265" s="8" t="s">
        <v>1205</v>
      </c>
      <c r="H265" s="8" t="s">
        <v>1206</v>
      </c>
      <c r="I265" s="8" t="s">
        <v>50</v>
      </c>
      <c r="J265" s="8" t="s">
        <v>51</v>
      </c>
      <c r="K265" s="9" t="s">
        <v>52</v>
      </c>
      <c r="L265" s="8" t="s">
        <v>53</v>
      </c>
      <c r="M265" s="8" t="s">
        <v>54</v>
      </c>
      <c r="N265" s="53" t="s">
        <v>137</v>
      </c>
      <c r="O265" s="53" t="s">
        <v>70</v>
      </c>
      <c r="P265" s="20" t="s">
        <v>1215</v>
      </c>
      <c r="Q265" s="21" t="s">
        <v>94</v>
      </c>
      <c r="R265" s="20" t="s">
        <v>1216</v>
      </c>
      <c r="S265" s="20" t="s">
        <v>1217</v>
      </c>
      <c r="T265" s="22">
        <v>5.731076811E11</v>
      </c>
      <c r="U265" s="53" t="s">
        <v>75</v>
      </c>
      <c r="V265" s="11"/>
      <c r="W265" s="11"/>
      <c r="X265" s="11"/>
      <c r="Y265" s="54">
        <v>5.0</v>
      </c>
      <c r="Z265" s="28"/>
      <c r="AA265" s="28"/>
      <c r="AB265" s="28"/>
      <c r="AC265" s="29"/>
      <c r="AD265" s="29"/>
      <c r="AE265" s="29"/>
      <c r="AF265" s="29"/>
      <c r="AG265" s="29"/>
      <c r="AH265" s="30"/>
      <c r="AI265" s="31"/>
      <c r="AJ265" s="28"/>
      <c r="AK265" s="28"/>
      <c r="AL265" s="32"/>
      <c r="AM265" s="32"/>
      <c r="AN265" s="32"/>
      <c r="AO265" s="28"/>
      <c r="AP265" s="29"/>
    </row>
    <row r="266">
      <c r="A266" s="8" t="s">
        <v>1218</v>
      </c>
      <c r="B266" s="8" t="s">
        <v>1219</v>
      </c>
      <c r="C266" s="8" t="s">
        <v>1202</v>
      </c>
      <c r="D266" s="8" t="s">
        <v>1203</v>
      </c>
      <c r="E266" s="8" t="s">
        <v>1204</v>
      </c>
      <c r="F266" s="8" t="s">
        <v>47</v>
      </c>
      <c r="G266" s="8" t="s">
        <v>1205</v>
      </c>
      <c r="H266" s="8" t="s">
        <v>1206</v>
      </c>
      <c r="I266" s="8" t="s">
        <v>50</v>
      </c>
      <c r="J266" s="8" t="s">
        <v>51</v>
      </c>
      <c r="K266" s="9" t="s">
        <v>52</v>
      </c>
      <c r="L266" s="8" t="s">
        <v>53</v>
      </c>
      <c r="M266" s="8" t="s">
        <v>69</v>
      </c>
      <c r="N266" s="53" t="s">
        <v>137</v>
      </c>
      <c r="O266" s="53" t="s">
        <v>70</v>
      </c>
      <c r="P266" s="20" t="s">
        <v>701</v>
      </c>
      <c r="Q266" s="21" t="s">
        <v>58</v>
      </c>
      <c r="R266" s="20" t="s">
        <v>1220</v>
      </c>
      <c r="S266" s="20" t="s">
        <v>1221</v>
      </c>
      <c r="T266" s="22">
        <v>5.73156538015E11</v>
      </c>
      <c r="U266" s="53" t="s">
        <v>75</v>
      </c>
      <c r="V266" s="11"/>
      <c r="W266" s="11"/>
      <c r="X266" s="11"/>
      <c r="Y266" s="54">
        <v>5.0</v>
      </c>
      <c r="Z266" s="13"/>
      <c r="AA266" s="13"/>
      <c r="AB266" s="13"/>
      <c r="AC266" s="13"/>
      <c r="AD266" s="13"/>
      <c r="AE266" s="13"/>
      <c r="AF266" s="14"/>
      <c r="AG266" s="14"/>
      <c r="AH266" s="15"/>
      <c r="AI266" s="16"/>
      <c r="AJ266" s="13"/>
      <c r="AK266" s="17"/>
      <c r="AL266" s="17"/>
      <c r="AM266" s="17"/>
      <c r="AN266" s="17"/>
      <c r="AO266" s="13"/>
      <c r="AP266" s="14"/>
    </row>
    <row r="267">
      <c r="A267" s="8" t="s">
        <v>1222</v>
      </c>
      <c r="B267" s="8" t="s">
        <v>1223</v>
      </c>
      <c r="C267" s="8" t="s">
        <v>1202</v>
      </c>
      <c r="D267" s="8" t="s">
        <v>1203</v>
      </c>
      <c r="E267" s="8" t="s">
        <v>1204</v>
      </c>
      <c r="F267" s="8" t="s">
        <v>47</v>
      </c>
      <c r="G267" s="8" t="s">
        <v>1205</v>
      </c>
      <c r="H267" s="8" t="s">
        <v>1206</v>
      </c>
      <c r="I267" s="8" t="s">
        <v>50</v>
      </c>
      <c r="J267" s="8" t="s">
        <v>51</v>
      </c>
      <c r="K267" s="9" t="s">
        <v>52</v>
      </c>
      <c r="L267" s="8" t="s">
        <v>53</v>
      </c>
      <c r="M267" s="8" t="s">
        <v>54</v>
      </c>
      <c r="N267" s="53" t="s">
        <v>55</v>
      </c>
      <c r="O267" s="53" t="s">
        <v>70</v>
      </c>
      <c r="P267" s="20" t="s">
        <v>1224</v>
      </c>
      <c r="Q267" s="21" t="s">
        <v>72</v>
      </c>
      <c r="R267" s="20" t="s">
        <v>1225</v>
      </c>
      <c r="S267" s="20" t="s">
        <v>1226</v>
      </c>
      <c r="T267" s="22">
        <v>5.73204342545E11</v>
      </c>
      <c r="U267" s="53" t="s">
        <v>61</v>
      </c>
      <c r="V267" s="11"/>
      <c r="W267" s="11"/>
      <c r="X267" s="11"/>
      <c r="Y267" s="54">
        <v>5.0</v>
      </c>
      <c r="Z267" s="28"/>
      <c r="AA267" s="28"/>
      <c r="AB267" s="28"/>
      <c r="AC267" s="28"/>
      <c r="AD267" s="28"/>
      <c r="AE267" s="28"/>
      <c r="AF267" s="29"/>
      <c r="AG267" s="29"/>
      <c r="AH267" s="30"/>
      <c r="AI267" s="31"/>
      <c r="AJ267" s="28"/>
      <c r="AK267" s="32"/>
      <c r="AL267" s="32"/>
      <c r="AM267" s="32"/>
      <c r="AN267" s="32"/>
      <c r="AO267" s="28"/>
      <c r="AP267" s="29"/>
    </row>
    <row r="268">
      <c r="A268" s="8" t="s">
        <v>1227</v>
      </c>
      <c r="B268" s="8" t="s">
        <v>1228</v>
      </c>
      <c r="C268" s="8" t="s">
        <v>1202</v>
      </c>
      <c r="D268" s="8" t="s">
        <v>1203</v>
      </c>
      <c r="E268" s="8" t="s">
        <v>1204</v>
      </c>
      <c r="F268" s="8" t="s">
        <v>47</v>
      </c>
      <c r="G268" s="8" t="s">
        <v>1205</v>
      </c>
      <c r="H268" s="8" t="s">
        <v>1206</v>
      </c>
      <c r="I268" s="8" t="s">
        <v>50</v>
      </c>
      <c r="J268" s="8" t="s">
        <v>51</v>
      </c>
      <c r="K268" s="9" t="s">
        <v>52</v>
      </c>
      <c r="L268" s="8" t="s">
        <v>53</v>
      </c>
      <c r="M268" s="8" t="s">
        <v>69</v>
      </c>
      <c r="N268" s="53" t="s">
        <v>55</v>
      </c>
      <c r="O268" s="53" t="s">
        <v>70</v>
      </c>
      <c r="P268" s="20" t="s">
        <v>110</v>
      </c>
      <c r="Q268" s="21" t="s">
        <v>105</v>
      </c>
      <c r="R268" s="20" t="s">
        <v>79</v>
      </c>
      <c r="S268" s="20" t="s">
        <v>1229</v>
      </c>
      <c r="T268" s="22">
        <v>5.73017173381E11</v>
      </c>
      <c r="U268" s="53" t="s">
        <v>75</v>
      </c>
      <c r="V268" s="11"/>
      <c r="W268" s="11"/>
      <c r="X268" s="11"/>
      <c r="Y268" s="54">
        <v>5.0</v>
      </c>
      <c r="Z268" s="28"/>
      <c r="AA268" s="28"/>
      <c r="AB268" s="28"/>
      <c r="AC268" s="28"/>
      <c r="AD268" s="28"/>
      <c r="AE268" s="28"/>
      <c r="AF268" s="29"/>
      <c r="AG268" s="29"/>
      <c r="AH268" s="30"/>
      <c r="AI268" s="31"/>
      <c r="AJ268" s="28"/>
      <c r="AK268" s="32"/>
      <c r="AL268" s="32"/>
      <c r="AM268" s="32"/>
      <c r="AN268" s="32"/>
      <c r="AO268" s="28"/>
      <c r="AP268" s="29"/>
    </row>
    <row r="269">
      <c r="A269" s="8" t="s">
        <v>1230</v>
      </c>
      <c r="B269" s="8" t="s">
        <v>1231</v>
      </c>
      <c r="C269" s="8" t="s">
        <v>983</v>
      </c>
      <c r="D269" s="8" t="s">
        <v>1080</v>
      </c>
      <c r="E269" s="8" t="s">
        <v>985</v>
      </c>
      <c r="F269" s="8" t="s">
        <v>47</v>
      </c>
      <c r="G269" s="8" t="s">
        <v>986</v>
      </c>
      <c r="H269" s="8" t="s">
        <v>987</v>
      </c>
      <c r="I269" s="8" t="s">
        <v>50</v>
      </c>
      <c r="J269" s="8" t="s">
        <v>51</v>
      </c>
      <c r="K269" s="9" t="s">
        <v>52</v>
      </c>
      <c r="L269" s="8" t="s">
        <v>53</v>
      </c>
      <c r="M269" s="8" t="s">
        <v>69</v>
      </c>
      <c r="N269" s="53" t="s">
        <v>137</v>
      </c>
      <c r="O269" s="53" t="s">
        <v>70</v>
      </c>
      <c r="P269" s="20" t="s">
        <v>1232</v>
      </c>
      <c r="Q269" s="20" t="s">
        <v>1233</v>
      </c>
      <c r="R269" s="20" t="s">
        <v>154</v>
      </c>
      <c r="S269" s="20" t="s">
        <v>1234</v>
      </c>
      <c r="T269" s="22">
        <v>5.73113642872E11</v>
      </c>
      <c r="U269" s="53" t="s">
        <v>61</v>
      </c>
      <c r="V269" s="11"/>
      <c r="W269" s="11"/>
      <c r="X269" s="11"/>
      <c r="Y269" s="54">
        <v>5.0</v>
      </c>
      <c r="Z269" s="28"/>
      <c r="AA269" s="28"/>
      <c r="AB269" s="28"/>
      <c r="AC269" s="28"/>
      <c r="AD269" s="28"/>
      <c r="AE269" s="28"/>
      <c r="AF269" s="29"/>
      <c r="AG269" s="29"/>
      <c r="AH269" s="30"/>
      <c r="AI269" s="31"/>
      <c r="AJ269" s="28"/>
      <c r="AK269" s="32"/>
      <c r="AL269" s="32"/>
      <c r="AM269" s="32"/>
      <c r="AN269" s="32"/>
      <c r="AO269" s="28"/>
      <c r="AP269" s="29"/>
    </row>
    <row r="270">
      <c r="A270" s="8" t="s">
        <v>1235</v>
      </c>
      <c r="B270" s="8" t="s">
        <v>1236</v>
      </c>
      <c r="C270" s="8" t="s">
        <v>1202</v>
      </c>
      <c r="D270" s="8" t="s">
        <v>1203</v>
      </c>
      <c r="E270" s="8" t="s">
        <v>1204</v>
      </c>
      <c r="F270" s="8" t="s">
        <v>47</v>
      </c>
      <c r="G270" s="8" t="s">
        <v>1205</v>
      </c>
      <c r="H270" s="8" t="s">
        <v>1206</v>
      </c>
      <c r="I270" s="8" t="s">
        <v>50</v>
      </c>
      <c r="J270" s="8" t="s">
        <v>51</v>
      </c>
      <c r="K270" s="9" t="s">
        <v>52</v>
      </c>
      <c r="L270" s="8" t="s">
        <v>84</v>
      </c>
      <c r="M270" s="8" t="s">
        <v>54</v>
      </c>
      <c r="N270" s="53" t="s">
        <v>85</v>
      </c>
      <c r="O270" s="53" t="s">
        <v>70</v>
      </c>
      <c r="P270" s="20" t="s">
        <v>132</v>
      </c>
      <c r="Q270" s="21" t="s">
        <v>111</v>
      </c>
      <c r="R270" s="20" t="s">
        <v>1237</v>
      </c>
      <c r="S270" s="20" t="s">
        <v>1238</v>
      </c>
      <c r="T270" s="22">
        <v>5.73174786159E11</v>
      </c>
      <c r="U270" s="53" t="s">
        <v>75</v>
      </c>
      <c r="V270" s="11"/>
      <c r="W270" s="11"/>
      <c r="X270" s="11"/>
      <c r="Y270" s="54">
        <v>5.0</v>
      </c>
      <c r="Z270" s="28"/>
      <c r="AA270" s="28"/>
      <c r="AB270" s="28"/>
      <c r="AC270" s="28"/>
      <c r="AD270" s="28"/>
      <c r="AE270" s="28"/>
      <c r="AF270" s="29"/>
      <c r="AG270" s="29"/>
      <c r="AH270" s="30"/>
      <c r="AI270" s="31"/>
      <c r="AJ270" s="28"/>
      <c r="AK270" s="32"/>
      <c r="AL270" s="32"/>
      <c r="AM270" s="32"/>
      <c r="AN270" s="32"/>
      <c r="AO270" s="28"/>
      <c r="AP270" s="29"/>
    </row>
    <row r="271">
      <c r="A271" s="8" t="s">
        <v>1239</v>
      </c>
      <c r="B271" s="8" t="s">
        <v>1240</v>
      </c>
      <c r="C271" s="8" t="s">
        <v>1202</v>
      </c>
      <c r="D271" s="8" t="s">
        <v>1203</v>
      </c>
      <c r="E271" s="8" t="s">
        <v>1204</v>
      </c>
      <c r="F271" s="8" t="s">
        <v>47</v>
      </c>
      <c r="G271" s="8" t="s">
        <v>1205</v>
      </c>
      <c r="H271" s="8" t="s">
        <v>1206</v>
      </c>
      <c r="I271" s="8" t="s">
        <v>50</v>
      </c>
      <c r="J271" s="8" t="s">
        <v>51</v>
      </c>
      <c r="K271" s="9" t="s">
        <v>52</v>
      </c>
      <c r="L271" s="8" t="s">
        <v>53</v>
      </c>
      <c r="M271" s="8" t="s">
        <v>54</v>
      </c>
      <c r="N271" s="53" t="s">
        <v>55</v>
      </c>
      <c r="O271" s="53" t="s">
        <v>70</v>
      </c>
      <c r="P271" s="20" t="s">
        <v>723</v>
      </c>
      <c r="Q271" s="21" t="s">
        <v>105</v>
      </c>
      <c r="R271" s="20" t="s">
        <v>1107</v>
      </c>
      <c r="S271" s="20" t="s">
        <v>1241</v>
      </c>
      <c r="T271" s="22">
        <v>5.7323485781E11</v>
      </c>
      <c r="U271" s="53" t="s">
        <v>61</v>
      </c>
      <c r="V271" s="11"/>
      <c r="W271" s="11"/>
      <c r="X271" s="11"/>
      <c r="Y271" s="54">
        <v>5.0</v>
      </c>
      <c r="Z271" s="28"/>
      <c r="AA271" s="28"/>
      <c r="AB271" s="28"/>
      <c r="AC271" s="28"/>
      <c r="AD271" s="28"/>
      <c r="AE271" s="28"/>
      <c r="AF271" s="29"/>
      <c r="AG271" s="29"/>
      <c r="AH271" s="30"/>
      <c r="AI271" s="31"/>
      <c r="AJ271" s="28"/>
      <c r="AK271" s="32"/>
      <c r="AL271" s="32"/>
      <c r="AM271" s="32"/>
      <c r="AN271" s="32"/>
      <c r="AO271" s="28"/>
      <c r="AP271" s="29"/>
    </row>
    <row r="272">
      <c r="A272" s="8" t="s">
        <v>1242</v>
      </c>
      <c r="B272" s="8" t="s">
        <v>1243</v>
      </c>
      <c r="C272" s="8" t="s">
        <v>1202</v>
      </c>
      <c r="D272" s="8" t="s">
        <v>1203</v>
      </c>
      <c r="E272" s="8" t="s">
        <v>1204</v>
      </c>
      <c r="F272" s="8" t="s">
        <v>47</v>
      </c>
      <c r="G272" s="8" t="s">
        <v>1205</v>
      </c>
      <c r="H272" s="8" t="s">
        <v>1206</v>
      </c>
      <c r="I272" s="8" t="s">
        <v>50</v>
      </c>
      <c r="J272" s="8" t="s">
        <v>51</v>
      </c>
      <c r="K272" s="9" t="s">
        <v>52</v>
      </c>
      <c r="L272" s="8" t="s">
        <v>53</v>
      </c>
      <c r="M272" s="8" t="s">
        <v>54</v>
      </c>
      <c r="N272" s="53" t="s">
        <v>55</v>
      </c>
      <c r="O272" s="53" t="s">
        <v>70</v>
      </c>
      <c r="P272" s="20" t="s">
        <v>1244</v>
      </c>
      <c r="Q272" s="21" t="s">
        <v>94</v>
      </c>
      <c r="R272" s="20" t="s">
        <v>922</v>
      </c>
      <c r="S272" s="20" t="s">
        <v>1245</v>
      </c>
      <c r="T272" s="22">
        <v>5.73166419256E11</v>
      </c>
      <c r="U272" s="53" t="s">
        <v>75</v>
      </c>
      <c r="V272" s="11"/>
      <c r="W272" s="11"/>
      <c r="X272" s="11"/>
      <c r="Y272" s="54">
        <v>5.0</v>
      </c>
      <c r="Z272" s="13"/>
      <c r="AA272" s="13"/>
      <c r="AB272" s="13"/>
      <c r="AC272" s="13"/>
      <c r="AD272" s="13"/>
      <c r="AE272" s="13"/>
      <c r="AF272" s="14"/>
      <c r="AG272" s="14"/>
      <c r="AH272" s="15"/>
      <c r="AI272" s="16"/>
      <c r="AJ272" s="13"/>
      <c r="AK272" s="17"/>
      <c r="AL272" s="17"/>
      <c r="AM272" s="17"/>
      <c r="AN272" s="17"/>
      <c r="AO272" s="13"/>
      <c r="AP272" s="14"/>
    </row>
    <row r="273">
      <c r="A273" s="8" t="s">
        <v>1246</v>
      </c>
      <c r="B273" s="8" t="s">
        <v>1247</v>
      </c>
      <c r="C273" s="8" t="s">
        <v>1202</v>
      </c>
      <c r="D273" s="8" t="s">
        <v>1203</v>
      </c>
      <c r="E273" s="8" t="s">
        <v>1204</v>
      </c>
      <c r="F273" s="8" t="s">
        <v>47</v>
      </c>
      <c r="G273" s="8" t="s">
        <v>1205</v>
      </c>
      <c r="H273" s="8" t="s">
        <v>1206</v>
      </c>
      <c r="I273" s="8" t="s">
        <v>50</v>
      </c>
      <c r="J273" s="8" t="s">
        <v>51</v>
      </c>
      <c r="K273" s="9" t="s">
        <v>52</v>
      </c>
      <c r="L273" s="8" t="s">
        <v>84</v>
      </c>
      <c r="M273" s="8" t="s">
        <v>69</v>
      </c>
      <c r="N273" s="53" t="s">
        <v>55</v>
      </c>
      <c r="O273" s="53" t="s">
        <v>70</v>
      </c>
      <c r="P273" s="20" t="s">
        <v>783</v>
      </c>
      <c r="Q273" s="21" t="s">
        <v>111</v>
      </c>
      <c r="R273" s="21" t="s">
        <v>487</v>
      </c>
      <c r="S273" s="20" t="s">
        <v>1248</v>
      </c>
      <c r="T273" s="22">
        <v>5.73202296762E11</v>
      </c>
      <c r="U273" s="53" t="s">
        <v>75</v>
      </c>
      <c r="V273" s="11"/>
      <c r="W273" s="11"/>
      <c r="X273" s="11"/>
      <c r="Y273" s="54">
        <v>5.0</v>
      </c>
      <c r="Z273" s="13"/>
      <c r="AA273" s="13"/>
      <c r="AB273" s="13"/>
      <c r="AC273" s="13"/>
      <c r="AD273" s="13"/>
      <c r="AE273" s="13"/>
      <c r="AF273" s="14"/>
      <c r="AG273" s="14"/>
      <c r="AH273" s="15"/>
      <c r="AI273" s="16"/>
      <c r="AJ273" s="13"/>
      <c r="AK273" s="17"/>
      <c r="AL273" s="17"/>
      <c r="AM273" s="17"/>
      <c r="AN273" s="17"/>
      <c r="AO273" s="13"/>
      <c r="AP273" s="14"/>
    </row>
    <row r="274">
      <c r="A274" s="8" t="s">
        <v>1249</v>
      </c>
      <c r="B274" s="8" t="s">
        <v>1250</v>
      </c>
      <c r="C274" s="8" t="s">
        <v>1202</v>
      </c>
      <c r="D274" s="8" t="s">
        <v>1203</v>
      </c>
      <c r="E274" s="8" t="s">
        <v>1204</v>
      </c>
      <c r="F274" s="8" t="s">
        <v>47</v>
      </c>
      <c r="G274" s="8" t="s">
        <v>1205</v>
      </c>
      <c r="H274" s="8" t="s">
        <v>1206</v>
      </c>
      <c r="I274" s="8" t="s">
        <v>50</v>
      </c>
      <c r="J274" s="8" t="s">
        <v>51</v>
      </c>
      <c r="K274" s="9" t="s">
        <v>52</v>
      </c>
      <c r="L274" s="8" t="s">
        <v>53</v>
      </c>
      <c r="M274" s="8" t="s">
        <v>54</v>
      </c>
      <c r="N274" s="53" t="s">
        <v>55</v>
      </c>
      <c r="O274" s="53" t="s">
        <v>86</v>
      </c>
      <c r="P274" s="20" t="s">
        <v>1215</v>
      </c>
      <c r="Q274" s="21" t="s">
        <v>111</v>
      </c>
      <c r="R274" s="20" t="s">
        <v>1251</v>
      </c>
      <c r="S274" s="20" t="s">
        <v>1252</v>
      </c>
      <c r="T274" s="22">
        <v>5.73132256146E11</v>
      </c>
      <c r="U274" s="53" t="s">
        <v>75</v>
      </c>
      <c r="V274" s="11"/>
      <c r="W274" s="11"/>
      <c r="X274" s="11"/>
      <c r="Y274" s="99">
        <v>45779.0</v>
      </c>
      <c r="Z274" s="28"/>
      <c r="AA274" s="28"/>
      <c r="AB274" s="28"/>
      <c r="AC274" s="28"/>
      <c r="AD274" s="28"/>
      <c r="AE274" s="28"/>
      <c r="AF274" s="29"/>
      <c r="AG274" s="29"/>
      <c r="AH274" s="30"/>
      <c r="AI274" s="31"/>
      <c r="AJ274" s="28"/>
      <c r="AK274" s="32"/>
      <c r="AL274" s="32"/>
      <c r="AM274" s="32"/>
      <c r="AN274" s="32"/>
      <c r="AO274" s="28"/>
      <c r="AP274" s="29"/>
    </row>
    <row r="275">
      <c r="A275" s="8" t="s">
        <v>1253</v>
      </c>
      <c r="B275" s="8" t="s">
        <v>1254</v>
      </c>
      <c r="C275" s="8" t="s">
        <v>1202</v>
      </c>
      <c r="D275" s="8" t="s">
        <v>1203</v>
      </c>
      <c r="E275" s="8" t="s">
        <v>1204</v>
      </c>
      <c r="F275" s="8" t="s">
        <v>47</v>
      </c>
      <c r="G275" s="8" t="s">
        <v>1205</v>
      </c>
      <c r="H275" s="8" t="s">
        <v>1206</v>
      </c>
      <c r="I275" s="8" t="s">
        <v>50</v>
      </c>
      <c r="J275" s="8" t="s">
        <v>51</v>
      </c>
      <c r="K275" s="9" t="s">
        <v>52</v>
      </c>
      <c r="L275" s="8" t="s">
        <v>53</v>
      </c>
      <c r="M275" s="8" t="s">
        <v>69</v>
      </c>
      <c r="N275" s="53" t="s">
        <v>137</v>
      </c>
      <c r="O275" s="53" t="s">
        <v>70</v>
      </c>
      <c r="P275" s="20" t="s">
        <v>1255</v>
      </c>
      <c r="Q275" s="21" t="s">
        <v>94</v>
      </c>
      <c r="R275" s="20" t="s">
        <v>1256</v>
      </c>
      <c r="S275" s="20" t="s">
        <v>1257</v>
      </c>
      <c r="T275" s="22">
        <v>5.73008565609E11</v>
      </c>
      <c r="U275" s="53" t="s">
        <v>75</v>
      </c>
      <c r="V275" s="11"/>
      <c r="W275" s="11"/>
      <c r="X275" s="11"/>
      <c r="Y275" s="54">
        <v>5.0</v>
      </c>
      <c r="Z275" s="28"/>
      <c r="AA275" s="28"/>
      <c r="AB275" s="28"/>
      <c r="AC275" s="28"/>
      <c r="AD275" s="28"/>
      <c r="AE275" s="28"/>
      <c r="AF275" s="29"/>
      <c r="AG275" s="29"/>
      <c r="AH275" s="30"/>
      <c r="AI275" s="31"/>
      <c r="AJ275" s="28"/>
      <c r="AK275" s="32"/>
      <c r="AL275" s="32"/>
      <c r="AM275" s="32"/>
      <c r="AN275" s="32"/>
      <c r="AO275" s="28"/>
      <c r="AP275" s="29"/>
    </row>
    <row r="276">
      <c r="A276" s="8" t="s">
        <v>1258</v>
      </c>
      <c r="B276" s="8" t="s">
        <v>1259</v>
      </c>
      <c r="C276" s="8" t="s">
        <v>1202</v>
      </c>
      <c r="D276" s="8" t="s">
        <v>1203</v>
      </c>
      <c r="E276" s="8" t="s">
        <v>1204</v>
      </c>
      <c r="F276" s="8" t="s">
        <v>47</v>
      </c>
      <c r="G276" s="8" t="s">
        <v>1205</v>
      </c>
      <c r="H276" s="8" t="s">
        <v>1206</v>
      </c>
      <c r="I276" s="8" t="s">
        <v>50</v>
      </c>
      <c r="J276" s="8" t="s">
        <v>51</v>
      </c>
      <c r="K276" s="9" t="s">
        <v>52</v>
      </c>
      <c r="L276" s="8" t="s">
        <v>53</v>
      </c>
      <c r="M276" s="8" t="s">
        <v>69</v>
      </c>
      <c r="N276" s="53" t="s">
        <v>55</v>
      </c>
      <c r="O276" s="53" t="s">
        <v>70</v>
      </c>
      <c r="P276" s="20" t="s">
        <v>1260</v>
      </c>
      <c r="Q276" s="21" t="s">
        <v>94</v>
      </c>
      <c r="R276" s="20" t="s">
        <v>223</v>
      </c>
      <c r="S276" s="20" t="s">
        <v>1261</v>
      </c>
      <c r="T276" s="22">
        <v>5.73008858971E11</v>
      </c>
      <c r="U276" s="53" t="s">
        <v>75</v>
      </c>
      <c r="V276" s="11"/>
      <c r="W276" s="11"/>
      <c r="X276" s="11"/>
      <c r="Y276" s="54">
        <v>5.0</v>
      </c>
      <c r="Z276" s="28"/>
      <c r="AA276" s="28"/>
      <c r="AB276" s="28"/>
      <c r="AC276" s="28"/>
      <c r="AD276" s="28"/>
      <c r="AE276" s="28"/>
      <c r="AF276" s="29"/>
      <c r="AG276" s="29"/>
      <c r="AH276" s="30"/>
      <c r="AI276" s="31"/>
      <c r="AJ276" s="28"/>
      <c r="AK276" s="32"/>
      <c r="AL276" s="32"/>
      <c r="AM276" s="32"/>
      <c r="AN276" s="32"/>
      <c r="AO276" s="28"/>
      <c r="AP276" s="29"/>
    </row>
    <row r="277">
      <c r="A277" s="8" t="s">
        <v>1262</v>
      </c>
      <c r="B277" s="8" t="s">
        <v>1263</v>
      </c>
      <c r="C277" s="8" t="s">
        <v>1202</v>
      </c>
      <c r="D277" s="8" t="s">
        <v>1203</v>
      </c>
      <c r="E277" s="8" t="s">
        <v>1204</v>
      </c>
      <c r="F277" s="8" t="s">
        <v>47</v>
      </c>
      <c r="G277" s="8" t="s">
        <v>1205</v>
      </c>
      <c r="H277" s="8" t="s">
        <v>1206</v>
      </c>
      <c r="I277" s="8" t="s">
        <v>50</v>
      </c>
      <c r="J277" s="8" t="s">
        <v>51</v>
      </c>
      <c r="K277" s="9" t="s">
        <v>52</v>
      </c>
      <c r="L277" s="8" t="s">
        <v>53</v>
      </c>
      <c r="M277" s="8" t="s">
        <v>69</v>
      </c>
      <c r="N277" s="53" t="s">
        <v>137</v>
      </c>
      <c r="O277" s="53" t="s">
        <v>70</v>
      </c>
      <c r="P277" s="20" t="s">
        <v>99</v>
      </c>
      <c r="Q277" s="21" t="s">
        <v>58</v>
      </c>
      <c r="R277" s="20" t="s">
        <v>1264</v>
      </c>
      <c r="S277" s="20" t="s">
        <v>1265</v>
      </c>
      <c r="T277" s="22">
        <v>5.73043988498E11</v>
      </c>
      <c r="U277" s="53" t="s">
        <v>61</v>
      </c>
      <c r="V277" s="11"/>
      <c r="W277" s="11"/>
      <c r="X277" s="11"/>
      <c r="Y277" s="54">
        <v>5.0</v>
      </c>
      <c r="Z277" s="28"/>
      <c r="AA277" s="28"/>
      <c r="AB277" s="28"/>
      <c r="AC277" s="28"/>
      <c r="AD277" s="28"/>
      <c r="AE277" s="28"/>
      <c r="AF277" s="29"/>
      <c r="AG277" s="29"/>
      <c r="AH277" s="30"/>
      <c r="AI277" s="31"/>
      <c r="AJ277" s="28"/>
      <c r="AK277" s="32"/>
      <c r="AL277" s="32"/>
      <c r="AM277" s="32"/>
      <c r="AN277" s="32"/>
      <c r="AO277" s="28"/>
      <c r="AP277" s="29"/>
    </row>
    <row r="278">
      <c r="A278" s="8" t="s">
        <v>1266</v>
      </c>
      <c r="B278" s="8" t="s">
        <v>1267</v>
      </c>
      <c r="C278" s="8" t="s">
        <v>1202</v>
      </c>
      <c r="D278" s="8" t="s">
        <v>1203</v>
      </c>
      <c r="E278" s="8" t="s">
        <v>1204</v>
      </c>
      <c r="F278" s="8" t="s">
        <v>47</v>
      </c>
      <c r="G278" s="8" t="s">
        <v>1205</v>
      </c>
      <c r="H278" s="8" t="s">
        <v>1206</v>
      </c>
      <c r="I278" s="8" t="s">
        <v>50</v>
      </c>
      <c r="J278" s="8" t="s">
        <v>51</v>
      </c>
      <c r="K278" s="9" t="s">
        <v>52</v>
      </c>
      <c r="L278" s="8" t="s">
        <v>53</v>
      </c>
      <c r="M278" s="8" t="s">
        <v>69</v>
      </c>
      <c r="N278" s="53" t="s">
        <v>55</v>
      </c>
      <c r="O278" s="53" t="s">
        <v>70</v>
      </c>
      <c r="P278" s="20" t="s">
        <v>1268</v>
      </c>
      <c r="Q278" s="21" t="s">
        <v>735</v>
      </c>
      <c r="R278" s="20" t="s">
        <v>1107</v>
      </c>
      <c r="S278" s="20" t="s">
        <v>1269</v>
      </c>
      <c r="T278" s="22">
        <v>5.73005556002E11</v>
      </c>
      <c r="U278" s="53" t="s">
        <v>61</v>
      </c>
      <c r="V278" s="11"/>
      <c r="W278" s="11"/>
      <c r="X278" s="11"/>
      <c r="Y278" s="54">
        <v>5.0</v>
      </c>
      <c r="Z278" s="28"/>
      <c r="AA278" s="28"/>
      <c r="AB278" s="28"/>
      <c r="AC278" s="28"/>
      <c r="AD278" s="28"/>
      <c r="AE278" s="28"/>
      <c r="AF278" s="29"/>
      <c r="AG278" s="29"/>
      <c r="AH278" s="30"/>
      <c r="AI278" s="31"/>
      <c r="AJ278" s="28"/>
      <c r="AK278" s="32"/>
      <c r="AL278" s="32"/>
      <c r="AM278" s="32"/>
      <c r="AN278" s="32"/>
      <c r="AO278" s="28"/>
      <c r="AP278" s="29"/>
    </row>
    <row r="279">
      <c r="A279" s="8" t="s">
        <v>1270</v>
      </c>
      <c r="B279" s="8" t="s">
        <v>1271</v>
      </c>
      <c r="C279" s="8" t="s">
        <v>1202</v>
      </c>
      <c r="D279" s="8" t="s">
        <v>1203</v>
      </c>
      <c r="E279" s="8" t="s">
        <v>1204</v>
      </c>
      <c r="F279" s="8" t="s">
        <v>47</v>
      </c>
      <c r="G279" s="8" t="s">
        <v>1205</v>
      </c>
      <c r="H279" s="8" t="s">
        <v>1206</v>
      </c>
      <c r="I279" s="8" t="s">
        <v>50</v>
      </c>
      <c r="J279" s="8" t="s">
        <v>51</v>
      </c>
      <c r="K279" s="9" t="s">
        <v>52</v>
      </c>
      <c r="L279" s="8" t="s">
        <v>53</v>
      </c>
      <c r="M279" s="8" t="s">
        <v>54</v>
      </c>
      <c r="N279" s="53" t="s">
        <v>55</v>
      </c>
      <c r="O279" s="53" t="s">
        <v>70</v>
      </c>
      <c r="P279" s="20" t="s">
        <v>141</v>
      </c>
      <c r="Q279" s="21" t="s">
        <v>122</v>
      </c>
      <c r="R279" s="20" t="s">
        <v>1162</v>
      </c>
      <c r="S279" s="20" t="s">
        <v>1272</v>
      </c>
      <c r="T279" s="22">
        <v>3.167209482E9</v>
      </c>
      <c r="U279" s="53" t="s">
        <v>75</v>
      </c>
      <c r="V279" s="11"/>
      <c r="W279" s="11"/>
      <c r="X279" s="11"/>
      <c r="Y279" s="54">
        <v>5.0</v>
      </c>
      <c r="Z279" s="28"/>
      <c r="AA279" s="28"/>
      <c r="AB279" s="28"/>
      <c r="AC279" s="28"/>
      <c r="AD279" s="28"/>
      <c r="AE279" s="28"/>
      <c r="AF279" s="29"/>
      <c r="AG279" s="29"/>
      <c r="AH279" s="30"/>
      <c r="AI279" s="31"/>
      <c r="AJ279" s="28"/>
      <c r="AK279" s="32"/>
      <c r="AL279" s="32"/>
      <c r="AM279" s="32"/>
      <c r="AN279" s="32"/>
      <c r="AO279" s="28"/>
      <c r="AP279" s="29"/>
    </row>
    <row r="280">
      <c r="A280" s="8" t="s">
        <v>1273</v>
      </c>
      <c r="B280" s="8" t="s">
        <v>1274</v>
      </c>
      <c r="C280" s="8" t="s">
        <v>1202</v>
      </c>
      <c r="D280" s="8" t="s">
        <v>1203</v>
      </c>
      <c r="E280" s="8" t="s">
        <v>1204</v>
      </c>
      <c r="F280" s="8" t="s">
        <v>47</v>
      </c>
      <c r="G280" s="8" t="s">
        <v>1205</v>
      </c>
      <c r="H280" s="8" t="s">
        <v>1206</v>
      </c>
      <c r="I280" s="8" t="s">
        <v>50</v>
      </c>
      <c r="J280" s="8" t="s">
        <v>51</v>
      </c>
      <c r="K280" s="9" t="s">
        <v>52</v>
      </c>
      <c r="L280" s="8" t="s">
        <v>53</v>
      </c>
      <c r="M280" s="8" t="s">
        <v>69</v>
      </c>
      <c r="N280" s="53" t="s">
        <v>85</v>
      </c>
      <c r="O280" s="53" t="s">
        <v>70</v>
      </c>
      <c r="P280" s="20" t="s">
        <v>152</v>
      </c>
      <c r="Q280" s="21" t="s">
        <v>94</v>
      </c>
      <c r="R280" s="21" t="s">
        <v>1275</v>
      </c>
      <c r="S280" s="20" t="s">
        <v>1276</v>
      </c>
      <c r="T280" s="22">
        <v>5.73007782573E11</v>
      </c>
      <c r="U280" s="53" t="s">
        <v>75</v>
      </c>
      <c r="V280" s="11"/>
      <c r="W280" s="11"/>
      <c r="X280" s="11"/>
      <c r="Y280" s="54">
        <v>5.0</v>
      </c>
      <c r="Z280" s="13"/>
      <c r="AA280" s="13"/>
      <c r="AB280" s="13"/>
      <c r="AC280" s="13"/>
      <c r="AD280" s="13"/>
      <c r="AE280" s="13"/>
      <c r="AF280" s="14"/>
      <c r="AG280" s="14"/>
      <c r="AH280" s="15"/>
      <c r="AI280" s="16"/>
      <c r="AJ280" s="13"/>
      <c r="AK280" s="17"/>
      <c r="AL280" s="17"/>
      <c r="AM280" s="17"/>
      <c r="AN280" s="17"/>
      <c r="AO280" s="13"/>
      <c r="AP280" s="14"/>
    </row>
    <row r="281">
      <c r="A281" s="8" t="s">
        <v>1277</v>
      </c>
      <c r="B281" s="8" t="s">
        <v>1278</v>
      </c>
      <c r="C281" s="8" t="s">
        <v>1202</v>
      </c>
      <c r="D281" s="8" t="s">
        <v>1203</v>
      </c>
      <c r="E281" s="8" t="s">
        <v>1204</v>
      </c>
      <c r="F281" s="8" t="s">
        <v>47</v>
      </c>
      <c r="G281" s="8" t="s">
        <v>1205</v>
      </c>
      <c r="H281" s="8" t="s">
        <v>1206</v>
      </c>
      <c r="I281" s="8" t="s">
        <v>50</v>
      </c>
      <c r="J281" s="8" t="s">
        <v>51</v>
      </c>
      <c r="K281" s="9" t="s">
        <v>52</v>
      </c>
      <c r="L281" s="8" t="s">
        <v>53</v>
      </c>
      <c r="M281" s="8" t="s">
        <v>69</v>
      </c>
      <c r="N281" s="53" t="s">
        <v>55</v>
      </c>
      <c r="O281" s="53" t="s">
        <v>70</v>
      </c>
      <c r="P281" s="20" t="s">
        <v>1279</v>
      </c>
      <c r="Q281" s="21" t="s">
        <v>58</v>
      </c>
      <c r="R281" s="20" t="s">
        <v>512</v>
      </c>
      <c r="S281" s="20" t="s">
        <v>1280</v>
      </c>
      <c r="T281" s="22">
        <v>5.73204234396E11</v>
      </c>
      <c r="U281" s="53" t="s">
        <v>75</v>
      </c>
      <c r="V281" s="11"/>
      <c r="W281" s="11"/>
      <c r="X281" s="11"/>
      <c r="Y281" s="54">
        <v>5.0</v>
      </c>
      <c r="Z281" s="13"/>
      <c r="AA281" s="13"/>
      <c r="AB281" s="13"/>
      <c r="AC281" s="13"/>
      <c r="AD281" s="13"/>
      <c r="AE281" s="13"/>
      <c r="AF281" s="14"/>
      <c r="AG281" s="14"/>
      <c r="AH281" s="15"/>
      <c r="AI281" s="16"/>
      <c r="AJ281" s="13"/>
      <c r="AK281" s="17"/>
      <c r="AL281" s="17"/>
      <c r="AM281" s="17"/>
      <c r="AN281" s="17"/>
      <c r="AO281" s="13"/>
      <c r="AP281" s="14"/>
    </row>
    <row r="282">
      <c r="A282" s="8" t="s">
        <v>1281</v>
      </c>
      <c r="B282" s="8" t="s">
        <v>1282</v>
      </c>
      <c r="C282" s="8" t="s">
        <v>1202</v>
      </c>
      <c r="D282" s="8" t="s">
        <v>1203</v>
      </c>
      <c r="E282" s="8" t="s">
        <v>1204</v>
      </c>
      <c r="F282" s="8" t="s">
        <v>47</v>
      </c>
      <c r="G282" s="8" t="s">
        <v>1205</v>
      </c>
      <c r="H282" s="8" t="s">
        <v>1206</v>
      </c>
      <c r="I282" s="8" t="s">
        <v>50</v>
      </c>
      <c r="J282" s="8" t="s">
        <v>51</v>
      </c>
      <c r="K282" s="9" t="s">
        <v>52</v>
      </c>
      <c r="L282" s="8" t="s">
        <v>84</v>
      </c>
      <c r="M282" s="8" t="s">
        <v>69</v>
      </c>
      <c r="N282" s="53" t="s">
        <v>85</v>
      </c>
      <c r="O282" s="53" t="s">
        <v>70</v>
      </c>
      <c r="P282" s="20" t="s">
        <v>1283</v>
      </c>
      <c r="Q282" s="21" t="s">
        <v>58</v>
      </c>
      <c r="R282" s="20" t="s">
        <v>1284</v>
      </c>
      <c r="S282" s="20" t="s">
        <v>1285</v>
      </c>
      <c r="T282" s="22">
        <v>5.73113444138E11</v>
      </c>
      <c r="U282" s="53" t="s">
        <v>75</v>
      </c>
      <c r="V282" s="11"/>
      <c r="W282" s="11"/>
      <c r="X282" s="11"/>
      <c r="Y282" s="54">
        <v>5.0</v>
      </c>
      <c r="Z282" s="13"/>
      <c r="AA282" s="13"/>
      <c r="AB282" s="13"/>
      <c r="AC282" s="13"/>
      <c r="AD282" s="13"/>
      <c r="AE282" s="13"/>
      <c r="AF282" s="14"/>
      <c r="AG282" s="14"/>
      <c r="AH282" s="15"/>
      <c r="AI282" s="16"/>
      <c r="AJ282" s="13"/>
      <c r="AK282" s="17"/>
      <c r="AL282" s="17"/>
      <c r="AM282" s="17"/>
      <c r="AN282" s="17"/>
      <c r="AO282" s="13"/>
      <c r="AP282" s="14"/>
    </row>
    <row r="283">
      <c r="A283" s="8" t="s">
        <v>1286</v>
      </c>
      <c r="B283" s="8" t="s">
        <v>1287</v>
      </c>
      <c r="C283" s="8" t="s">
        <v>1202</v>
      </c>
      <c r="D283" s="8" t="s">
        <v>1203</v>
      </c>
      <c r="E283" s="8" t="s">
        <v>1204</v>
      </c>
      <c r="F283" s="8" t="s">
        <v>47</v>
      </c>
      <c r="G283" s="8" t="s">
        <v>1205</v>
      </c>
      <c r="H283" s="8" t="s">
        <v>1206</v>
      </c>
      <c r="I283" s="8" t="s">
        <v>50</v>
      </c>
      <c r="J283" s="8" t="s">
        <v>51</v>
      </c>
      <c r="K283" s="9" t="s">
        <v>52</v>
      </c>
      <c r="L283" s="8" t="s">
        <v>53</v>
      </c>
      <c r="M283" s="8" t="s">
        <v>54</v>
      </c>
      <c r="N283" s="53" t="s">
        <v>55</v>
      </c>
      <c r="O283" s="53" t="s">
        <v>70</v>
      </c>
      <c r="P283" s="20" t="s">
        <v>99</v>
      </c>
      <c r="Q283" s="21" t="s">
        <v>94</v>
      </c>
      <c r="R283" s="20" t="s">
        <v>207</v>
      </c>
      <c r="S283" s="20" t="s">
        <v>1288</v>
      </c>
      <c r="T283" s="22">
        <v>5.73128878985E11</v>
      </c>
      <c r="U283" s="53" t="s">
        <v>61</v>
      </c>
      <c r="V283" s="11"/>
      <c r="W283" s="11"/>
      <c r="X283" s="11"/>
      <c r="Y283" s="54">
        <v>5.0</v>
      </c>
      <c r="Z283" s="28"/>
      <c r="AA283" s="28"/>
      <c r="AB283" s="28"/>
      <c r="AC283" s="28"/>
      <c r="AD283" s="28"/>
      <c r="AE283" s="28"/>
      <c r="AF283" s="29"/>
      <c r="AG283" s="29"/>
      <c r="AH283" s="30"/>
      <c r="AI283" s="31"/>
      <c r="AJ283" s="28"/>
      <c r="AK283" s="32"/>
      <c r="AL283" s="32"/>
      <c r="AM283" s="32"/>
      <c r="AN283" s="32"/>
      <c r="AO283" s="28"/>
      <c r="AP283" s="29"/>
    </row>
    <row r="284">
      <c r="A284" s="8" t="s">
        <v>1289</v>
      </c>
      <c r="B284" s="8" t="s">
        <v>1290</v>
      </c>
      <c r="C284" s="8" t="s">
        <v>1202</v>
      </c>
      <c r="D284" s="8" t="s">
        <v>1203</v>
      </c>
      <c r="E284" s="8" t="s">
        <v>1204</v>
      </c>
      <c r="F284" s="8" t="s">
        <v>47</v>
      </c>
      <c r="G284" s="8" t="s">
        <v>1205</v>
      </c>
      <c r="H284" s="8" t="s">
        <v>1206</v>
      </c>
      <c r="I284" s="8" t="s">
        <v>50</v>
      </c>
      <c r="J284" s="8" t="s">
        <v>51</v>
      </c>
      <c r="K284" s="9" t="s">
        <v>52</v>
      </c>
      <c r="L284" s="8" t="s">
        <v>53</v>
      </c>
      <c r="M284" s="8" t="s">
        <v>54</v>
      </c>
      <c r="N284" s="53" t="s">
        <v>55</v>
      </c>
      <c r="O284" s="53" t="s">
        <v>70</v>
      </c>
      <c r="P284" s="20" t="s">
        <v>141</v>
      </c>
      <c r="Q284" s="21" t="s">
        <v>111</v>
      </c>
      <c r="R284" s="20" t="s">
        <v>73</v>
      </c>
      <c r="S284" s="20" t="s">
        <v>1291</v>
      </c>
      <c r="T284" s="22">
        <v>5.73225504619E11</v>
      </c>
      <c r="U284" s="53" t="s">
        <v>61</v>
      </c>
      <c r="V284" s="11"/>
      <c r="W284" s="11"/>
      <c r="X284" s="11"/>
      <c r="Y284" s="54">
        <v>5.0</v>
      </c>
      <c r="Z284" s="13"/>
      <c r="AA284" s="13"/>
      <c r="AB284" s="13"/>
      <c r="AC284" s="13"/>
      <c r="AD284" s="13"/>
      <c r="AE284" s="13"/>
      <c r="AF284" s="14"/>
      <c r="AG284" s="14"/>
      <c r="AH284" s="15"/>
      <c r="AI284" s="16"/>
      <c r="AJ284" s="13"/>
      <c r="AK284" s="17"/>
      <c r="AL284" s="17"/>
      <c r="AM284" s="17"/>
      <c r="AN284" s="17"/>
      <c r="AO284" s="13"/>
      <c r="AP284" s="14"/>
    </row>
    <row r="285">
      <c r="A285" s="8" t="s">
        <v>1292</v>
      </c>
      <c r="B285" s="8" t="s">
        <v>1293</v>
      </c>
      <c r="C285" s="8" t="s">
        <v>1202</v>
      </c>
      <c r="D285" s="8" t="s">
        <v>1203</v>
      </c>
      <c r="E285" s="8" t="s">
        <v>1204</v>
      </c>
      <c r="F285" s="8" t="s">
        <v>47</v>
      </c>
      <c r="G285" s="8" t="s">
        <v>1205</v>
      </c>
      <c r="H285" s="8" t="s">
        <v>1206</v>
      </c>
      <c r="I285" s="8" t="s">
        <v>50</v>
      </c>
      <c r="J285" s="8" t="s">
        <v>51</v>
      </c>
      <c r="K285" s="9" t="s">
        <v>52</v>
      </c>
      <c r="L285" s="8" t="s">
        <v>84</v>
      </c>
      <c r="M285" s="8" t="s">
        <v>69</v>
      </c>
      <c r="N285" s="53" t="s">
        <v>55</v>
      </c>
      <c r="O285" s="53" t="s">
        <v>70</v>
      </c>
      <c r="P285" s="20" t="s">
        <v>1294</v>
      </c>
      <c r="Q285" s="21" t="s">
        <v>105</v>
      </c>
      <c r="R285" s="21" t="s">
        <v>1295</v>
      </c>
      <c r="S285" s="20" t="s">
        <v>1296</v>
      </c>
      <c r="T285" s="22">
        <v>5.73012089189E11</v>
      </c>
      <c r="U285" s="53" t="s">
        <v>75</v>
      </c>
      <c r="V285" s="11"/>
      <c r="W285" s="11"/>
      <c r="X285" s="11"/>
      <c r="Y285" s="54">
        <v>5.0</v>
      </c>
      <c r="Z285" s="13"/>
      <c r="AA285" s="13"/>
      <c r="AB285" s="13"/>
      <c r="AC285" s="13"/>
      <c r="AD285" s="13"/>
      <c r="AE285" s="13"/>
      <c r="AF285" s="14"/>
      <c r="AG285" s="14"/>
      <c r="AH285" s="15"/>
      <c r="AI285" s="16"/>
      <c r="AJ285" s="13"/>
      <c r="AK285" s="17"/>
      <c r="AL285" s="17"/>
      <c r="AM285" s="17"/>
      <c r="AN285" s="17"/>
      <c r="AO285" s="13"/>
      <c r="AP285" s="14"/>
    </row>
    <row r="286">
      <c r="A286" s="8" t="s">
        <v>1297</v>
      </c>
      <c r="B286" s="8" t="s">
        <v>1298</v>
      </c>
      <c r="C286" s="8" t="s">
        <v>1202</v>
      </c>
      <c r="D286" s="8" t="s">
        <v>1203</v>
      </c>
      <c r="E286" s="8" t="s">
        <v>1204</v>
      </c>
      <c r="F286" s="8" t="s">
        <v>47</v>
      </c>
      <c r="G286" s="8" t="s">
        <v>1205</v>
      </c>
      <c r="H286" s="8" t="s">
        <v>1206</v>
      </c>
      <c r="I286" s="8" t="s">
        <v>50</v>
      </c>
      <c r="J286" s="8" t="s">
        <v>51</v>
      </c>
      <c r="K286" s="9" t="s">
        <v>52</v>
      </c>
      <c r="L286" s="8" t="s">
        <v>53</v>
      </c>
      <c r="M286" s="8" t="s">
        <v>69</v>
      </c>
      <c r="N286" s="53" t="s">
        <v>55</v>
      </c>
      <c r="O286" s="53" t="s">
        <v>70</v>
      </c>
      <c r="P286" s="20" t="s">
        <v>99</v>
      </c>
      <c r="Q286" s="21" t="s">
        <v>183</v>
      </c>
      <c r="R286" s="20" t="s">
        <v>918</v>
      </c>
      <c r="S286" s="20" t="s">
        <v>1299</v>
      </c>
      <c r="T286" s="22">
        <v>5.73023613047E11</v>
      </c>
      <c r="U286" s="53" t="s">
        <v>61</v>
      </c>
      <c r="V286" s="11"/>
      <c r="W286" s="11"/>
      <c r="X286" s="11"/>
      <c r="Y286" s="54">
        <v>5.0</v>
      </c>
      <c r="Z286" s="28"/>
      <c r="AA286" s="28"/>
      <c r="AB286" s="28"/>
      <c r="AC286" s="28"/>
      <c r="AD286" s="28"/>
      <c r="AE286" s="28"/>
      <c r="AF286" s="29"/>
      <c r="AG286" s="29"/>
      <c r="AH286" s="30"/>
      <c r="AI286" s="31"/>
      <c r="AJ286" s="28"/>
      <c r="AK286" s="32"/>
      <c r="AL286" s="32"/>
      <c r="AM286" s="32"/>
      <c r="AN286" s="32"/>
      <c r="AO286" s="28"/>
      <c r="AP286" s="29"/>
    </row>
    <row r="287">
      <c r="A287" s="8" t="s">
        <v>1300</v>
      </c>
      <c r="B287" s="8" t="s">
        <v>1301</v>
      </c>
      <c r="C287" s="8" t="s">
        <v>1202</v>
      </c>
      <c r="D287" s="8" t="s">
        <v>1203</v>
      </c>
      <c r="E287" s="8" t="s">
        <v>1204</v>
      </c>
      <c r="F287" s="8" t="s">
        <v>47</v>
      </c>
      <c r="G287" s="8" t="s">
        <v>1205</v>
      </c>
      <c r="H287" s="8" t="s">
        <v>1206</v>
      </c>
      <c r="I287" s="8" t="s">
        <v>50</v>
      </c>
      <c r="J287" s="8" t="s">
        <v>51</v>
      </c>
      <c r="K287" s="9" t="s">
        <v>52</v>
      </c>
      <c r="L287" s="8" t="s">
        <v>53</v>
      </c>
      <c r="M287" s="8" t="s">
        <v>54</v>
      </c>
      <c r="N287" s="53" t="s">
        <v>55</v>
      </c>
      <c r="O287" s="53" t="s">
        <v>70</v>
      </c>
      <c r="P287" s="20" t="s">
        <v>282</v>
      </c>
      <c r="Q287" s="21" t="s">
        <v>111</v>
      </c>
      <c r="R287" s="20" t="s">
        <v>1302</v>
      </c>
      <c r="S287" s="20" t="s">
        <v>1303</v>
      </c>
      <c r="T287" s="22">
        <v>5.73222221673E11</v>
      </c>
      <c r="U287" s="53" t="s">
        <v>61</v>
      </c>
      <c r="V287" s="11"/>
      <c r="W287" s="11"/>
      <c r="X287" s="11"/>
      <c r="Y287" s="54">
        <v>5.0</v>
      </c>
      <c r="Z287" s="28"/>
      <c r="AA287" s="28"/>
      <c r="AB287" s="28"/>
      <c r="AC287" s="28"/>
      <c r="AD287" s="28"/>
      <c r="AE287" s="28"/>
      <c r="AF287" s="29"/>
      <c r="AG287" s="29"/>
      <c r="AH287" s="30"/>
      <c r="AI287" s="31"/>
      <c r="AJ287" s="28"/>
      <c r="AK287" s="32"/>
      <c r="AL287" s="32"/>
      <c r="AM287" s="32"/>
      <c r="AN287" s="32"/>
      <c r="AO287" s="28"/>
      <c r="AP287" s="29"/>
    </row>
    <row r="288">
      <c r="A288" s="8" t="s">
        <v>1304</v>
      </c>
      <c r="B288" s="8" t="s">
        <v>1305</v>
      </c>
      <c r="C288" s="8" t="s">
        <v>1202</v>
      </c>
      <c r="D288" s="8" t="s">
        <v>1203</v>
      </c>
      <c r="E288" s="8" t="s">
        <v>1204</v>
      </c>
      <c r="F288" s="8" t="s">
        <v>47</v>
      </c>
      <c r="G288" s="8" t="s">
        <v>1205</v>
      </c>
      <c r="H288" s="8" t="s">
        <v>1206</v>
      </c>
      <c r="I288" s="8" t="s">
        <v>50</v>
      </c>
      <c r="J288" s="8" t="s">
        <v>51</v>
      </c>
      <c r="K288" s="9" t="s">
        <v>52</v>
      </c>
      <c r="L288" s="8" t="s">
        <v>53</v>
      </c>
      <c r="M288" s="8" t="s">
        <v>54</v>
      </c>
      <c r="N288" s="53" t="s">
        <v>55</v>
      </c>
      <c r="O288" s="53" t="s">
        <v>70</v>
      </c>
      <c r="P288" s="20" t="s">
        <v>57</v>
      </c>
      <c r="Q288" s="21" t="s">
        <v>111</v>
      </c>
      <c r="R288" s="20" t="s">
        <v>168</v>
      </c>
      <c r="S288" s="20" t="s">
        <v>1306</v>
      </c>
      <c r="T288" s="22">
        <v>5.73103413163E11</v>
      </c>
      <c r="U288" s="53" t="s">
        <v>75</v>
      </c>
      <c r="V288" s="11"/>
      <c r="W288" s="11"/>
      <c r="X288" s="11"/>
      <c r="Y288" s="54">
        <v>5.0</v>
      </c>
      <c r="Z288" s="49"/>
      <c r="AA288" s="49"/>
      <c r="AB288" s="49"/>
      <c r="AC288" s="49"/>
      <c r="AD288" s="49"/>
      <c r="AE288" s="49"/>
      <c r="AF288" s="50"/>
      <c r="AG288" s="50"/>
      <c r="AH288" s="51"/>
      <c r="AI288" s="51"/>
      <c r="AJ288" s="49"/>
      <c r="AK288" s="52"/>
      <c r="AL288" s="52"/>
      <c r="AM288" s="52"/>
      <c r="AN288" s="52"/>
      <c r="AO288" s="49"/>
      <c r="AP288" s="50"/>
    </row>
    <row r="289">
      <c r="A289" s="8" t="s">
        <v>1307</v>
      </c>
      <c r="B289" s="8" t="s">
        <v>1308</v>
      </c>
      <c r="C289" s="8" t="s">
        <v>1202</v>
      </c>
      <c r="D289" s="8" t="s">
        <v>1203</v>
      </c>
      <c r="E289" s="8" t="s">
        <v>1204</v>
      </c>
      <c r="F289" s="8" t="s">
        <v>47</v>
      </c>
      <c r="G289" s="8" t="s">
        <v>1205</v>
      </c>
      <c r="H289" s="8" t="s">
        <v>1206</v>
      </c>
      <c r="I289" s="8" t="s">
        <v>50</v>
      </c>
      <c r="J289" s="8" t="s">
        <v>51</v>
      </c>
      <c r="K289" s="9" t="s">
        <v>52</v>
      </c>
      <c r="L289" s="8" t="s">
        <v>53</v>
      </c>
      <c r="M289" s="8" t="s">
        <v>69</v>
      </c>
      <c r="N289" s="53" t="s">
        <v>55</v>
      </c>
      <c r="O289" s="53" t="s">
        <v>70</v>
      </c>
      <c r="P289" s="20" t="s">
        <v>99</v>
      </c>
      <c r="Q289" s="21" t="s">
        <v>111</v>
      </c>
      <c r="R289" s="20" t="s">
        <v>1309</v>
      </c>
      <c r="S289" s="20" t="s">
        <v>1310</v>
      </c>
      <c r="T289" s="22">
        <v>5.73014301818E11</v>
      </c>
      <c r="U289" s="53" t="s">
        <v>75</v>
      </c>
      <c r="V289" s="11"/>
      <c r="W289" s="11"/>
      <c r="X289" s="11"/>
      <c r="Y289" s="54">
        <v>5.0</v>
      </c>
      <c r="Z289" s="28"/>
      <c r="AA289" s="28"/>
      <c r="AB289" s="28"/>
      <c r="AC289" s="28"/>
      <c r="AD289" s="28"/>
      <c r="AE289" s="28"/>
      <c r="AF289" s="29"/>
      <c r="AG289" s="29"/>
      <c r="AH289" s="30"/>
      <c r="AI289" s="31"/>
      <c r="AJ289" s="28"/>
      <c r="AK289" s="32"/>
      <c r="AL289" s="32"/>
      <c r="AM289" s="32"/>
      <c r="AN289" s="32"/>
      <c r="AO289" s="28"/>
      <c r="AP289" s="29"/>
    </row>
    <row r="290">
      <c r="A290" s="8" t="s">
        <v>1311</v>
      </c>
      <c r="B290" s="8" t="s">
        <v>1312</v>
      </c>
      <c r="C290" s="8" t="s">
        <v>1202</v>
      </c>
      <c r="D290" s="8" t="s">
        <v>1203</v>
      </c>
      <c r="E290" s="8" t="s">
        <v>1204</v>
      </c>
      <c r="F290" s="8" t="s">
        <v>47</v>
      </c>
      <c r="G290" s="8" t="s">
        <v>1205</v>
      </c>
      <c r="H290" s="8" t="s">
        <v>1206</v>
      </c>
      <c r="I290" s="8" t="s">
        <v>50</v>
      </c>
      <c r="J290" s="8" t="s">
        <v>51</v>
      </c>
      <c r="K290" s="9" t="s">
        <v>52</v>
      </c>
      <c r="L290" s="8" t="s">
        <v>53</v>
      </c>
      <c r="M290" s="8" t="s">
        <v>69</v>
      </c>
      <c r="N290" s="53" t="s">
        <v>55</v>
      </c>
      <c r="O290" s="53" t="s">
        <v>70</v>
      </c>
      <c r="P290" s="20" t="s">
        <v>1313</v>
      </c>
      <c r="Q290" s="21" t="s">
        <v>111</v>
      </c>
      <c r="R290" s="20" t="s">
        <v>173</v>
      </c>
      <c r="S290" s="20" t="s">
        <v>1314</v>
      </c>
      <c r="T290" s="22">
        <v>5.73003471704E11</v>
      </c>
      <c r="U290" s="53" t="s">
        <v>75</v>
      </c>
      <c r="V290" s="11"/>
      <c r="W290" s="11"/>
      <c r="X290" s="11"/>
      <c r="Y290" s="54">
        <v>5.0</v>
      </c>
      <c r="Z290" s="28"/>
      <c r="AA290" s="28"/>
      <c r="AB290" s="28"/>
      <c r="AC290" s="28"/>
      <c r="AD290" s="29"/>
      <c r="AE290" s="29"/>
      <c r="AF290" s="29"/>
      <c r="AG290" s="29"/>
      <c r="AH290" s="30"/>
      <c r="AI290" s="31"/>
      <c r="AJ290" s="28"/>
      <c r="AK290" s="28"/>
      <c r="AL290" s="28"/>
      <c r="AM290" s="32"/>
      <c r="AN290" s="32"/>
      <c r="AO290" s="28"/>
      <c r="AP290" s="29"/>
    </row>
    <row r="291">
      <c r="A291" s="8" t="s">
        <v>1315</v>
      </c>
      <c r="B291" s="8" t="s">
        <v>1316</v>
      </c>
      <c r="C291" s="8" t="s">
        <v>1202</v>
      </c>
      <c r="D291" s="8" t="s">
        <v>1203</v>
      </c>
      <c r="E291" s="8" t="s">
        <v>1204</v>
      </c>
      <c r="F291" s="8" t="s">
        <v>47</v>
      </c>
      <c r="G291" s="8" t="s">
        <v>1205</v>
      </c>
      <c r="H291" s="8" t="s">
        <v>1206</v>
      </c>
      <c r="I291" s="8" t="s">
        <v>50</v>
      </c>
      <c r="J291" s="8" t="s">
        <v>51</v>
      </c>
      <c r="K291" s="9" t="s">
        <v>52</v>
      </c>
      <c r="L291" s="8" t="s">
        <v>84</v>
      </c>
      <c r="M291" s="8" t="s">
        <v>69</v>
      </c>
      <c r="N291" s="53" t="s">
        <v>55</v>
      </c>
      <c r="O291" s="53" t="s">
        <v>70</v>
      </c>
      <c r="P291" s="20" t="s">
        <v>1317</v>
      </c>
      <c r="Q291" s="21" t="s">
        <v>111</v>
      </c>
      <c r="R291" s="20" t="s">
        <v>1318</v>
      </c>
      <c r="S291" s="20" t="s">
        <v>1319</v>
      </c>
      <c r="T291" s="22">
        <v>5.73043651886E11</v>
      </c>
      <c r="U291" s="53" t="s">
        <v>75</v>
      </c>
      <c r="V291" s="11"/>
      <c r="W291" s="11"/>
      <c r="X291" s="11"/>
      <c r="Y291" s="54">
        <v>5.0</v>
      </c>
      <c r="Z291" s="28"/>
      <c r="AA291" s="28"/>
      <c r="AB291" s="28"/>
      <c r="AC291" s="28"/>
      <c r="AD291" s="28"/>
      <c r="AE291" s="28"/>
      <c r="AF291" s="29"/>
      <c r="AG291" s="29"/>
      <c r="AH291" s="30"/>
      <c r="AI291" s="31"/>
      <c r="AJ291" s="28"/>
      <c r="AK291" s="32"/>
      <c r="AL291" s="32"/>
      <c r="AM291" s="32"/>
      <c r="AN291" s="32"/>
      <c r="AO291" s="28"/>
      <c r="AP291" s="29"/>
    </row>
    <row r="292">
      <c r="A292" s="8" t="s">
        <v>1320</v>
      </c>
      <c r="B292" s="8" t="s">
        <v>1321</v>
      </c>
      <c r="C292" s="8" t="s">
        <v>1202</v>
      </c>
      <c r="D292" s="8" t="s">
        <v>1203</v>
      </c>
      <c r="E292" s="8" t="s">
        <v>1204</v>
      </c>
      <c r="F292" s="8" t="s">
        <v>47</v>
      </c>
      <c r="G292" s="8" t="s">
        <v>1205</v>
      </c>
      <c r="H292" s="8" t="s">
        <v>1206</v>
      </c>
      <c r="I292" s="8" t="s">
        <v>50</v>
      </c>
      <c r="J292" s="8" t="s">
        <v>51</v>
      </c>
      <c r="K292" s="9" t="s">
        <v>52</v>
      </c>
      <c r="L292" s="8" t="s">
        <v>53</v>
      </c>
      <c r="M292" s="8" t="s">
        <v>54</v>
      </c>
      <c r="N292" s="8" t="s">
        <v>85</v>
      </c>
      <c r="O292" s="8" t="s">
        <v>56</v>
      </c>
      <c r="P292" s="8" t="s">
        <v>352</v>
      </c>
      <c r="Q292" s="9" t="s">
        <v>58</v>
      </c>
      <c r="R292" s="9" t="s">
        <v>1322</v>
      </c>
      <c r="S292" s="8" t="s">
        <v>1323</v>
      </c>
      <c r="T292" s="10">
        <v>3.009983103E9</v>
      </c>
      <c r="U292" s="53" t="s">
        <v>75</v>
      </c>
      <c r="V292" s="11"/>
      <c r="W292" s="11"/>
      <c r="X292" s="11"/>
      <c r="Y292" s="12" t="s">
        <v>62</v>
      </c>
      <c r="Z292" s="28"/>
      <c r="AA292" s="28"/>
      <c r="AB292" s="28"/>
      <c r="AC292" s="28"/>
      <c r="AD292" s="28"/>
      <c r="AE292" s="28"/>
      <c r="AF292" s="29"/>
      <c r="AG292" s="29"/>
      <c r="AH292" s="30"/>
      <c r="AI292" s="31"/>
      <c r="AJ292" s="28"/>
      <c r="AK292" s="32"/>
      <c r="AL292" s="32"/>
      <c r="AM292" s="32"/>
      <c r="AN292" s="32"/>
      <c r="AO292" s="28"/>
      <c r="AP292" s="29"/>
    </row>
    <row r="293">
      <c r="A293" s="8" t="s">
        <v>1324</v>
      </c>
      <c r="B293" s="8" t="s">
        <v>1325</v>
      </c>
      <c r="C293" s="8" t="s">
        <v>1202</v>
      </c>
      <c r="D293" s="8" t="s">
        <v>1203</v>
      </c>
      <c r="E293" s="8" t="s">
        <v>1204</v>
      </c>
      <c r="F293" s="8" t="s">
        <v>47</v>
      </c>
      <c r="G293" s="8" t="s">
        <v>1205</v>
      </c>
      <c r="H293" s="8" t="s">
        <v>1206</v>
      </c>
      <c r="I293" s="8" t="s">
        <v>50</v>
      </c>
      <c r="J293" s="8" t="s">
        <v>51</v>
      </c>
      <c r="K293" s="9" t="s">
        <v>52</v>
      </c>
      <c r="L293" s="8" t="s">
        <v>53</v>
      </c>
      <c r="M293" s="8" t="s">
        <v>69</v>
      </c>
      <c r="N293" s="53" t="s">
        <v>55</v>
      </c>
      <c r="O293" s="53" t="s">
        <v>70</v>
      </c>
      <c r="P293" s="20" t="s">
        <v>1326</v>
      </c>
      <c r="Q293" s="21" t="s">
        <v>1327</v>
      </c>
      <c r="R293" s="20" t="s">
        <v>1328</v>
      </c>
      <c r="S293" s="20" t="s">
        <v>1329</v>
      </c>
      <c r="T293" s="22">
        <v>5.73017268013E11</v>
      </c>
      <c r="U293" s="53" t="s">
        <v>75</v>
      </c>
      <c r="V293" s="11"/>
      <c r="W293" s="11"/>
      <c r="X293" s="11"/>
      <c r="Y293" s="54">
        <v>5.0</v>
      </c>
      <c r="Z293" s="28"/>
      <c r="AA293" s="28"/>
      <c r="AB293" s="28"/>
      <c r="AC293" s="28"/>
      <c r="AD293" s="28"/>
      <c r="AE293" s="28"/>
      <c r="AF293" s="29"/>
      <c r="AG293" s="29"/>
      <c r="AH293" s="30"/>
      <c r="AI293" s="31"/>
      <c r="AJ293" s="28"/>
      <c r="AK293" s="32"/>
      <c r="AL293" s="32"/>
      <c r="AM293" s="32"/>
      <c r="AN293" s="32"/>
      <c r="AO293" s="28"/>
      <c r="AP293" s="29"/>
    </row>
    <row r="294">
      <c r="A294" s="8" t="s">
        <v>1330</v>
      </c>
      <c r="B294" s="8" t="s">
        <v>1331</v>
      </c>
      <c r="C294" s="8" t="s">
        <v>1202</v>
      </c>
      <c r="D294" s="8" t="s">
        <v>1203</v>
      </c>
      <c r="E294" s="8" t="s">
        <v>1204</v>
      </c>
      <c r="F294" s="8" t="s">
        <v>47</v>
      </c>
      <c r="G294" s="8" t="s">
        <v>1205</v>
      </c>
      <c r="H294" s="8" t="s">
        <v>1206</v>
      </c>
      <c r="I294" s="8" t="s">
        <v>50</v>
      </c>
      <c r="J294" s="8" t="s">
        <v>51</v>
      </c>
      <c r="K294" s="9" t="s">
        <v>52</v>
      </c>
      <c r="L294" s="8" t="s">
        <v>53</v>
      </c>
      <c r="M294" s="8" t="s">
        <v>69</v>
      </c>
      <c r="N294" s="53" t="s">
        <v>55</v>
      </c>
      <c r="O294" s="53" t="s">
        <v>70</v>
      </c>
      <c r="P294" s="20" t="s">
        <v>57</v>
      </c>
      <c r="Q294" s="21" t="s">
        <v>72</v>
      </c>
      <c r="R294" s="20" t="s">
        <v>1332</v>
      </c>
      <c r="S294" s="20" t="s">
        <v>1333</v>
      </c>
      <c r="T294" s="22">
        <v>5.7301746273E11</v>
      </c>
      <c r="U294" s="53" t="s">
        <v>75</v>
      </c>
      <c r="V294" s="11"/>
      <c r="W294" s="11"/>
      <c r="X294" s="11"/>
      <c r="Y294" s="54">
        <v>5.0</v>
      </c>
      <c r="Z294" s="13"/>
      <c r="AA294" s="13"/>
      <c r="AB294" s="13"/>
      <c r="AC294" s="13"/>
      <c r="AD294" s="13"/>
      <c r="AE294" s="13"/>
      <c r="AF294" s="14"/>
      <c r="AG294" s="14"/>
      <c r="AH294" s="15"/>
      <c r="AI294" s="16"/>
      <c r="AJ294" s="13"/>
      <c r="AK294" s="17"/>
      <c r="AL294" s="17"/>
      <c r="AM294" s="17"/>
      <c r="AN294" s="17"/>
      <c r="AO294" s="13"/>
      <c r="AP294" s="14"/>
    </row>
    <row r="295">
      <c r="A295" s="8" t="s">
        <v>1334</v>
      </c>
      <c r="B295" s="8" t="s">
        <v>1335</v>
      </c>
      <c r="C295" s="8" t="s">
        <v>1202</v>
      </c>
      <c r="D295" s="8" t="s">
        <v>1203</v>
      </c>
      <c r="E295" s="8" t="s">
        <v>1204</v>
      </c>
      <c r="F295" s="8" t="s">
        <v>47</v>
      </c>
      <c r="G295" s="8" t="s">
        <v>1205</v>
      </c>
      <c r="H295" s="8" t="s">
        <v>1206</v>
      </c>
      <c r="I295" s="8" t="s">
        <v>50</v>
      </c>
      <c r="J295" s="8" t="s">
        <v>51</v>
      </c>
      <c r="K295" s="9" t="s">
        <v>52</v>
      </c>
      <c r="L295" s="8" t="s">
        <v>53</v>
      </c>
      <c r="M295" s="8" t="s">
        <v>69</v>
      </c>
      <c r="N295" s="53" t="s">
        <v>137</v>
      </c>
      <c r="O295" s="53" t="s">
        <v>70</v>
      </c>
      <c r="P295" s="20" t="s">
        <v>211</v>
      </c>
      <c r="Q295" s="21" t="s">
        <v>487</v>
      </c>
      <c r="R295" s="20" t="s">
        <v>437</v>
      </c>
      <c r="S295" s="20" t="s">
        <v>1336</v>
      </c>
      <c r="T295" s="22">
        <v>5.730080983E11</v>
      </c>
      <c r="U295" s="53" t="s">
        <v>75</v>
      </c>
      <c r="V295" s="11"/>
      <c r="W295" s="11"/>
      <c r="X295" s="11"/>
      <c r="Y295" s="54">
        <v>5.0</v>
      </c>
      <c r="Z295" s="28"/>
      <c r="AA295" s="28"/>
      <c r="AB295" s="28"/>
      <c r="AC295" s="28"/>
      <c r="AD295" s="28"/>
      <c r="AE295" s="28"/>
      <c r="AF295" s="29"/>
      <c r="AG295" s="29"/>
      <c r="AH295" s="30"/>
      <c r="AI295" s="31"/>
      <c r="AJ295" s="28"/>
      <c r="AK295" s="32"/>
      <c r="AL295" s="32"/>
      <c r="AM295" s="32"/>
      <c r="AN295" s="32"/>
      <c r="AO295" s="28"/>
      <c r="AP295" s="29"/>
    </row>
    <row r="296">
      <c r="A296" s="8" t="s">
        <v>1337</v>
      </c>
      <c r="B296" s="8" t="s">
        <v>1338</v>
      </c>
      <c r="C296" s="8" t="s">
        <v>1202</v>
      </c>
      <c r="D296" s="8" t="s">
        <v>1203</v>
      </c>
      <c r="E296" s="8" t="s">
        <v>1204</v>
      </c>
      <c r="F296" s="8" t="s">
        <v>47</v>
      </c>
      <c r="G296" s="8" t="s">
        <v>1205</v>
      </c>
      <c r="H296" s="8" t="s">
        <v>1206</v>
      </c>
      <c r="I296" s="8" t="s">
        <v>50</v>
      </c>
      <c r="J296" s="8" t="s">
        <v>51</v>
      </c>
      <c r="K296" s="9" t="s">
        <v>52</v>
      </c>
      <c r="L296" s="8" t="s">
        <v>53</v>
      </c>
      <c r="M296" s="8" t="s">
        <v>69</v>
      </c>
      <c r="N296" s="53" t="s">
        <v>55</v>
      </c>
      <c r="O296" s="53" t="s">
        <v>70</v>
      </c>
      <c r="P296" s="20" t="s">
        <v>1339</v>
      </c>
      <c r="Q296" s="21" t="s">
        <v>94</v>
      </c>
      <c r="R296" s="20" t="s">
        <v>73</v>
      </c>
      <c r="S296" s="20" t="s">
        <v>1340</v>
      </c>
      <c r="T296" s="22">
        <v>5.73053122534E11</v>
      </c>
      <c r="U296" s="53" t="s">
        <v>75</v>
      </c>
      <c r="V296" s="11"/>
      <c r="W296" s="11"/>
      <c r="X296" s="11"/>
      <c r="Y296" s="54">
        <v>5.0</v>
      </c>
      <c r="Z296" s="28"/>
      <c r="AA296" s="28"/>
      <c r="AB296" s="28"/>
      <c r="AC296" s="28"/>
      <c r="AD296" s="28"/>
      <c r="AE296" s="28"/>
      <c r="AF296" s="29"/>
      <c r="AG296" s="29"/>
      <c r="AH296" s="30"/>
      <c r="AI296" s="31"/>
      <c r="AJ296" s="28"/>
      <c r="AK296" s="32"/>
      <c r="AL296" s="32"/>
      <c r="AM296" s="32"/>
      <c r="AN296" s="32"/>
      <c r="AO296" s="28"/>
      <c r="AP296" s="29"/>
    </row>
    <row r="297">
      <c r="A297" s="8" t="s">
        <v>1341</v>
      </c>
      <c r="B297" s="8" t="s">
        <v>1342</v>
      </c>
      <c r="C297" s="8" t="s">
        <v>1202</v>
      </c>
      <c r="D297" s="8" t="s">
        <v>1203</v>
      </c>
      <c r="E297" s="8" t="s">
        <v>1204</v>
      </c>
      <c r="F297" s="8" t="s">
        <v>47</v>
      </c>
      <c r="G297" s="8" t="s">
        <v>1205</v>
      </c>
      <c r="H297" s="8" t="s">
        <v>1206</v>
      </c>
      <c r="I297" s="8" t="s">
        <v>50</v>
      </c>
      <c r="J297" s="8" t="s">
        <v>51</v>
      </c>
      <c r="K297" s="9" t="s">
        <v>52</v>
      </c>
      <c r="L297" s="8" t="s">
        <v>53</v>
      </c>
      <c r="M297" s="8" t="s">
        <v>54</v>
      </c>
      <c r="N297" s="53" t="s">
        <v>137</v>
      </c>
      <c r="O297" s="53" t="s">
        <v>70</v>
      </c>
      <c r="P297" s="20" t="s">
        <v>317</v>
      </c>
      <c r="Q297" s="21" t="s">
        <v>111</v>
      </c>
      <c r="R297" s="21" t="s">
        <v>1343</v>
      </c>
      <c r="S297" s="20" t="s">
        <v>1344</v>
      </c>
      <c r="T297" s="22">
        <v>5.73113132376E11</v>
      </c>
      <c r="U297" s="53" t="s">
        <v>75</v>
      </c>
      <c r="V297" s="11"/>
      <c r="W297" s="11"/>
      <c r="X297" s="11"/>
      <c r="Y297" s="54">
        <v>5.0</v>
      </c>
      <c r="Z297" s="28"/>
      <c r="AA297" s="28"/>
      <c r="AB297" s="28"/>
      <c r="AC297" s="28"/>
      <c r="AD297" s="28"/>
      <c r="AE297" s="28"/>
      <c r="AF297" s="29"/>
      <c r="AG297" s="29"/>
      <c r="AH297" s="30"/>
      <c r="AI297" s="31"/>
      <c r="AJ297" s="28"/>
      <c r="AK297" s="32"/>
      <c r="AL297" s="32"/>
      <c r="AM297" s="32"/>
      <c r="AN297" s="32"/>
      <c r="AO297" s="28"/>
      <c r="AP297" s="29"/>
    </row>
    <row r="298">
      <c r="A298" s="8" t="s">
        <v>1345</v>
      </c>
      <c r="B298" s="8" t="s">
        <v>1346</v>
      </c>
      <c r="C298" s="8" t="s">
        <v>1202</v>
      </c>
      <c r="D298" s="8" t="s">
        <v>1203</v>
      </c>
      <c r="E298" s="8" t="s">
        <v>1204</v>
      </c>
      <c r="F298" s="8" t="s">
        <v>47</v>
      </c>
      <c r="G298" s="8" t="s">
        <v>1205</v>
      </c>
      <c r="H298" s="8" t="s">
        <v>1206</v>
      </c>
      <c r="I298" s="8" t="s">
        <v>50</v>
      </c>
      <c r="J298" s="8" t="s">
        <v>51</v>
      </c>
      <c r="K298" s="9" t="s">
        <v>52</v>
      </c>
      <c r="L298" s="8" t="s">
        <v>53</v>
      </c>
      <c r="M298" s="8" t="s">
        <v>69</v>
      </c>
      <c r="N298" s="53" t="s">
        <v>55</v>
      </c>
      <c r="O298" s="53" t="s">
        <v>70</v>
      </c>
      <c r="P298" s="20" t="s">
        <v>308</v>
      </c>
      <c r="Q298" s="21" t="s">
        <v>111</v>
      </c>
      <c r="R298" s="20" t="s">
        <v>635</v>
      </c>
      <c r="S298" s="20" t="s">
        <v>1347</v>
      </c>
      <c r="T298" s="22">
        <v>5.73195765009E11</v>
      </c>
      <c r="U298" s="53" t="s">
        <v>61</v>
      </c>
      <c r="V298" s="11"/>
      <c r="W298" s="11"/>
      <c r="X298" s="11"/>
      <c r="Y298" s="54">
        <v>5.0</v>
      </c>
      <c r="Z298" s="13"/>
      <c r="AA298" s="13"/>
      <c r="AB298" s="13"/>
      <c r="AC298" s="13"/>
      <c r="AD298" s="13"/>
      <c r="AE298" s="13"/>
      <c r="AF298" s="14"/>
      <c r="AG298" s="14"/>
      <c r="AH298" s="15"/>
      <c r="AI298" s="16"/>
      <c r="AJ298" s="13"/>
      <c r="AK298" s="17"/>
      <c r="AL298" s="17"/>
      <c r="AM298" s="17"/>
      <c r="AN298" s="17"/>
      <c r="AO298" s="13"/>
      <c r="AP298" s="14"/>
    </row>
    <row r="299">
      <c r="A299" s="8" t="s">
        <v>1348</v>
      </c>
      <c r="B299" s="8" t="s">
        <v>1349</v>
      </c>
      <c r="C299" s="8" t="s">
        <v>1202</v>
      </c>
      <c r="D299" s="8" t="s">
        <v>1203</v>
      </c>
      <c r="E299" s="8" t="s">
        <v>1204</v>
      </c>
      <c r="F299" s="8" t="s">
        <v>47</v>
      </c>
      <c r="G299" s="8" t="s">
        <v>1205</v>
      </c>
      <c r="H299" s="8" t="s">
        <v>1206</v>
      </c>
      <c r="I299" s="8" t="s">
        <v>50</v>
      </c>
      <c r="J299" s="8" t="s">
        <v>51</v>
      </c>
      <c r="K299" s="9" t="s">
        <v>52</v>
      </c>
      <c r="L299" s="8" t="s">
        <v>53</v>
      </c>
      <c r="M299" s="8" t="s">
        <v>69</v>
      </c>
      <c r="N299" s="53" t="s">
        <v>55</v>
      </c>
      <c r="O299" s="53" t="s">
        <v>70</v>
      </c>
      <c r="P299" s="20" t="s">
        <v>132</v>
      </c>
      <c r="Q299" s="21" t="s">
        <v>72</v>
      </c>
      <c r="R299" s="20" t="s">
        <v>198</v>
      </c>
      <c r="S299" s="20" t="s">
        <v>1350</v>
      </c>
      <c r="T299" s="22">
        <v>5.73144801673E11</v>
      </c>
      <c r="U299" s="53" t="s">
        <v>61</v>
      </c>
      <c r="V299" s="11"/>
      <c r="W299" s="11"/>
      <c r="X299" s="11"/>
      <c r="Y299" s="54">
        <v>5.0</v>
      </c>
      <c r="Z299" s="100"/>
      <c r="AA299" s="100"/>
      <c r="AB299" s="100"/>
      <c r="AC299" s="100"/>
      <c r="AD299" s="100"/>
      <c r="AE299" s="100"/>
      <c r="AF299" s="101"/>
      <c r="AG299" s="101"/>
      <c r="AH299" s="102"/>
      <c r="AI299" s="102"/>
      <c r="AJ299" s="100"/>
      <c r="AK299" s="103"/>
      <c r="AL299" s="103"/>
      <c r="AM299" s="103"/>
      <c r="AN299" s="103"/>
      <c r="AO299" s="100"/>
      <c r="AP299" s="101"/>
    </row>
    <row r="300">
      <c r="A300" s="8" t="s">
        <v>1351</v>
      </c>
      <c r="B300" s="8" t="s">
        <v>1352</v>
      </c>
      <c r="C300" s="8" t="s">
        <v>1202</v>
      </c>
      <c r="D300" s="8" t="s">
        <v>1203</v>
      </c>
      <c r="E300" s="8" t="s">
        <v>1204</v>
      </c>
      <c r="F300" s="8" t="s">
        <v>47</v>
      </c>
      <c r="G300" s="8" t="s">
        <v>1205</v>
      </c>
      <c r="H300" s="8" t="s">
        <v>1206</v>
      </c>
      <c r="I300" s="8" t="s">
        <v>50</v>
      </c>
      <c r="J300" s="8" t="s">
        <v>51</v>
      </c>
      <c r="K300" s="9" t="s">
        <v>52</v>
      </c>
      <c r="L300" s="8" t="s">
        <v>53</v>
      </c>
      <c r="M300" s="8" t="s">
        <v>69</v>
      </c>
      <c r="N300" s="53" t="s">
        <v>85</v>
      </c>
      <c r="O300" s="53" t="s">
        <v>70</v>
      </c>
      <c r="P300" s="20" t="s">
        <v>1353</v>
      </c>
      <c r="Q300" s="21" t="s">
        <v>111</v>
      </c>
      <c r="R300" s="20" t="s">
        <v>304</v>
      </c>
      <c r="S300" s="20" t="s">
        <v>1354</v>
      </c>
      <c r="T300" s="22">
        <v>5.73162560261E11</v>
      </c>
      <c r="U300" s="53" t="s">
        <v>75</v>
      </c>
      <c r="V300" s="11"/>
      <c r="W300" s="11"/>
      <c r="X300" s="11"/>
      <c r="Y300" s="54">
        <v>5.0</v>
      </c>
      <c r="Z300" s="28"/>
      <c r="AA300" s="28"/>
      <c r="AB300" s="28"/>
      <c r="AC300" s="28"/>
      <c r="AD300" s="28"/>
      <c r="AE300" s="28"/>
      <c r="AF300" s="29"/>
      <c r="AG300" s="29"/>
      <c r="AH300" s="30"/>
      <c r="AI300" s="31"/>
      <c r="AJ300" s="28"/>
      <c r="AK300" s="32"/>
      <c r="AL300" s="32"/>
      <c r="AM300" s="32"/>
      <c r="AN300" s="32"/>
      <c r="AO300" s="28"/>
      <c r="AP300" s="29"/>
    </row>
    <row r="301">
      <c r="A301" s="8" t="s">
        <v>1355</v>
      </c>
      <c r="B301" s="8" t="s">
        <v>1356</v>
      </c>
      <c r="C301" s="8" t="s">
        <v>1202</v>
      </c>
      <c r="D301" s="8" t="s">
        <v>1203</v>
      </c>
      <c r="E301" s="8" t="s">
        <v>1204</v>
      </c>
      <c r="F301" s="8" t="s">
        <v>47</v>
      </c>
      <c r="G301" s="8" t="s">
        <v>1205</v>
      </c>
      <c r="H301" s="8" t="s">
        <v>1206</v>
      </c>
      <c r="I301" s="8" t="s">
        <v>50</v>
      </c>
      <c r="J301" s="8" t="s">
        <v>51</v>
      </c>
      <c r="K301" s="9" t="s">
        <v>52</v>
      </c>
      <c r="L301" s="8" t="s">
        <v>53</v>
      </c>
      <c r="M301" s="8" t="s">
        <v>69</v>
      </c>
      <c r="N301" s="53" t="s">
        <v>55</v>
      </c>
      <c r="O301" s="53" t="s">
        <v>70</v>
      </c>
      <c r="P301" s="20" t="s">
        <v>639</v>
      </c>
      <c r="Q301" s="21" t="s">
        <v>111</v>
      </c>
      <c r="R301" s="20" t="s">
        <v>1357</v>
      </c>
      <c r="S301" s="20" t="s">
        <v>1358</v>
      </c>
      <c r="T301" s="22">
        <v>5.73164984576E11</v>
      </c>
      <c r="U301" s="53" t="s">
        <v>75</v>
      </c>
      <c r="V301" s="11"/>
      <c r="W301" s="11"/>
      <c r="X301" s="11"/>
      <c r="Y301" s="54">
        <v>5.0</v>
      </c>
      <c r="Z301" s="28"/>
      <c r="AA301" s="28"/>
      <c r="AB301" s="28"/>
      <c r="AC301" s="28"/>
      <c r="AD301" s="28"/>
      <c r="AE301" s="28"/>
      <c r="AF301" s="29"/>
      <c r="AG301" s="29"/>
      <c r="AH301" s="30"/>
      <c r="AI301" s="31"/>
      <c r="AJ301" s="28"/>
      <c r="AK301" s="32"/>
      <c r="AL301" s="32"/>
      <c r="AM301" s="32"/>
      <c r="AN301" s="32"/>
      <c r="AO301" s="28"/>
      <c r="AP301" s="29"/>
    </row>
    <row r="302">
      <c r="A302" s="8" t="s">
        <v>1359</v>
      </c>
      <c r="B302" s="8" t="s">
        <v>1360</v>
      </c>
      <c r="C302" s="8" t="s">
        <v>1202</v>
      </c>
      <c r="D302" s="8" t="s">
        <v>1203</v>
      </c>
      <c r="E302" s="8" t="s">
        <v>1204</v>
      </c>
      <c r="F302" s="8" t="s">
        <v>47</v>
      </c>
      <c r="G302" s="8" t="s">
        <v>1205</v>
      </c>
      <c r="H302" s="8" t="s">
        <v>1206</v>
      </c>
      <c r="I302" s="8" t="s">
        <v>50</v>
      </c>
      <c r="J302" s="8" t="s">
        <v>51</v>
      </c>
      <c r="K302" s="9" t="s">
        <v>52</v>
      </c>
      <c r="L302" s="8" t="s">
        <v>53</v>
      </c>
      <c r="M302" s="8" t="s">
        <v>54</v>
      </c>
      <c r="N302" s="53" t="s">
        <v>85</v>
      </c>
      <c r="O302" s="53" t="s">
        <v>70</v>
      </c>
      <c r="P302" s="20" t="s">
        <v>57</v>
      </c>
      <c r="Q302" s="21" t="s">
        <v>1361</v>
      </c>
      <c r="R302" s="20" t="s">
        <v>1362</v>
      </c>
      <c r="S302" s="20" t="s">
        <v>1363</v>
      </c>
      <c r="T302" s="22">
        <v>5.73217810412E11</v>
      </c>
      <c r="U302" s="53" t="s">
        <v>75</v>
      </c>
      <c r="V302" s="11"/>
      <c r="W302" s="11"/>
      <c r="X302" s="11"/>
      <c r="Y302" s="54">
        <v>5.0</v>
      </c>
      <c r="Z302" s="40"/>
      <c r="AA302" s="40"/>
      <c r="AB302" s="40"/>
      <c r="AC302" s="40"/>
      <c r="AD302" s="40"/>
      <c r="AE302" s="40"/>
      <c r="AF302" s="41"/>
      <c r="AG302" s="41"/>
      <c r="AH302" s="42"/>
      <c r="AI302" s="42"/>
      <c r="AJ302" s="40"/>
      <c r="AK302" s="43"/>
      <c r="AL302" s="43"/>
      <c r="AM302" s="43"/>
      <c r="AN302" s="43"/>
      <c r="AO302" s="40"/>
      <c r="AP302" s="41"/>
    </row>
    <row r="303">
      <c r="A303" s="8" t="s">
        <v>1364</v>
      </c>
      <c r="B303" s="8" t="s">
        <v>1365</v>
      </c>
      <c r="C303" s="8" t="s">
        <v>1202</v>
      </c>
      <c r="D303" s="8" t="s">
        <v>1203</v>
      </c>
      <c r="E303" s="8" t="s">
        <v>1204</v>
      </c>
      <c r="F303" s="8" t="s">
        <v>47</v>
      </c>
      <c r="G303" s="8" t="s">
        <v>1205</v>
      </c>
      <c r="H303" s="8" t="s">
        <v>1206</v>
      </c>
      <c r="I303" s="8" t="s">
        <v>50</v>
      </c>
      <c r="J303" s="8" t="s">
        <v>51</v>
      </c>
      <c r="K303" s="9" t="s">
        <v>52</v>
      </c>
      <c r="L303" s="8" t="s">
        <v>84</v>
      </c>
      <c r="M303" s="8" t="s">
        <v>54</v>
      </c>
      <c r="N303" s="53" t="s">
        <v>55</v>
      </c>
      <c r="O303" s="53" t="s">
        <v>70</v>
      </c>
      <c r="P303" s="20" t="s">
        <v>1366</v>
      </c>
      <c r="Q303" s="21" t="s">
        <v>111</v>
      </c>
      <c r="R303" s="20" t="s">
        <v>662</v>
      </c>
      <c r="S303" s="20" t="s">
        <v>1367</v>
      </c>
      <c r="T303" s="22">
        <v>5.73103574336E11</v>
      </c>
      <c r="U303" s="53" t="s">
        <v>75</v>
      </c>
      <c r="V303" s="11"/>
      <c r="W303" s="11"/>
      <c r="X303" s="11"/>
      <c r="Y303" s="54">
        <v>5.0</v>
      </c>
      <c r="Z303" s="28"/>
      <c r="AA303" s="28"/>
      <c r="AB303" s="28"/>
      <c r="AC303" s="28"/>
      <c r="AD303" s="28"/>
      <c r="AE303" s="28"/>
      <c r="AF303" s="29"/>
      <c r="AG303" s="29"/>
      <c r="AH303" s="30"/>
      <c r="AI303" s="31"/>
      <c r="AJ303" s="28"/>
      <c r="AK303" s="32"/>
      <c r="AL303" s="32"/>
      <c r="AM303" s="32"/>
      <c r="AN303" s="32"/>
      <c r="AO303" s="28"/>
      <c r="AP303" s="29"/>
    </row>
    <row r="304">
      <c r="A304" s="8" t="s">
        <v>1368</v>
      </c>
      <c r="B304" s="8" t="s">
        <v>1369</v>
      </c>
      <c r="C304" s="8" t="s">
        <v>1202</v>
      </c>
      <c r="D304" s="8" t="s">
        <v>1203</v>
      </c>
      <c r="E304" s="8" t="s">
        <v>1204</v>
      </c>
      <c r="F304" s="8" t="s">
        <v>47</v>
      </c>
      <c r="G304" s="8" t="s">
        <v>1205</v>
      </c>
      <c r="H304" s="8" t="s">
        <v>1206</v>
      </c>
      <c r="I304" s="8" t="s">
        <v>50</v>
      </c>
      <c r="J304" s="8" t="s">
        <v>51</v>
      </c>
      <c r="K304" s="9" t="s">
        <v>52</v>
      </c>
      <c r="L304" s="8" t="s">
        <v>53</v>
      </c>
      <c r="M304" s="8" t="s">
        <v>54</v>
      </c>
      <c r="N304" s="8" t="s">
        <v>55</v>
      </c>
      <c r="O304" s="8" t="s">
        <v>86</v>
      </c>
      <c r="P304" s="8" t="s">
        <v>1370</v>
      </c>
      <c r="Q304" s="9" t="s">
        <v>323</v>
      </c>
      <c r="R304" s="8" t="s">
        <v>1371</v>
      </c>
      <c r="S304" s="8" t="s">
        <v>1372</v>
      </c>
      <c r="T304" s="10">
        <v>5.73105710541E11</v>
      </c>
      <c r="U304" s="53" t="s">
        <v>61</v>
      </c>
      <c r="V304" s="11"/>
      <c r="W304" s="11"/>
      <c r="X304" s="11"/>
      <c r="Y304" s="33">
        <v>45779.0</v>
      </c>
      <c r="Z304" s="28"/>
      <c r="AA304" s="28"/>
      <c r="AB304" s="28"/>
      <c r="AC304" s="28"/>
      <c r="AD304" s="28"/>
      <c r="AE304" s="29"/>
      <c r="AF304" s="29"/>
      <c r="AG304" s="29"/>
      <c r="AH304" s="30"/>
      <c r="AI304" s="31"/>
      <c r="AJ304" s="28"/>
      <c r="AK304" s="32"/>
      <c r="AL304" s="32"/>
      <c r="AM304" s="32"/>
      <c r="AN304" s="32"/>
      <c r="AO304" s="28"/>
      <c r="AP304" s="29"/>
    </row>
    <row r="305">
      <c r="A305" s="8" t="s">
        <v>1373</v>
      </c>
      <c r="B305" s="8" t="s">
        <v>1374</v>
      </c>
      <c r="C305" s="8" t="s">
        <v>1202</v>
      </c>
      <c r="D305" s="8" t="s">
        <v>1203</v>
      </c>
      <c r="E305" s="8" t="s">
        <v>1204</v>
      </c>
      <c r="F305" s="8" t="s">
        <v>47</v>
      </c>
      <c r="G305" s="8" t="s">
        <v>1205</v>
      </c>
      <c r="H305" s="8" t="s">
        <v>1206</v>
      </c>
      <c r="I305" s="8" t="s">
        <v>50</v>
      </c>
      <c r="J305" s="8" t="s">
        <v>51</v>
      </c>
      <c r="K305" s="9" t="s">
        <v>52</v>
      </c>
      <c r="L305" s="8" t="s">
        <v>84</v>
      </c>
      <c r="M305" s="8" t="s">
        <v>54</v>
      </c>
      <c r="N305" s="53" t="s">
        <v>55</v>
      </c>
      <c r="O305" s="53" t="s">
        <v>70</v>
      </c>
      <c r="P305" s="20" t="s">
        <v>783</v>
      </c>
      <c r="Q305" s="21" t="s">
        <v>58</v>
      </c>
      <c r="R305" s="20" t="s">
        <v>73</v>
      </c>
      <c r="S305" s="20" t="s">
        <v>1375</v>
      </c>
      <c r="T305" s="22">
        <v>5.73012380122E11</v>
      </c>
      <c r="U305" s="53" t="s">
        <v>75</v>
      </c>
      <c r="V305" s="11"/>
      <c r="W305" s="11"/>
      <c r="X305" s="11"/>
      <c r="Y305" s="54">
        <v>5.0</v>
      </c>
      <c r="Z305" s="28"/>
      <c r="AA305" s="28"/>
      <c r="AB305" s="28"/>
      <c r="AC305" s="28"/>
      <c r="AD305" s="28"/>
      <c r="AE305" s="28"/>
      <c r="AF305" s="29"/>
      <c r="AG305" s="29"/>
      <c r="AH305" s="30"/>
      <c r="AI305" s="31"/>
      <c r="AJ305" s="28"/>
      <c r="AK305" s="32"/>
      <c r="AL305" s="32"/>
      <c r="AM305" s="32"/>
      <c r="AN305" s="32"/>
      <c r="AO305" s="28"/>
      <c r="AP305" s="29"/>
    </row>
    <row r="306">
      <c r="A306" s="8" t="s">
        <v>1376</v>
      </c>
      <c r="B306" s="8" t="s">
        <v>1377</v>
      </c>
      <c r="C306" s="8" t="s">
        <v>1202</v>
      </c>
      <c r="D306" s="8" t="s">
        <v>1203</v>
      </c>
      <c r="E306" s="8" t="s">
        <v>1204</v>
      </c>
      <c r="F306" s="8" t="s">
        <v>47</v>
      </c>
      <c r="G306" s="8" t="s">
        <v>1205</v>
      </c>
      <c r="H306" s="8" t="s">
        <v>1206</v>
      </c>
      <c r="I306" s="8" t="s">
        <v>50</v>
      </c>
      <c r="J306" s="8" t="s">
        <v>51</v>
      </c>
      <c r="K306" s="9" t="s">
        <v>52</v>
      </c>
      <c r="L306" s="8" t="s">
        <v>84</v>
      </c>
      <c r="M306" s="8" t="s">
        <v>69</v>
      </c>
      <c r="N306" s="53" t="s">
        <v>55</v>
      </c>
      <c r="O306" s="53" t="s">
        <v>70</v>
      </c>
      <c r="P306" s="20" t="s">
        <v>57</v>
      </c>
      <c r="Q306" s="21" t="s">
        <v>94</v>
      </c>
      <c r="R306" s="20" t="s">
        <v>168</v>
      </c>
      <c r="S306" s="20" t="s">
        <v>1378</v>
      </c>
      <c r="T306" s="22">
        <v>5.73209221724E11</v>
      </c>
      <c r="U306" s="53" t="s">
        <v>75</v>
      </c>
      <c r="V306" s="11"/>
      <c r="W306" s="11"/>
      <c r="X306" s="11"/>
      <c r="Y306" s="54">
        <v>5.0</v>
      </c>
      <c r="Z306" s="13"/>
      <c r="AA306" s="13"/>
      <c r="AB306" s="13"/>
      <c r="AC306" s="13"/>
      <c r="AD306" s="13"/>
      <c r="AE306" s="13"/>
      <c r="AF306" s="14"/>
      <c r="AG306" s="14"/>
      <c r="AH306" s="15"/>
      <c r="AI306" s="16"/>
      <c r="AJ306" s="13"/>
      <c r="AK306" s="17"/>
      <c r="AL306" s="17"/>
      <c r="AM306" s="17"/>
      <c r="AN306" s="17"/>
      <c r="AO306" s="13"/>
      <c r="AP306" s="14"/>
    </row>
    <row r="307">
      <c r="A307" s="8" t="s">
        <v>1379</v>
      </c>
      <c r="B307" s="8" t="s">
        <v>1380</v>
      </c>
      <c r="C307" s="8" t="s">
        <v>1202</v>
      </c>
      <c r="D307" s="8" t="s">
        <v>1203</v>
      </c>
      <c r="E307" s="8" t="s">
        <v>1204</v>
      </c>
      <c r="F307" s="8" t="s">
        <v>47</v>
      </c>
      <c r="G307" s="8" t="s">
        <v>1205</v>
      </c>
      <c r="H307" s="8" t="s">
        <v>1206</v>
      </c>
      <c r="I307" s="8" t="s">
        <v>50</v>
      </c>
      <c r="J307" s="8" t="s">
        <v>51</v>
      </c>
      <c r="K307" s="9" t="s">
        <v>52</v>
      </c>
      <c r="L307" s="8" t="s">
        <v>53</v>
      </c>
      <c r="M307" s="8" t="s">
        <v>54</v>
      </c>
      <c r="N307" s="53" t="s">
        <v>55</v>
      </c>
      <c r="O307" s="53" t="s">
        <v>70</v>
      </c>
      <c r="P307" s="20" t="s">
        <v>433</v>
      </c>
      <c r="Q307" s="21" t="s">
        <v>72</v>
      </c>
      <c r="R307" s="20" t="s">
        <v>173</v>
      </c>
      <c r="S307" s="20" t="s">
        <v>1381</v>
      </c>
      <c r="T307" s="22">
        <v>5.73022486626E11</v>
      </c>
      <c r="U307" s="53" t="s">
        <v>61</v>
      </c>
      <c r="V307" s="11"/>
      <c r="W307" s="11"/>
      <c r="X307" s="11"/>
      <c r="Y307" s="54">
        <v>5.0</v>
      </c>
      <c r="Z307" s="13"/>
      <c r="AA307" s="13"/>
      <c r="AB307" s="13"/>
      <c r="AC307" s="13"/>
      <c r="AD307" s="13"/>
      <c r="AE307" s="13"/>
      <c r="AF307" s="14"/>
      <c r="AG307" s="14"/>
      <c r="AH307" s="15"/>
      <c r="AI307" s="16"/>
      <c r="AJ307" s="13"/>
      <c r="AK307" s="17"/>
      <c r="AL307" s="17"/>
      <c r="AM307" s="17"/>
      <c r="AN307" s="17"/>
      <c r="AO307" s="13"/>
      <c r="AP307" s="14"/>
    </row>
    <row r="308">
      <c r="A308" s="8" t="s">
        <v>1382</v>
      </c>
      <c r="B308" s="8" t="s">
        <v>1383</v>
      </c>
      <c r="C308" s="8" t="s">
        <v>1202</v>
      </c>
      <c r="D308" s="8" t="s">
        <v>1203</v>
      </c>
      <c r="E308" s="8" t="s">
        <v>1204</v>
      </c>
      <c r="F308" s="8" t="s">
        <v>47</v>
      </c>
      <c r="G308" s="8" t="s">
        <v>1205</v>
      </c>
      <c r="H308" s="8" t="s">
        <v>1206</v>
      </c>
      <c r="I308" s="8" t="s">
        <v>50</v>
      </c>
      <c r="J308" s="8" t="s">
        <v>51</v>
      </c>
      <c r="K308" s="9" t="s">
        <v>52</v>
      </c>
      <c r="L308" s="8" t="s">
        <v>53</v>
      </c>
      <c r="M308" s="8" t="s">
        <v>69</v>
      </c>
      <c r="N308" s="53" t="s">
        <v>55</v>
      </c>
      <c r="O308" s="53" t="s">
        <v>70</v>
      </c>
      <c r="P308" s="20" t="s">
        <v>627</v>
      </c>
      <c r="Q308" s="21" t="s">
        <v>72</v>
      </c>
      <c r="R308" s="20" t="s">
        <v>1384</v>
      </c>
      <c r="S308" s="20" t="s">
        <v>1385</v>
      </c>
      <c r="T308" s="22">
        <v>5.73105520476E11</v>
      </c>
      <c r="U308" s="53" t="s">
        <v>61</v>
      </c>
      <c r="V308" s="11"/>
      <c r="W308" s="11"/>
      <c r="X308" s="11"/>
      <c r="Y308" s="54">
        <v>5.0</v>
      </c>
      <c r="Z308" s="28"/>
      <c r="AA308" s="28"/>
      <c r="AB308" s="28"/>
      <c r="AC308" s="28"/>
      <c r="AD308" s="28"/>
      <c r="AE308" s="28"/>
      <c r="AF308" s="29"/>
      <c r="AG308" s="29"/>
      <c r="AH308" s="30"/>
      <c r="AI308" s="31"/>
      <c r="AJ308" s="28"/>
      <c r="AK308" s="32"/>
      <c r="AL308" s="32"/>
      <c r="AM308" s="32"/>
      <c r="AN308" s="32"/>
      <c r="AO308" s="28"/>
      <c r="AP308" s="29"/>
    </row>
    <row r="309">
      <c r="A309" s="8" t="s">
        <v>1386</v>
      </c>
      <c r="B309" s="8" t="s">
        <v>1387</v>
      </c>
      <c r="C309" s="8" t="s">
        <v>1202</v>
      </c>
      <c r="D309" s="8" t="s">
        <v>1203</v>
      </c>
      <c r="E309" s="8" t="s">
        <v>1204</v>
      </c>
      <c r="F309" s="8" t="s">
        <v>47</v>
      </c>
      <c r="G309" s="8" t="s">
        <v>1205</v>
      </c>
      <c r="H309" s="8" t="s">
        <v>1206</v>
      </c>
      <c r="I309" s="8" t="s">
        <v>50</v>
      </c>
      <c r="J309" s="8" t="s">
        <v>51</v>
      </c>
      <c r="K309" s="9" t="s">
        <v>52</v>
      </c>
      <c r="L309" s="8" t="s">
        <v>84</v>
      </c>
      <c r="M309" s="8" t="s">
        <v>54</v>
      </c>
      <c r="N309" s="53" t="s">
        <v>137</v>
      </c>
      <c r="O309" s="53" t="s">
        <v>70</v>
      </c>
      <c r="P309" s="20" t="s">
        <v>1388</v>
      </c>
      <c r="Q309" s="21" t="s">
        <v>94</v>
      </c>
      <c r="R309" s="20" t="s">
        <v>223</v>
      </c>
      <c r="S309" s="20" t="s">
        <v>1389</v>
      </c>
      <c r="T309" s="22">
        <v>5.73014808122E11</v>
      </c>
      <c r="U309" s="53" t="s">
        <v>75</v>
      </c>
      <c r="V309" s="11"/>
      <c r="W309" s="11"/>
      <c r="X309" s="11"/>
      <c r="Y309" s="54">
        <v>5.0</v>
      </c>
      <c r="Z309" s="34"/>
      <c r="AA309" s="34"/>
      <c r="AB309" s="34"/>
      <c r="AC309" s="34"/>
      <c r="AD309" s="34"/>
      <c r="AE309" s="34"/>
      <c r="AF309" s="35"/>
      <c r="AG309" s="35"/>
      <c r="AH309" s="36"/>
      <c r="AI309" s="37"/>
      <c r="AJ309" s="34"/>
      <c r="AK309" s="38"/>
      <c r="AL309" s="38"/>
      <c r="AM309" s="38"/>
      <c r="AN309" s="38"/>
      <c r="AO309" s="34"/>
      <c r="AP309" s="35"/>
    </row>
    <row r="310">
      <c r="A310" s="8" t="s">
        <v>1390</v>
      </c>
      <c r="B310" s="8" t="s">
        <v>1391</v>
      </c>
      <c r="C310" s="8" t="s">
        <v>1202</v>
      </c>
      <c r="D310" s="8" t="s">
        <v>1203</v>
      </c>
      <c r="E310" s="8" t="s">
        <v>1204</v>
      </c>
      <c r="F310" s="8" t="s">
        <v>47</v>
      </c>
      <c r="G310" s="8" t="s">
        <v>1205</v>
      </c>
      <c r="H310" s="8" t="s">
        <v>1206</v>
      </c>
      <c r="I310" s="8" t="s">
        <v>50</v>
      </c>
      <c r="J310" s="8" t="s">
        <v>51</v>
      </c>
      <c r="K310" s="9" t="s">
        <v>52</v>
      </c>
      <c r="L310" s="8" t="s">
        <v>53</v>
      </c>
      <c r="M310" s="8" t="s">
        <v>69</v>
      </c>
      <c r="N310" s="53" t="s">
        <v>55</v>
      </c>
      <c r="O310" s="53" t="s">
        <v>70</v>
      </c>
      <c r="P310" s="20" t="s">
        <v>1392</v>
      </c>
      <c r="Q310" s="21" t="s">
        <v>94</v>
      </c>
      <c r="R310" s="20" t="s">
        <v>1393</v>
      </c>
      <c r="S310" s="20" t="s">
        <v>1394</v>
      </c>
      <c r="T310" s="22">
        <v>5.73004382998E11</v>
      </c>
      <c r="U310" s="53" t="s">
        <v>61</v>
      </c>
      <c r="V310" s="11"/>
      <c r="W310" s="11"/>
      <c r="X310" s="11"/>
      <c r="Y310" s="54">
        <v>5.0</v>
      </c>
      <c r="Z310" s="28"/>
      <c r="AA310" s="28"/>
      <c r="AB310" s="28"/>
      <c r="AC310" s="28"/>
      <c r="AD310" s="29"/>
      <c r="AE310" s="29"/>
      <c r="AF310" s="29"/>
      <c r="AG310" s="29"/>
      <c r="AH310" s="30"/>
      <c r="AI310" s="31"/>
      <c r="AJ310" s="28"/>
      <c r="AK310" s="32"/>
      <c r="AL310" s="32"/>
      <c r="AM310" s="32"/>
      <c r="AN310" s="32"/>
      <c r="AO310" s="28"/>
      <c r="AP310" s="29"/>
    </row>
    <row r="311">
      <c r="A311" s="8" t="s">
        <v>1395</v>
      </c>
      <c r="B311" s="8" t="s">
        <v>1396</v>
      </c>
      <c r="C311" s="8" t="s">
        <v>1202</v>
      </c>
      <c r="D311" s="8" t="s">
        <v>1203</v>
      </c>
      <c r="E311" s="8" t="s">
        <v>1204</v>
      </c>
      <c r="F311" s="8" t="s">
        <v>47</v>
      </c>
      <c r="G311" s="8" t="s">
        <v>1205</v>
      </c>
      <c r="H311" s="8" t="s">
        <v>1206</v>
      </c>
      <c r="I311" s="8" t="s">
        <v>50</v>
      </c>
      <c r="J311" s="8" t="s">
        <v>51</v>
      </c>
      <c r="K311" s="9" t="s">
        <v>52</v>
      </c>
      <c r="L311" s="8" t="s">
        <v>84</v>
      </c>
      <c r="M311" s="8" t="s">
        <v>69</v>
      </c>
      <c r="N311" s="53" t="s">
        <v>137</v>
      </c>
      <c r="O311" s="53" t="s">
        <v>70</v>
      </c>
      <c r="P311" s="20" t="s">
        <v>728</v>
      </c>
      <c r="Q311" s="21" t="s">
        <v>58</v>
      </c>
      <c r="R311" s="21" t="s">
        <v>1397</v>
      </c>
      <c r="S311" s="20" t="s">
        <v>1398</v>
      </c>
      <c r="T311" s="22">
        <v>5.73155622336E11</v>
      </c>
      <c r="U311" s="53" t="s">
        <v>75</v>
      </c>
      <c r="V311" s="11"/>
      <c r="W311" s="11"/>
      <c r="X311" s="11"/>
      <c r="Y311" s="54">
        <v>5.0</v>
      </c>
      <c r="Z311" s="28"/>
      <c r="AA311" s="28"/>
      <c r="AB311" s="28"/>
      <c r="AC311" s="28"/>
      <c r="AD311" s="28"/>
      <c r="AE311" s="28"/>
      <c r="AF311" s="28"/>
      <c r="AG311" s="28"/>
      <c r="AH311" s="30"/>
      <c r="AI311" s="31"/>
      <c r="AJ311" s="28"/>
      <c r="AK311" s="32"/>
      <c r="AL311" s="32"/>
      <c r="AM311" s="32"/>
      <c r="AN311" s="32"/>
      <c r="AO311" s="28"/>
      <c r="AP311" s="29"/>
    </row>
    <row r="312">
      <c r="A312" s="8" t="s">
        <v>1399</v>
      </c>
      <c r="B312" s="8" t="s">
        <v>1400</v>
      </c>
      <c r="C312" s="8" t="s">
        <v>1202</v>
      </c>
      <c r="D312" s="8" t="s">
        <v>1203</v>
      </c>
      <c r="E312" s="8" t="s">
        <v>1204</v>
      </c>
      <c r="F312" s="8" t="s">
        <v>47</v>
      </c>
      <c r="G312" s="8" t="s">
        <v>1205</v>
      </c>
      <c r="H312" s="8" t="s">
        <v>1206</v>
      </c>
      <c r="I312" s="8" t="s">
        <v>50</v>
      </c>
      <c r="J312" s="8" t="s">
        <v>51</v>
      </c>
      <c r="K312" s="9" t="s">
        <v>52</v>
      </c>
      <c r="L312" s="8" t="s">
        <v>53</v>
      </c>
      <c r="M312" s="8" t="s">
        <v>54</v>
      </c>
      <c r="N312" s="53" t="s">
        <v>85</v>
      </c>
      <c r="O312" s="53" t="s">
        <v>70</v>
      </c>
      <c r="P312" s="20" t="s">
        <v>182</v>
      </c>
      <c r="Q312" s="21" t="s">
        <v>111</v>
      </c>
      <c r="R312" s="20" t="s">
        <v>189</v>
      </c>
      <c r="S312" s="20" t="s">
        <v>1401</v>
      </c>
      <c r="T312" s="22">
        <v>5.73126662414E11</v>
      </c>
      <c r="U312" s="53" t="s">
        <v>61</v>
      </c>
      <c r="V312" s="11"/>
      <c r="W312" s="11"/>
      <c r="X312" s="11"/>
      <c r="Y312" s="54">
        <v>5.0</v>
      </c>
      <c r="Z312" s="28"/>
      <c r="AA312" s="28"/>
      <c r="AB312" s="28"/>
      <c r="AC312" s="29"/>
      <c r="AD312" s="29"/>
      <c r="AE312" s="29"/>
      <c r="AF312" s="29"/>
      <c r="AG312" s="29"/>
      <c r="AH312" s="30"/>
      <c r="AI312" s="31"/>
      <c r="AJ312" s="32"/>
      <c r="AK312" s="32"/>
      <c r="AL312" s="32"/>
      <c r="AM312" s="32"/>
      <c r="AN312" s="32"/>
      <c r="AO312" s="32"/>
      <c r="AP312" s="29"/>
    </row>
    <row r="313">
      <c r="A313" s="8" t="s">
        <v>1402</v>
      </c>
      <c r="B313" s="8" t="s">
        <v>1403</v>
      </c>
      <c r="C313" s="8" t="s">
        <v>1202</v>
      </c>
      <c r="D313" s="8" t="s">
        <v>1203</v>
      </c>
      <c r="E313" s="8" t="s">
        <v>1204</v>
      </c>
      <c r="F313" s="8" t="s">
        <v>47</v>
      </c>
      <c r="G313" s="8" t="s">
        <v>1205</v>
      </c>
      <c r="H313" s="8" t="s">
        <v>1206</v>
      </c>
      <c r="I313" s="8" t="s">
        <v>50</v>
      </c>
      <c r="J313" s="8" t="s">
        <v>51</v>
      </c>
      <c r="K313" s="9" t="s">
        <v>52</v>
      </c>
      <c r="L313" s="8" t="s">
        <v>53</v>
      </c>
      <c r="M313" s="8" t="s">
        <v>54</v>
      </c>
      <c r="N313" s="8" t="s">
        <v>85</v>
      </c>
      <c r="O313" s="8" t="s">
        <v>86</v>
      </c>
      <c r="P313" s="8" t="s">
        <v>723</v>
      </c>
      <c r="Q313" s="9" t="s">
        <v>111</v>
      </c>
      <c r="R313" s="8" t="s">
        <v>73</v>
      </c>
      <c r="S313" s="8" t="s">
        <v>1404</v>
      </c>
      <c r="T313" s="10">
        <v>5.73114430904E11</v>
      </c>
      <c r="U313" s="53" t="s">
        <v>61</v>
      </c>
      <c r="V313" s="11"/>
      <c r="W313" s="11"/>
      <c r="X313" s="11"/>
      <c r="Y313" s="33">
        <v>45779.0</v>
      </c>
      <c r="Z313" s="28"/>
      <c r="AA313" s="28"/>
      <c r="AB313" s="28"/>
      <c r="AC313" s="28"/>
      <c r="AD313" s="28"/>
      <c r="AE313" s="28"/>
      <c r="AF313" s="29"/>
      <c r="AG313" s="29"/>
      <c r="AH313" s="30"/>
      <c r="AI313" s="31"/>
      <c r="AJ313" s="32"/>
      <c r="AK313" s="32"/>
      <c r="AL313" s="32"/>
      <c r="AM313" s="32"/>
      <c r="AN313" s="32"/>
      <c r="AO313" s="32"/>
      <c r="AP313" s="28"/>
    </row>
    <row r="314">
      <c r="A314" s="8" t="s">
        <v>1405</v>
      </c>
      <c r="B314" s="8" t="s">
        <v>1406</v>
      </c>
      <c r="C314" s="8" t="s">
        <v>1202</v>
      </c>
      <c r="D314" s="8" t="s">
        <v>1203</v>
      </c>
      <c r="E314" s="8" t="s">
        <v>1204</v>
      </c>
      <c r="F314" s="8" t="s">
        <v>47</v>
      </c>
      <c r="G314" s="8" t="s">
        <v>1205</v>
      </c>
      <c r="H314" s="8" t="s">
        <v>1206</v>
      </c>
      <c r="I314" s="8" t="s">
        <v>50</v>
      </c>
      <c r="J314" s="8" t="s">
        <v>51</v>
      </c>
      <c r="K314" s="9" t="s">
        <v>52</v>
      </c>
      <c r="L314" s="8" t="s">
        <v>53</v>
      </c>
      <c r="M314" s="8" t="s">
        <v>54</v>
      </c>
      <c r="N314" s="53" t="s">
        <v>55</v>
      </c>
      <c r="O314" s="53" t="s">
        <v>70</v>
      </c>
      <c r="P314" s="20" t="s">
        <v>132</v>
      </c>
      <c r="Q314" s="21" t="s">
        <v>72</v>
      </c>
      <c r="R314" s="20" t="s">
        <v>1407</v>
      </c>
      <c r="S314" s="20" t="s">
        <v>1408</v>
      </c>
      <c r="T314" s="22">
        <v>5.73153562003E11</v>
      </c>
      <c r="U314" s="53" t="s">
        <v>75</v>
      </c>
      <c r="V314" s="11"/>
      <c r="W314" s="11"/>
      <c r="X314" s="11"/>
      <c r="Y314" s="54">
        <v>5.0</v>
      </c>
      <c r="Z314" s="28"/>
      <c r="AA314" s="28"/>
      <c r="AB314" s="28"/>
      <c r="AC314" s="28"/>
      <c r="AD314" s="28"/>
      <c r="AE314" s="28"/>
      <c r="AF314" s="29"/>
      <c r="AG314" s="29"/>
      <c r="AH314" s="30"/>
      <c r="AI314" s="31"/>
      <c r="AJ314" s="28"/>
      <c r="AK314" s="32"/>
      <c r="AL314" s="32"/>
      <c r="AM314" s="32"/>
      <c r="AN314" s="32"/>
      <c r="AO314" s="28"/>
      <c r="AP314" s="29"/>
    </row>
    <row r="315">
      <c r="A315" s="8" t="s">
        <v>1409</v>
      </c>
      <c r="B315" s="8" t="s">
        <v>1410</v>
      </c>
      <c r="C315" s="8" t="s">
        <v>1202</v>
      </c>
      <c r="D315" s="8" t="s">
        <v>1203</v>
      </c>
      <c r="E315" s="8" t="s">
        <v>1204</v>
      </c>
      <c r="F315" s="8" t="s">
        <v>47</v>
      </c>
      <c r="G315" s="8" t="s">
        <v>1205</v>
      </c>
      <c r="H315" s="8" t="s">
        <v>1206</v>
      </c>
      <c r="I315" s="8" t="s">
        <v>50</v>
      </c>
      <c r="J315" s="8" t="s">
        <v>51</v>
      </c>
      <c r="K315" s="9" t="s">
        <v>52</v>
      </c>
      <c r="L315" s="8" t="s">
        <v>53</v>
      </c>
      <c r="M315" s="8" t="s">
        <v>54</v>
      </c>
      <c r="N315" s="53" t="s">
        <v>55</v>
      </c>
      <c r="O315" s="53" t="s">
        <v>70</v>
      </c>
      <c r="P315" s="20" t="s">
        <v>500</v>
      </c>
      <c r="Q315" s="21" t="s">
        <v>111</v>
      </c>
      <c r="R315" s="20" t="s">
        <v>1411</v>
      </c>
      <c r="S315" s="20" t="s">
        <v>1412</v>
      </c>
      <c r="T315" s="22">
        <v>3.103061702E9</v>
      </c>
      <c r="U315" s="53" t="s">
        <v>61</v>
      </c>
      <c r="V315" s="11"/>
      <c r="W315" s="11"/>
      <c r="X315" s="11"/>
      <c r="Y315" s="54">
        <v>5.0</v>
      </c>
      <c r="Z315" s="28"/>
      <c r="AA315" s="28"/>
      <c r="AB315" s="28"/>
      <c r="AC315" s="28"/>
      <c r="AD315" s="28"/>
      <c r="AE315" s="28"/>
      <c r="AF315" s="29"/>
      <c r="AG315" s="29"/>
      <c r="AH315" s="30"/>
      <c r="AI315" s="31"/>
      <c r="AJ315" s="28"/>
      <c r="AK315" s="32"/>
      <c r="AL315" s="32"/>
      <c r="AM315" s="32"/>
      <c r="AN315" s="32"/>
      <c r="AO315" s="28"/>
      <c r="AP315" s="29"/>
    </row>
    <row r="316">
      <c r="A316" s="8" t="s">
        <v>1413</v>
      </c>
      <c r="B316" s="8" t="s">
        <v>1414</v>
      </c>
      <c r="C316" s="8" t="s">
        <v>1202</v>
      </c>
      <c r="D316" s="8" t="s">
        <v>1203</v>
      </c>
      <c r="E316" s="8" t="s">
        <v>1204</v>
      </c>
      <c r="F316" s="8" t="s">
        <v>47</v>
      </c>
      <c r="G316" s="8" t="s">
        <v>1205</v>
      </c>
      <c r="H316" s="8" t="s">
        <v>1206</v>
      </c>
      <c r="I316" s="8" t="s">
        <v>50</v>
      </c>
      <c r="J316" s="8" t="s">
        <v>51</v>
      </c>
      <c r="K316" s="9" t="s">
        <v>52</v>
      </c>
      <c r="L316" s="8" t="s">
        <v>84</v>
      </c>
      <c r="M316" s="8" t="s">
        <v>69</v>
      </c>
      <c r="N316" s="53" t="s">
        <v>137</v>
      </c>
      <c r="O316" s="53" t="s">
        <v>70</v>
      </c>
      <c r="P316" s="20" t="s">
        <v>479</v>
      </c>
      <c r="Q316" s="21" t="s">
        <v>94</v>
      </c>
      <c r="R316" s="20" t="s">
        <v>1415</v>
      </c>
      <c r="S316" s="20" t="s">
        <v>1416</v>
      </c>
      <c r="T316" s="22">
        <v>5.73105244046E11</v>
      </c>
      <c r="U316" s="53" t="s">
        <v>1417</v>
      </c>
      <c r="V316" s="11"/>
      <c r="W316" s="11"/>
      <c r="X316" s="11"/>
      <c r="Y316" s="54">
        <v>5.0</v>
      </c>
      <c r="Z316" s="28"/>
      <c r="AA316" s="28"/>
      <c r="AB316" s="28"/>
      <c r="AC316" s="28"/>
      <c r="AD316" s="28"/>
      <c r="AE316" s="28"/>
      <c r="AF316" s="29"/>
      <c r="AG316" s="29"/>
      <c r="AH316" s="30"/>
      <c r="AI316" s="31"/>
      <c r="AJ316" s="28"/>
      <c r="AK316" s="32"/>
      <c r="AL316" s="32"/>
      <c r="AM316" s="32"/>
      <c r="AN316" s="32"/>
      <c r="AO316" s="28"/>
      <c r="AP316" s="29"/>
    </row>
    <row r="317">
      <c r="A317" s="8" t="s">
        <v>1418</v>
      </c>
      <c r="B317" s="8" t="s">
        <v>1419</v>
      </c>
      <c r="C317" s="8" t="s">
        <v>1202</v>
      </c>
      <c r="D317" s="8" t="s">
        <v>1203</v>
      </c>
      <c r="E317" s="8" t="s">
        <v>1204</v>
      </c>
      <c r="F317" s="8" t="s">
        <v>47</v>
      </c>
      <c r="G317" s="8" t="s">
        <v>1205</v>
      </c>
      <c r="H317" s="8" t="s">
        <v>1206</v>
      </c>
      <c r="I317" s="8" t="s">
        <v>50</v>
      </c>
      <c r="J317" s="8" t="s">
        <v>51</v>
      </c>
      <c r="K317" s="9" t="s">
        <v>52</v>
      </c>
      <c r="L317" s="8" t="s">
        <v>53</v>
      </c>
      <c r="M317" s="8" t="s">
        <v>54</v>
      </c>
      <c r="N317" s="53" t="s">
        <v>55</v>
      </c>
      <c r="O317" s="53" t="s">
        <v>70</v>
      </c>
      <c r="P317" s="20" t="s">
        <v>445</v>
      </c>
      <c r="Q317" s="21" t="s">
        <v>183</v>
      </c>
      <c r="R317" s="20" t="s">
        <v>437</v>
      </c>
      <c r="S317" s="20" t="s">
        <v>1420</v>
      </c>
      <c r="T317" s="22">
        <v>5.73107590833E11</v>
      </c>
      <c r="U317" s="53" t="s">
        <v>61</v>
      </c>
      <c r="V317" s="11"/>
      <c r="W317" s="11"/>
      <c r="X317" s="11"/>
      <c r="Y317" s="54">
        <v>5.0</v>
      </c>
      <c r="Z317" s="28"/>
      <c r="AA317" s="28"/>
      <c r="AB317" s="28"/>
      <c r="AC317" s="28"/>
      <c r="AD317" s="28"/>
      <c r="AE317" s="28"/>
      <c r="AF317" s="29"/>
      <c r="AG317" s="29"/>
      <c r="AH317" s="30"/>
      <c r="AI317" s="31"/>
      <c r="AJ317" s="28"/>
      <c r="AK317" s="32"/>
      <c r="AL317" s="32"/>
      <c r="AM317" s="32"/>
      <c r="AN317" s="32"/>
      <c r="AO317" s="28"/>
      <c r="AP317" s="29"/>
    </row>
    <row r="318">
      <c r="A318" s="8" t="s">
        <v>1421</v>
      </c>
      <c r="B318" s="8" t="s">
        <v>1422</v>
      </c>
      <c r="C318" s="8" t="s">
        <v>1202</v>
      </c>
      <c r="D318" s="8" t="s">
        <v>1203</v>
      </c>
      <c r="E318" s="8" t="s">
        <v>1204</v>
      </c>
      <c r="F318" s="8" t="s">
        <v>47</v>
      </c>
      <c r="G318" s="8" t="s">
        <v>1205</v>
      </c>
      <c r="H318" s="8" t="s">
        <v>1206</v>
      </c>
      <c r="I318" s="8" t="s">
        <v>50</v>
      </c>
      <c r="J318" s="8" t="s">
        <v>51</v>
      </c>
      <c r="K318" s="9" t="s">
        <v>52</v>
      </c>
      <c r="L318" s="8" t="s">
        <v>53</v>
      </c>
      <c r="M318" s="8" t="s">
        <v>54</v>
      </c>
      <c r="N318" s="53" t="s">
        <v>55</v>
      </c>
      <c r="O318" s="53" t="s">
        <v>70</v>
      </c>
      <c r="P318" s="20" t="s">
        <v>282</v>
      </c>
      <c r="Q318" s="21" t="s">
        <v>111</v>
      </c>
      <c r="R318" s="20" t="s">
        <v>1423</v>
      </c>
      <c r="S318" s="20" t="s">
        <v>1424</v>
      </c>
      <c r="T318" s="22">
        <v>5.73107234696E11</v>
      </c>
      <c r="U318" s="53" t="s">
        <v>75</v>
      </c>
      <c r="V318" s="11"/>
      <c r="W318" s="11"/>
      <c r="X318" s="11"/>
      <c r="Y318" s="54">
        <v>5.0</v>
      </c>
      <c r="Z318" s="40"/>
      <c r="AA318" s="40"/>
      <c r="AB318" s="40"/>
      <c r="AC318" s="40"/>
      <c r="AD318" s="40"/>
      <c r="AE318" s="40"/>
      <c r="AF318" s="41"/>
      <c r="AG318" s="41"/>
      <c r="AH318" s="42"/>
      <c r="AI318" s="42"/>
      <c r="AJ318" s="40"/>
      <c r="AK318" s="43"/>
      <c r="AL318" s="43"/>
      <c r="AM318" s="43"/>
      <c r="AN318" s="43"/>
      <c r="AO318" s="40"/>
      <c r="AP318" s="41"/>
    </row>
    <row r="319">
      <c r="A319" s="8" t="s">
        <v>1425</v>
      </c>
      <c r="B319" s="8" t="s">
        <v>1426</v>
      </c>
      <c r="C319" s="8" t="s">
        <v>1202</v>
      </c>
      <c r="D319" s="8" t="s">
        <v>1203</v>
      </c>
      <c r="E319" s="8" t="s">
        <v>1204</v>
      </c>
      <c r="F319" s="8" t="s">
        <v>47</v>
      </c>
      <c r="G319" s="8" t="s">
        <v>1205</v>
      </c>
      <c r="H319" s="8" t="s">
        <v>1206</v>
      </c>
      <c r="I319" s="8" t="s">
        <v>50</v>
      </c>
      <c r="J319" s="8" t="s">
        <v>51</v>
      </c>
      <c r="K319" s="9" t="s">
        <v>52</v>
      </c>
      <c r="L319" s="8" t="s">
        <v>53</v>
      </c>
      <c r="M319" s="8" t="s">
        <v>69</v>
      </c>
      <c r="N319" s="53" t="s">
        <v>55</v>
      </c>
      <c r="O319" s="53" t="s">
        <v>70</v>
      </c>
      <c r="P319" s="20" t="s">
        <v>182</v>
      </c>
      <c r="Q319" s="21" t="s">
        <v>105</v>
      </c>
      <c r="R319" s="20" t="s">
        <v>1427</v>
      </c>
      <c r="S319" s="20" t="s">
        <v>1428</v>
      </c>
      <c r="T319" s="22">
        <v>5.73006074073E11</v>
      </c>
      <c r="U319" s="53" t="s">
        <v>61</v>
      </c>
      <c r="V319" s="11"/>
      <c r="W319" s="11"/>
      <c r="X319" s="11"/>
      <c r="Y319" s="54">
        <v>5.0</v>
      </c>
      <c r="Z319" s="28"/>
      <c r="AA319" s="28"/>
      <c r="AB319" s="28"/>
      <c r="AC319" s="28"/>
      <c r="AD319" s="28"/>
      <c r="AE319" s="28"/>
      <c r="AF319" s="29"/>
      <c r="AG319" s="29"/>
      <c r="AH319" s="30"/>
      <c r="AI319" s="31"/>
      <c r="AJ319" s="28"/>
      <c r="AK319" s="32"/>
      <c r="AL319" s="32"/>
      <c r="AM319" s="32"/>
      <c r="AN319" s="32"/>
      <c r="AO319" s="28"/>
      <c r="AP319" s="29"/>
    </row>
    <row r="320">
      <c r="A320" s="8" t="s">
        <v>1429</v>
      </c>
      <c r="B320" s="8" t="s">
        <v>1430</v>
      </c>
      <c r="C320" s="8" t="s">
        <v>1202</v>
      </c>
      <c r="D320" s="8" t="s">
        <v>1203</v>
      </c>
      <c r="E320" s="8" t="s">
        <v>1204</v>
      </c>
      <c r="F320" s="8" t="s">
        <v>47</v>
      </c>
      <c r="G320" s="8" t="s">
        <v>1205</v>
      </c>
      <c r="H320" s="8" t="s">
        <v>1206</v>
      </c>
      <c r="I320" s="8" t="s">
        <v>50</v>
      </c>
      <c r="J320" s="8" t="s">
        <v>51</v>
      </c>
      <c r="K320" s="9" t="s">
        <v>52</v>
      </c>
      <c r="L320" s="8" t="s">
        <v>84</v>
      </c>
      <c r="M320" s="8" t="s">
        <v>69</v>
      </c>
      <c r="N320" s="53" t="s">
        <v>55</v>
      </c>
      <c r="O320" s="53" t="s">
        <v>70</v>
      </c>
      <c r="P320" s="20" t="s">
        <v>783</v>
      </c>
      <c r="Q320" s="21" t="s">
        <v>111</v>
      </c>
      <c r="R320" s="20" t="s">
        <v>1431</v>
      </c>
      <c r="S320" s="20" t="s">
        <v>1432</v>
      </c>
      <c r="T320" s="22">
        <v>5.73006180313E11</v>
      </c>
      <c r="U320" s="53" t="s">
        <v>75</v>
      </c>
      <c r="V320" s="11"/>
      <c r="W320" s="11"/>
      <c r="X320" s="11"/>
      <c r="Y320" s="54">
        <v>5.0</v>
      </c>
      <c r="Z320" s="28"/>
      <c r="AA320" s="28"/>
      <c r="AB320" s="28"/>
      <c r="AC320" s="28"/>
      <c r="AD320" s="28"/>
      <c r="AE320" s="28"/>
      <c r="AF320" s="29"/>
      <c r="AG320" s="29"/>
      <c r="AH320" s="30"/>
      <c r="AI320" s="31"/>
      <c r="AJ320" s="28"/>
      <c r="AK320" s="32"/>
      <c r="AL320" s="32"/>
      <c r="AM320" s="32"/>
      <c r="AN320" s="32"/>
      <c r="AO320" s="28"/>
      <c r="AP320" s="29"/>
    </row>
    <row r="321">
      <c r="A321" s="8" t="s">
        <v>1433</v>
      </c>
      <c r="B321" s="8" t="s">
        <v>1434</v>
      </c>
      <c r="C321" s="8" t="s">
        <v>1202</v>
      </c>
      <c r="D321" s="8" t="s">
        <v>1203</v>
      </c>
      <c r="E321" s="8" t="s">
        <v>1204</v>
      </c>
      <c r="F321" s="8" t="s">
        <v>47</v>
      </c>
      <c r="G321" s="8" t="s">
        <v>1205</v>
      </c>
      <c r="H321" s="8" t="s">
        <v>1206</v>
      </c>
      <c r="I321" s="8" t="s">
        <v>50</v>
      </c>
      <c r="J321" s="8" t="s">
        <v>51</v>
      </c>
      <c r="K321" s="9" t="s">
        <v>52</v>
      </c>
      <c r="L321" s="8" t="s">
        <v>53</v>
      </c>
      <c r="M321" s="8" t="s">
        <v>69</v>
      </c>
      <c r="N321" s="53" t="s">
        <v>55</v>
      </c>
      <c r="O321" s="53" t="s">
        <v>70</v>
      </c>
      <c r="P321" s="20" t="s">
        <v>1435</v>
      </c>
      <c r="Q321" s="21" t="s">
        <v>72</v>
      </c>
      <c r="R321" s="20" t="s">
        <v>1436</v>
      </c>
      <c r="S321" s="20" t="s">
        <v>1437</v>
      </c>
      <c r="T321" s="22">
        <v>5.73164104309E11</v>
      </c>
      <c r="U321" s="53" t="s">
        <v>61</v>
      </c>
      <c r="V321" s="11"/>
      <c r="W321" s="11"/>
      <c r="X321" s="11"/>
      <c r="Y321" s="54">
        <v>5.0</v>
      </c>
      <c r="Z321" s="28"/>
      <c r="AA321" s="28"/>
      <c r="AB321" s="28"/>
      <c r="AC321" s="28"/>
      <c r="AD321" s="28"/>
      <c r="AE321" s="28"/>
      <c r="AF321" s="29"/>
      <c r="AG321" s="29"/>
      <c r="AH321" s="30"/>
      <c r="AI321" s="31"/>
      <c r="AJ321" s="28"/>
      <c r="AK321" s="32"/>
      <c r="AL321" s="32"/>
      <c r="AM321" s="32"/>
      <c r="AN321" s="32"/>
      <c r="AO321" s="28"/>
      <c r="AP321" s="29"/>
    </row>
    <row r="322">
      <c r="A322" s="8" t="s">
        <v>1438</v>
      </c>
      <c r="B322" s="8" t="s">
        <v>1439</v>
      </c>
      <c r="C322" s="8" t="s">
        <v>1202</v>
      </c>
      <c r="D322" s="8" t="s">
        <v>1203</v>
      </c>
      <c r="E322" s="8" t="s">
        <v>1204</v>
      </c>
      <c r="F322" s="8" t="s">
        <v>47</v>
      </c>
      <c r="G322" s="8" t="s">
        <v>1205</v>
      </c>
      <c r="H322" s="8" t="s">
        <v>1206</v>
      </c>
      <c r="I322" s="8" t="s">
        <v>50</v>
      </c>
      <c r="J322" s="8" t="s">
        <v>51</v>
      </c>
      <c r="K322" s="9" t="s">
        <v>52</v>
      </c>
      <c r="L322" s="8" t="s">
        <v>84</v>
      </c>
      <c r="M322" s="8" t="s">
        <v>69</v>
      </c>
      <c r="N322" s="53" t="s">
        <v>55</v>
      </c>
      <c r="O322" s="53" t="s">
        <v>70</v>
      </c>
      <c r="P322" s="20" t="s">
        <v>1440</v>
      </c>
      <c r="Q322" s="21" t="s">
        <v>72</v>
      </c>
      <c r="R322" s="20" t="s">
        <v>650</v>
      </c>
      <c r="S322" s="20" t="s">
        <v>1441</v>
      </c>
      <c r="T322" s="22">
        <v>5.7301621828E11</v>
      </c>
      <c r="U322" s="53" t="s">
        <v>75</v>
      </c>
      <c r="V322" s="11"/>
      <c r="W322" s="11"/>
      <c r="X322" s="11"/>
      <c r="Y322" s="54">
        <v>5.0</v>
      </c>
      <c r="Z322" s="40"/>
      <c r="AA322" s="40"/>
      <c r="AB322" s="40"/>
      <c r="AC322" s="40"/>
      <c r="AD322" s="40"/>
      <c r="AE322" s="40"/>
      <c r="AF322" s="41"/>
      <c r="AG322" s="41"/>
      <c r="AH322" s="42"/>
      <c r="AI322" s="42"/>
      <c r="AJ322" s="40"/>
      <c r="AK322" s="43"/>
      <c r="AL322" s="43"/>
      <c r="AM322" s="43"/>
      <c r="AN322" s="43"/>
      <c r="AO322" s="40"/>
      <c r="AP322" s="41"/>
    </row>
    <row r="323">
      <c r="A323" s="8" t="s">
        <v>1442</v>
      </c>
      <c r="B323" s="8" t="s">
        <v>1443</v>
      </c>
      <c r="C323" s="8" t="s">
        <v>1202</v>
      </c>
      <c r="D323" s="8" t="s">
        <v>1203</v>
      </c>
      <c r="E323" s="8" t="s">
        <v>1204</v>
      </c>
      <c r="F323" s="8" t="s">
        <v>47</v>
      </c>
      <c r="G323" s="8" t="s">
        <v>1205</v>
      </c>
      <c r="H323" s="8" t="s">
        <v>1206</v>
      </c>
      <c r="I323" s="8" t="s">
        <v>50</v>
      </c>
      <c r="J323" s="8" t="s">
        <v>51</v>
      </c>
      <c r="K323" s="9" t="s">
        <v>52</v>
      </c>
      <c r="L323" s="8" t="s">
        <v>53</v>
      </c>
      <c r="M323" s="8" t="s">
        <v>54</v>
      </c>
      <c r="N323" s="53" t="s">
        <v>85</v>
      </c>
      <c r="O323" s="53" t="s">
        <v>70</v>
      </c>
      <c r="P323" s="20" t="s">
        <v>1353</v>
      </c>
      <c r="Q323" s="21" t="s">
        <v>111</v>
      </c>
      <c r="R323" s="20" t="s">
        <v>1444</v>
      </c>
      <c r="S323" s="20" t="s">
        <v>1445</v>
      </c>
      <c r="T323" s="22">
        <v>3.002173736E9</v>
      </c>
      <c r="U323" s="53" t="s">
        <v>75</v>
      </c>
      <c r="V323" s="11"/>
      <c r="W323" s="11"/>
      <c r="X323" s="11"/>
      <c r="Y323" s="54">
        <v>5.0</v>
      </c>
      <c r="Z323" s="40"/>
      <c r="AA323" s="40"/>
      <c r="AB323" s="40"/>
      <c r="AC323" s="40"/>
      <c r="AD323" s="40"/>
      <c r="AE323" s="40"/>
      <c r="AF323" s="41"/>
      <c r="AG323" s="41"/>
      <c r="AH323" s="42"/>
      <c r="AI323" s="42"/>
      <c r="AJ323" s="40"/>
      <c r="AK323" s="43"/>
      <c r="AL323" s="43"/>
      <c r="AM323" s="43"/>
      <c r="AN323" s="43"/>
      <c r="AO323" s="40"/>
      <c r="AP323" s="41"/>
    </row>
    <row r="324">
      <c r="A324" s="8" t="s">
        <v>1446</v>
      </c>
      <c r="B324" s="8" t="s">
        <v>1447</v>
      </c>
      <c r="C324" s="8" t="s">
        <v>1202</v>
      </c>
      <c r="D324" s="8" t="s">
        <v>1203</v>
      </c>
      <c r="E324" s="8" t="s">
        <v>1204</v>
      </c>
      <c r="F324" s="8" t="s">
        <v>47</v>
      </c>
      <c r="G324" s="8" t="s">
        <v>1205</v>
      </c>
      <c r="H324" s="8" t="s">
        <v>1206</v>
      </c>
      <c r="I324" s="8" t="s">
        <v>50</v>
      </c>
      <c r="J324" s="8" t="s">
        <v>51</v>
      </c>
      <c r="K324" s="9" t="s">
        <v>52</v>
      </c>
      <c r="L324" s="8" t="s">
        <v>84</v>
      </c>
      <c r="M324" s="8" t="s">
        <v>69</v>
      </c>
      <c r="N324" s="53" t="s">
        <v>85</v>
      </c>
      <c r="O324" s="53" t="s">
        <v>70</v>
      </c>
      <c r="P324" s="20" t="s">
        <v>1136</v>
      </c>
      <c r="Q324" s="21" t="s">
        <v>94</v>
      </c>
      <c r="R324" s="20" t="s">
        <v>1448</v>
      </c>
      <c r="S324" s="20" t="s">
        <v>1449</v>
      </c>
      <c r="T324" s="22">
        <v>5.73114536561E11</v>
      </c>
      <c r="U324" s="53" t="s">
        <v>1450</v>
      </c>
      <c r="V324" s="11"/>
      <c r="W324" s="11"/>
      <c r="X324" s="11"/>
      <c r="Y324" s="54">
        <v>5.0</v>
      </c>
      <c r="Z324" s="104"/>
      <c r="AA324" s="104"/>
      <c r="AB324" s="104"/>
      <c r="AC324" s="104"/>
      <c r="AD324" s="104"/>
      <c r="AE324" s="104"/>
      <c r="AF324" s="105"/>
      <c r="AG324" s="105"/>
      <c r="AH324" s="106"/>
      <c r="AI324" s="106"/>
      <c r="AJ324" s="104"/>
      <c r="AK324" s="107"/>
      <c r="AL324" s="107"/>
      <c r="AM324" s="107"/>
      <c r="AN324" s="107"/>
      <c r="AO324" s="104"/>
      <c r="AP324" s="105"/>
    </row>
    <row r="325">
      <c r="A325" s="8" t="s">
        <v>1451</v>
      </c>
      <c r="B325" s="8" t="s">
        <v>1452</v>
      </c>
      <c r="C325" s="8" t="s">
        <v>1202</v>
      </c>
      <c r="D325" s="8" t="s">
        <v>1203</v>
      </c>
      <c r="E325" s="8" t="s">
        <v>1204</v>
      </c>
      <c r="F325" s="8" t="s">
        <v>47</v>
      </c>
      <c r="G325" s="8" t="s">
        <v>1205</v>
      </c>
      <c r="H325" s="8" t="s">
        <v>1206</v>
      </c>
      <c r="I325" s="8" t="s">
        <v>50</v>
      </c>
      <c r="J325" s="8" t="s">
        <v>51</v>
      </c>
      <c r="K325" s="9" t="s">
        <v>52</v>
      </c>
      <c r="L325" s="8" t="s">
        <v>84</v>
      </c>
      <c r="M325" s="8" t="s">
        <v>69</v>
      </c>
      <c r="N325" s="53" t="s">
        <v>55</v>
      </c>
      <c r="O325" s="53" t="s">
        <v>70</v>
      </c>
      <c r="P325" s="20" t="s">
        <v>1037</v>
      </c>
      <c r="Q325" s="20" t="s">
        <v>1453</v>
      </c>
      <c r="R325" s="20" t="s">
        <v>1454</v>
      </c>
      <c r="S325" s="20" t="s">
        <v>1455</v>
      </c>
      <c r="T325" s="22">
        <v>5.73102167494E11</v>
      </c>
      <c r="U325" s="53" t="s">
        <v>75</v>
      </c>
      <c r="V325" s="11"/>
      <c r="W325" s="11"/>
      <c r="X325" s="11"/>
      <c r="Y325" s="54">
        <v>5.0</v>
      </c>
      <c r="Z325" s="49"/>
      <c r="AA325" s="49"/>
      <c r="AB325" s="49"/>
      <c r="AC325" s="49"/>
      <c r="AD325" s="49"/>
      <c r="AE325" s="49"/>
      <c r="AF325" s="50"/>
      <c r="AG325" s="50"/>
      <c r="AH325" s="51"/>
      <c r="AI325" s="51"/>
      <c r="AJ325" s="49"/>
      <c r="AK325" s="52"/>
      <c r="AL325" s="52"/>
      <c r="AM325" s="52"/>
      <c r="AN325" s="52"/>
      <c r="AO325" s="49"/>
      <c r="AP325" s="50"/>
    </row>
    <row r="326">
      <c r="A326" s="8" t="s">
        <v>1456</v>
      </c>
      <c r="B326" s="8" t="s">
        <v>1457</v>
      </c>
      <c r="C326" s="8" t="s">
        <v>1202</v>
      </c>
      <c r="D326" s="8" t="s">
        <v>1203</v>
      </c>
      <c r="E326" s="8" t="s">
        <v>1204</v>
      </c>
      <c r="F326" s="8" t="s">
        <v>47</v>
      </c>
      <c r="G326" s="8" t="s">
        <v>1205</v>
      </c>
      <c r="H326" s="8" t="s">
        <v>1206</v>
      </c>
      <c r="I326" s="8" t="s">
        <v>50</v>
      </c>
      <c r="J326" s="8" t="s">
        <v>51</v>
      </c>
      <c r="K326" s="9" t="s">
        <v>52</v>
      </c>
      <c r="L326" s="8" t="s">
        <v>53</v>
      </c>
      <c r="M326" s="8" t="s">
        <v>69</v>
      </c>
      <c r="N326" s="53" t="s">
        <v>85</v>
      </c>
      <c r="O326" s="53" t="s">
        <v>70</v>
      </c>
      <c r="P326" s="20" t="s">
        <v>1458</v>
      </c>
      <c r="Q326" s="21" t="s">
        <v>111</v>
      </c>
      <c r="R326" s="20" t="s">
        <v>1459</v>
      </c>
      <c r="S326" s="20" t="s">
        <v>1460</v>
      </c>
      <c r="T326" s="22">
        <v>5.73160490777E11</v>
      </c>
      <c r="U326" s="53" t="s">
        <v>61</v>
      </c>
      <c r="V326" s="11"/>
      <c r="W326" s="11"/>
      <c r="X326" s="11"/>
      <c r="Y326" s="54">
        <v>5.0</v>
      </c>
      <c r="Z326" s="28"/>
      <c r="AA326" s="28"/>
      <c r="AB326" s="28"/>
      <c r="AC326" s="28"/>
      <c r="AD326" s="28"/>
      <c r="AE326" s="28"/>
      <c r="AF326" s="29"/>
      <c r="AG326" s="29"/>
      <c r="AH326" s="30"/>
      <c r="AI326" s="31"/>
      <c r="AJ326" s="28"/>
      <c r="AK326" s="32"/>
      <c r="AL326" s="32"/>
      <c r="AM326" s="32"/>
      <c r="AN326" s="32"/>
      <c r="AO326" s="28"/>
      <c r="AP326" s="29"/>
    </row>
    <row r="327">
      <c r="A327" s="8" t="s">
        <v>1461</v>
      </c>
      <c r="B327" s="8" t="s">
        <v>1462</v>
      </c>
      <c r="C327" s="8" t="s">
        <v>1202</v>
      </c>
      <c r="D327" s="8" t="s">
        <v>1203</v>
      </c>
      <c r="E327" s="8" t="s">
        <v>1204</v>
      </c>
      <c r="F327" s="8" t="s">
        <v>47</v>
      </c>
      <c r="G327" s="8" t="s">
        <v>1205</v>
      </c>
      <c r="H327" s="8" t="s">
        <v>1206</v>
      </c>
      <c r="I327" s="8" t="s">
        <v>50</v>
      </c>
      <c r="J327" s="8" t="s">
        <v>51</v>
      </c>
      <c r="K327" s="9" t="s">
        <v>52</v>
      </c>
      <c r="L327" s="8" t="s">
        <v>53</v>
      </c>
      <c r="M327" s="8" t="s">
        <v>54</v>
      </c>
      <c r="N327" s="53" t="s">
        <v>55</v>
      </c>
      <c r="O327" s="53" t="s">
        <v>70</v>
      </c>
      <c r="P327" s="20" t="s">
        <v>141</v>
      </c>
      <c r="Q327" s="21" t="s">
        <v>111</v>
      </c>
      <c r="R327" s="20" t="s">
        <v>207</v>
      </c>
      <c r="S327" s="20" t="s">
        <v>1463</v>
      </c>
      <c r="T327" s="22">
        <v>5.73108836075E11</v>
      </c>
      <c r="U327" s="53" t="s">
        <v>61</v>
      </c>
      <c r="V327" s="11"/>
      <c r="W327" s="11"/>
      <c r="X327" s="11"/>
      <c r="Y327" s="54">
        <v>5.0</v>
      </c>
      <c r="Z327" s="28"/>
      <c r="AA327" s="28"/>
      <c r="AB327" s="28"/>
      <c r="AC327" s="28"/>
      <c r="AD327" s="28"/>
      <c r="AE327" s="28"/>
      <c r="AF327" s="29"/>
      <c r="AG327" s="29"/>
      <c r="AH327" s="30"/>
      <c r="AI327" s="31"/>
      <c r="AJ327" s="28"/>
      <c r="AK327" s="32"/>
      <c r="AL327" s="32"/>
      <c r="AM327" s="32"/>
      <c r="AN327" s="32"/>
      <c r="AO327" s="28"/>
      <c r="AP327" s="29"/>
    </row>
    <row r="328">
      <c r="A328" s="8" t="s">
        <v>1464</v>
      </c>
      <c r="B328" s="8" t="s">
        <v>1465</v>
      </c>
      <c r="C328" s="8" t="s">
        <v>1202</v>
      </c>
      <c r="D328" s="8" t="s">
        <v>1203</v>
      </c>
      <c r="E328" s="8" t="s">
        <v>1204</v>
      </c>
      <c r="F328" s="8" t="s">
        <v>47</v>
      </c>
      <c r="G328" s="8" t="s">
        <v>1205</v>
      </c>
      <c r="H328" s="8" t="s">
        <v>1206</v>
      </c>
      <c r="I328" s="8" t="s">
        <v>50</v>
      </c>
      <c r="J328" s="8" t="s">
        <v>51</v>
      </c>
      <c r="K328" s="9" t="s">
        <v>52</v>
      </c>
      <c r="L328" s="8" t="s">
        <v>84</v>
      </c>
      <c r="M328" s="8" t="s">
        <v>54</v>
      </c>
      <c r="N328" s="53" t="s">
        <v>55</v>
      </c>
      <c r="O328" s="53" t="s">
        <v>70</v>
      </c>
      <c r="P328" s="20" t="s">
        <v>479</v>
      </c>
      <c r="Q328" s="21" t="s">
        <v>111</v>
      </c>
      <c r="R328" s="20" t="s">
        <v>168</v>
      </c>
      <c r="S328" s="20" t="s">
        <v>1466</v>
      </c>
      <c r="T328" s="22">
        <v>5.73176717918E11</v>
      </c>
      <c r="U328" s="53" t="s">
        <v>75</v>
      </c>
      <c r="V328" s="11"/>
      <c r="W328" s="11"/>
      <c r="X328" s="11"/>
      <c r="Y328" s="54">
        <v>5.0</v>
      </c>
      <c r="Z328" s="28"/>
      <c r="AA328" s="28"/>
      <c r="AB328" s="28"/>
      <c r="AC328" s="28"/>
      <c r="AD328" s="28"/>
      <c r="AE328" s="28"/>
      <c r="AF328" s="29"/>
      <c r="AG328" s="29"/>
      <c r="AH328" s="30"/>
      <c r="AI328" s="31"/>
      <c r="AJ328" s="28"/>
      <c r="AK328" s="32"/>
      <c r="AL328" s="32"/>
      <c r="AM328" s="32"/>
      <c r="AN328" s="32"/>
      <c r="AO328" s="28"/>
      <c r="AP328" s="29"/>
    </row>
    <row r="329">
      <c r="A329" s="8" t="s">
        <v>1467</v>
      </c>
      <c r="B329" s="8" t="s">
        <v>1468</v>
      </c>
      <c r="C329" s="8" t="s">
        <v>1202</v>
      </c>
      <c r="D329" s="8" t="s">
        <v>1203</v>
      </c>
      <c r="E329" s="8" t="s">
        <v>1204</v>
      </c>
      <c r="F329" s="8" t="s">
        <v>47</v>
      </c>
      <c r="G329" s="8" t="s">
        <v>1205</v>
      </c>
      <c r="H329" s="8" t="s">
        <v>1206</v>
      </c>
      <c r="I329" s="8" t="s">
        <v>50</v>
      </c>
      <c r="J329" s="8" t="s">
        <v>51</v>
      </c>
      <c r="K329" s="9" t="s">
        <v>52</v>
      </c>
      <c r="L329" s="8" t="s">
        <v>53</v>
      </c>
      <c r="M329" s="8" t="s">
        <v>54</v>
      </c>
      <c r="N329" s="53" t="s">
        <v>55</v>
      </c>
      <c r="O329" s="53" t="s">
        <v>70</v>
      </c>
      <c r="P329" s="20" t="s">
        <v>1339</v>
      </c>
      <c r="Q329" s="21" t="s">
        <v>111</v>
      </c>
      <c r="R329" s="20" t="s">
        <v>272</v>
      </c>
      <c r="S329" s="20" t="s">
        <v>1469</v>
      </c>
      <c r="T329" s="22">
        <v>3.04295616E9</v>
      </c>
      <c r="U329" s="53" t="s">
        <v>75</v>
      </c>
      <c r="V329" s="11"/>
      <c r="W329" s="11"/>
      <c r="X329" s="11"/>
      <c r="Y329" s="54">
        <v>5.0</v>
      </c>
      <c r="Z329" s="28"/>
      <c r="AA329" s="28"/>
      <c r="AB329" s="28"/>
      <c r="AC329" s="28"/>
      <c r="AD329" s="28"/>
      <c r="AE329" s="28"/>
      <c r="AF329" s="29"/>
      <c r="AG329" s="29"/>
      <c r="AH329" s="30"/>
      <c r="AI329" s="31"/>
      <c r="AJ329" s="28"/>
      <c r="AK329" s="32"/>
      <c r="AL329" s="32"/>
      <c r="AM329" s="32"/>
      <c r="AN329" s="32"/>
      <c r="AO329" s="28"/>
      <c r="AP329" s="29"/>
    </row>
    <row r="330">
      <c r="A330" s="8" t="s">
        <v>1470</v>
      </c>
      <c r="B330" s="8" t="s">
        <v>1471</v>
      </c>
      <c r="C330" s="8" t="s">
        <v>1202</v>
      </c>
      <c r="D330" s="8" t="s">
        <v>1203</v>
      </c>
      <c r="E330" s="8" t="s">
        <v>1204</v>
      </c>
      <c r="F330" s="8" t="s">
        <v>47</v>
      </c>
      <c r="G330" s="8" t="s">
        <v>1205</v>
      </c>
      <c r="H330" s="8" t="s">
        <v>1206</v>
      </c>
      <c r="I330" s="8" t="s">
        <v>50</v>
      </c>
      <c r="J330" s="8" t="s">
        <v>51</v>
      </c>
      <c r="K330" s="9" t="s">
        <v>52</v>
      </c>
      <c r="L330" s="8" t="s">
        <v>53</v>
      </c>
      <c r="M330" s="8" t="s">
        <v>69</v>
      </c>
      <c r="N330" s="53" t="s">
        <v>55</v>
      </c>
      <c r="O330" s="53" t="s">
        <v>70</v>
      </c>
      <c r="P330" s="20" t="s">
        <v>948</v>
      </c>
      <c r="Q330" s="21" t="s">
        <v>487</v>
      </c>
      <c r="R330" s="21" t="s">
        <v>1103</v>
      </c>
      <c r="S330" s="20" t="s">
        <v>1472</v>
      </c>
      <c r="T330" s="22" t="s">
        <v>1473</v>
      </c>
      <c r="U330" s="53" t="s">
        <v>75</v>
      </c>
      <c r="V330" s="11"/>
      <c r="W330" s="11"/>
      <c r="X330" s="11"/>
      <c r="Y330" s="54">
        <v>5.0</v>
      </c>
      <c r="Z330" s="108"/>
      <c r="AA330" s="108"/>
      <c r="AB330" s="108"/>
      <c r="AC330" s="108"/>
      <c r="AD330" s="108"/>
      <c r="AE330" s="108"/>
      <c r="AF330" s="109"/>
      <c r="AG330" s="109"/>
      <c r="AH330" s="110"/>
      <c r="AI330" s="110"/>
      <c r="AJ330" s="108"/>
      <c r="AK330" s="111"/>
      <c r="AL330" s="111"/>
      <c r="AM330" s="111"/>
      <c r="AN330" s="111"/>
      <c r="AO330" s="108"/>
      <c r="AP330" s="109"/>
    </row>
    <row r="331">
      <c r="A331" s="8" t="s">
        <v>1474</v>
      </c>
      <c r="B331" s="8" t="s">
        <v>1475</v>
      </c>
      <c r="C331" s="8" t="s">
        <v>1202</v>
      </c>
      <c r="D331" s="8" t="s">
        <v>1203</v>
      </c>
      <c r="E331" s="8" t="s">
        <v>1204</v>
      </c>
      <c r="F331" s="8" t="s">
        <v>47</v>
      </c>
      <c r="G331" s="8" t="s">
        <v>1205</v>
      </c>
      <c r="H331" s="8" t="s">
        <v>1206</v>
      </c>
      <c r="I331" s="8" t="s">
        <v>50</v>
      </c>
      <c r="J331" s="8" t="s">
        <v>51</v>
      </c>
      <c r="K331" s="9" t="s">
        <v>52</v>
      </c>
      <c r="L331" s="8" t="s">
        <v>53</v>
      </c>
      <c r="M331" s="8" t="s">
        <v>69</v>
      </c>
      <c r="N331" s="53" t="s">
        <v>137</v>
      </c>
      <c r="O331" s="53" t="s">
        <v>70</v>
      </c>
      <c r="P331" s="20" t="s">
        <v>783</v>
      </c>
      <c r="Q331" s="21" t="s">
        <v>122</v>
      </c>
      <c r="R331" s="20" t="s">
        <v>158</v>
      </c>
      <c r="S331" s="20" t="s">
        <v>1476</v>
      </c>
      <c r="T331" s="22">
        <v>5.73184008899E11</v>
      </c>
      <c r="U331" s="53" t="s">
        <v>75</v>
      </c>
      <c r="V331" s="11"/>
      <c r="W331" s="11"/>
      <c r="X331" s="11"/>
      <c r="Y331" s="54">
        <v>5.0</v>
      </c>
      <c r="Z331" s="49"/>
      <c r="AA331" s="49"/>
      <c r="AB331" s="49"/>
      <c r="AC331" s="49"/>
      <c r="AD331" s="49"/>
      <c r="AE331" s="49"/>
      <c r="AF331" s="50"/>
      <c r="AG331" s="50"/>
      <c r="AH331" s="51"/>
      <c r="AI331" s="51"/>
      <c r="AJ331" s="49"/>
      <c r="AK331" s="52"/>
      <c r="AL331" s="52"/>
      <c r="AM331" s="52"/>
      <c r="AN331" s="52"/>
      <c r="AO331" s="49"/>
      <c r="AP331" s="50"/>
    </row>
    <row r="332">
      <c r="A332" s="8" t="s">
        <v>1477</v>
      </c>
      <c r="B332" s="8" t="s">
        <v>1478</v>
      </c>
      <c r="C332" s="8" t="s">
        <v>1202</v>
      </c>
      <c r="D332" s="8" t="s">
        <v>1203</v>
      </c>
      <c r="E332" s="8" t="s">
        <v>1204</v>
      </c>
      <c r="F332" s="8" t="s">
        <v>47</v>
      </c>
      <c r="G332" s="8" t="s">
        <v>1205</v>
      </c>
      <c r="H332" s="8" t="s">
        <v>1206</v>
      </c>
      <c r="I332" s="8" t="s">
        <v>50</v>
      </c>
      <c r="J332" s="8" t="s">
        <v>51</v>
      </c>
      <c r="K332" s="9" t="s">
        <v>52</v>
      </c>
      <c r="L332" s="8" t="s">
        <v>84</v>
      </c>
      <c r="M332" s="8" t="s">
        <v>54</v>
      </c>
      <c r="N332" s="53" t="s">
        <v>55</v>
      </c>
      <c r="O332" s="53" t="s">
        <v>70</v>
      </c>
      <c r="P332" s="20" t="s">
        <v>317</v>
      </c>
      <c r="Q332" s="21" t="s">
        <v>94</v>
      </c>
      <c r="R332" s="20" t="s">
        <v>168</v>
      </c>
      <c r="S332" s="20" t="s">
        <v>1479</v>
      </c>
      <c r="T332" s="22">
        <v>5.73164988336E11</v>
      </c>
      <c r="U332" s="53" t="s">
        <v>75</v>
      </c>
      <c r="V332" s="11"/>
      <c r="W332" s="11"/>
      <c r="X332" s="11"/>
      <c r="Y332" s="54">
        <v>5.0</v>
      </c>
      <c r="Z332" s="28"/>
      <c r="AA332" s="28"/>
      <c r="AB332" s="28"/>
      <c r="AC332" s="28"/>
      <c r="AD332" s="28"/>
      <c r="AE332" s="28"/>
      <c r="AF332" s="29"/>
      <c r="AG332" s="29"/>
      <c r="AH332" s="30"/>
      <c r="AI332" s="31"/>
      <c r="AJ332" s="28"/>
      <c r="AK332" s="32"/>
      <c r="AL332" s="32"/>
      <c r="AM332" s="32"/>
      <c r="AN332" s="32"/>
      <c r="AO332" s="28"/>
      <c r="AP332" s="29"/>
    </row>
    <row r="333">
      <c r="A333" s="8" t="s">
        <v>1480</v>
      </c>
      <c r="B333" s="8" t="s">
        <v>1481</v>
      </c>
      <c r="C333" s="8" t="s">
        <v>1202</v>
      </c>
      <c r="D333" s="8" t="s">
        <v>1203</v>
      </c>
      <c r="E333" s="8" t="s">
        <v>1204</v>
      </c>
      <c r="F333" s="8" t="s">
        <v>47</v>
      </c>
      <c r="G333" s="8" t="s">
        <v>1205</v>
      </c>
      <c r="H333" s="8" t="s">
        <v>1206</v>
      </c>
      <c r="I333" s="8" t="s">
        <v>50</v>
      </c>
      <c r="J333" s="8" t="s">
        <v>51</v>
      </c>
      <c r="K333" s="9" t="s">
        <v>52</v>
      </c>
      <c r="L333" s="8" t="s">
        <v>53</v>
      </c>
      <c r="M333" s="8" t="s">
        <v>69</v>
      </c>
      <c r="N333" s="53" t="s">
        <v>55</v>
      </c>
      <c r="O333" s="53" t="s">
        <v>70</v>
      </c>
      <c r="P333" s="20" t="s">
        <v>1482</v>
      </c>
      <c r="Q333" s="21" t="s">
        <v>58</v>
      </c>
      <c r="R333" s="20" t="s">
        <v>608</v>
      </c>
      <c r="S333" s="20" t="s">
        <v>1483</v>
      </c>
      <c r="T333" s="22">
        <v>5.73167416503E11</v>
      </c>
      <c r="U333" s="53" t="s">
        <v>75</v>
      </c>
      <c r="V333" s="11"/>
      <c r="W333" s="11"/>
      <c r="X333" s="11"/>
      <c r="Y333" s="54">
        <v>5.0</v>
      </c>
      <c r="Z333" s="28"/>
      <c r="AA333" s="28"/>
      <c r="AB333" s="28"/>
      <c r="AC333" s="28"/>
      <c r="AD333" s="28"/>
      <c r="AE333" s="28"/>
      <c r="AF333" s="29"/>
      <c r="AG333" s="29"/>
      <c r="AH333" s="30"/>
      <c r="AI333" s="31"/>
      <c r="AJ333" s="28"/>
      <c r="AK333" s="32"/>
      <c r="AL333" s="32"/>
      <c r="AM333" s="32"/>
      <c r="AN333" s="32"/>
      <c r="AO333" s="28"/>
      <c r="AP333" s="29"/>
    </row>
    <row r="334">
      <c r="A334" s="8" t="s">
        <v>1484</v>
      </c>
      <c r="B334" s="8" t="s">
        <v>1485</v>
      </c>
      <c r="C334" s="8" t="s">
        <v>1202</v>
      </c>
      <c r="D334" s="8" t="s">
        <v>1203</v>
      </c>
      <c r="E334" s="8" t="s">
        <v>1204</v>
      </c>
      <c r="F334" s="8" t="s">
        <v>47</v>
      </c>
      <c r="G334" s="8" t="s">
        <v>1205</v>
      </c>
      <c r="H334" s="8" t="s">
        <v>1206</v>
      </c>
      <c r="I334" s="8" t="s">
        <v>50</v>
      </c>
      <c r="J334" s="8" t="s">
        <v>51</v>
      </c>
      <c r="K334" s="9" t="s">
        <v>52</v>
      </c>
      <c r="L334" s="8" t="s">
        <v>53</v>
      </c>
      <c r="M334" s="8" t="s">
        <v>69</v>
      </c>
      <c r="N334" s="53" t="s">
        <v>85</v>
      </c>
      <c r="O334" s="53" t="s">
        <v>70</v>
      </c>
      <c r="P334" s="20" t="s">
        <v>474</v>
      </c>
      <c r="Q334" s="21" t="s">
        <v>122</v>
      </c>
      <c r="R334" s="20" t="s">
        <v>1486</v>
      </c>
      <c r="S334" s="20" t="s">
        <v>1487</v>
      </c>
      <c r="T334" s="22">
        <v>5.73125840178E11</v>
      </c>
      <c r="U334" s="53" t="s">
        <v>75</v>
      </c>
      <c r="V334" s="11"/>
      <c r="W334" s="11"/>
      <c r="X334" s="11"/>
      <c r="Y334" s="54">
        <v>5.0</v>
      </c>
      <c r="Z334" s="28"/>
      <c r="AA334" s="28"/>
      <c r="AB334" s="28"/>
      <c r="AC334" s="28"/>
      <c r="AD334" s="28"/>
      <c r="AE334" s="28"/>
      <c r="AF334" s="29"/>
      <c r="AG334" s="29"/>
      <c r="AH334" s="30"/>
      <c r="AI334" s="31"/>
      <c r="AJ334" s="28"/>
      <c r="AK334" s="32"/>
      <c r="AL334" s="32"/>
      <c r="AM334" s="32"/>
      <c r="AN334" s="32"/>
      <c r="AO334" s="28"/>
      <c r="AP334" s="29"/>
    </row>
    <row r="335">
      <c r="A335" s="8" t="s">
        <v>1488</v>
      </c>
      <c r="B335" s="8" t="s">
        <v>1489</v>
      </c>
      <c r="C335" s="8" t="s">
        <v>1202</v>
      </c>
      <c r="D335" s="8" t="s">
        <v>1203</v>
      </c>
      <c r="E335" s="8" t="s">
        <v>1204</v>
      </c>
      <c r="F335" s="8" t="s">
        <v>47</v>
      </c>
      <c r="G335" s="8" t="s">
        <v>1205</v>
      </c>
      <c r="H335" s="8" t="s">
        <v>1206</v>
      </c>
      <c r="I335" s="8" t="s">
        <v>50</v>
      </c>
      <c r="J335" s="8" t="s">
        <v>51</v>
      </c>
      <c r="K335" s="9" t="s">
        <v>52</v>
      </c>
      <c r="L335" s="8" t="s">
        <v>53</v>
      </c>
      <c r="M335" s="8" t="s">
        <v>69</v>
      </c>
      <c r="N335" s="53" t="s">
        <v>85</v>
      </c>
      <c r="O335" s="53" t="s">
        <v>70</v>
      </c>
      <c r="P335" s="20" t="s">
        <v>627</v>
      </c>
      <c r="Q335" s="21" t="s">
        <v>111</v>
      </c>
      <c r="R335" s="20" t="s">
        <v>1490</v>
      </c>
      <c r="S335" s="20" t="s">
        <v>1491</v>
      </c>
      <c r="T335" s="22">
        <v>3.046737487E9</v>
      </c>
      <c r="U335" s="53" t="s">
        <v>61</v>
      </c>
      <c r="V335" s="11"/>
      <c r="W335" s="11"/>
      <c r="X335" s="11"/>
      <c r="Y335" s="54">
        <v>5.0</v>
      </c>
      <c r="Z335" s="28"/>
      <c r="AA335" s="28"/>
      <c r="AB335" s="28"/>
      <c r="AC335" s="28"/>
      <c r="AD335" s="28"/>
      <c r="AE335" s="28"/>
      <c r="AF335" s="29"/>
      <c r="AG335" s="29"/>
      <c r="AH335" s="30"/>
      <c r="AI335" s="31"/>
      <c r="AJ335" s="28"/>
      <c r="AK335" s="32"/>
      <c r="AL335" s="32"/>
      <c r="AM335" s="32"/>
      <c r="AN335" s="32"/>
      <c r="AO335" s="28"/>
      <c r="AP335" s="29"/>
    </row>
    <row r="336">
      <c r="A336" s="8" t="s">
        <v>1492</v>
      </c>
      <c r="B336" s="8" t="s">
        <v>1493</v>
      </c>
      <c r="C336" s="8" t="s">
        <v>1202</v>
      </c>
      <c r="D336" s="8" t="s">
        <v>1203</v>
      </c>
      <c r="E336" s="8" t="s">
        <v>1204</v>
      </c>
      <c r="F336" s="8" t="s">
        <v>47</v>
      </c>
      <c r="G336" s="8" t="s">
        <v>1205</v>
      </c>
      <c r="H336" s="8" t="s">
        <v>1206</v>
      </c>
      <c r="I336" s="8" t="s">
        <v>50</v>
      </c>
      <c r="J336" s="8" t="s">
        <v>51</v>
      </c>
      <c r="K336" s="9" t="s">
        <v>52</v>
      </c>
      <c r="L336" s="8" t="s">
        <v>53</v>
      </c>
      <c r="M336" s="8" t="s">
        <v>69</v>
      </c>
      <c r="N336" s="53" t="s">
        <v>137</v>
      </c>
      <c r="O336" s="53" t="s">
        <v>70</v>
      </c>
      <c r="P336" s="20" t="s">
        <v>1494</v>
      </c>
      <c r="Q336" s="21" t="s">
        <v>147</v>
      </c>
      <c r="R336" s="20" t="s">
        <v>1495</v>
      </c>
      <c r="S336" s="20" t="s">
        <v>1496</v>
      </c>
      <c r="T336" s="22">
        <v>5.73007801053E11</v>
      </c>
      <c r="U336" s="53" t="s">
        <v>61</v>
      </c>
      <c r="V336" s="11"/>
      <c r="W336" s="11"/>
      <c r="X336" s="11"/>
      <c r="Y336" s="54">
        <v>5.0</v>
      </c>
      <c r="Z336" s="28"/>
      <c r="AA336" s="28"/>
      <c r="AB336" s="28"/>
      <c r="AC336" s="28"/>
      <c r="AD336" s="28"/>
      <c r="AE336" s="28"/>
      <c r="AF336" s="29"/>
      <c r="AG336" s="29"/>
      <c r="AH336" s="30"/>
      <c r="AI336" s="31"/>
      <c r="AJ336" s="28"/>
      <c r="AK336" s="32"/>
      <c r="AL336" s="32"/>
      <c r="AM336" s="32"/>
      <c r="AN336" s="32"/>
      <c r="AO336" s="28"/>
      <c r="AP336" s="29"/>
    </row>
    <row r="337">
      <c r="A337" s="8" t="s">
        <v>1497</v>
      </c>
      <c r="B337" s="8" t="s">
        <v>1498</v>
      </c>
      <c r="C337" s="8" t="s">
        <v>1202</v>
      </c>
      <c r="D337" s="8" t="s">
        <v>1203</v>
      </c>
      <c r="E337" s="8" t="s">
        <v>1204</v>
      </c>
      <c r="F337" s="8" t="s">
        <v>47</v>
      </c>
      <c r="G337" s="8" t="s">
        <v>1205</v>
      </c>
      <c r="H337" s="8" t="s">
        <v>1206</v>
      </c>
      <c r="I337" s="8" t="s">
        <v>50</v>
      </c>
      <c r="J337" s="8" t="s">
        <v>51</v>
      </c>
      <c r="K337" s="9" t="s">
        <v>52</v>
      </c>
      <c r="L337" s="8" t="s">
        <v>53</v>
      </c>
      <c r="M337" s="8" t="s">
        <v>54</v>
      </c>
      <c r="N337" s="53" t="s">
        <v>55</v>
      </c>
      <c r="O337" s="53" t="s">
        <v>70</v>
      </c>
      <c r="P337" s="20" t="s">
        <v>255</v>
      </c>
      <c r="Q337" s="21" t="s">
        <v>312</v>
      </c>
      <c r="R337" s="20" t="s">
        <v>1499</v>
      </c>
      <c r="S337" s="20" t="s">
        <v>1500</v>
      </c>
      <c r="T337" s="22">
        <v>5.73176609107E11</v>
      </c>
      <c r="U337" s="53" t="s">
        <v>75</v>
      </c>
      <c r="V337" s="11"/>
      <c r="W337" s="11"/>
      <c r="X337" s="11"/>
      <c r="Y337" s="54">
        <v>5.0</v>
      </c>
      <c r="Z337" s="28"/>
      <c r="AA337" s="28"/>
      <c r="AB337" s="28"/>
      <c r="AC337" s="28"/>
      <c r="AD337" s="28"/>
      <c r="AE337" s="28"/>
      <c r="AF337" s="29"/>
      <c r="AG337" s="29"/>
      <c r="AH337" s="30"/>
      <c r="AI337" s="31"/>
      <c r="AJ337" s="28"/>
      <c r="AK337" s="32"/>
      <c r="AL337" s="32"/>
      <c r="AM337" s="32"/>
      <c r="AN337" s="32"/>
      <c r="AO337" s="28"/>
      <c r="AP337" s="29"/>
    </row>
    <row r="338">
      <c r="A338" s="8" t="s">
        <v>1501</v>
      </c>
      <c r="B338" s="8" t="s">
        <v>1502</v>
      </c>
      <c r="C338" s="8" t="s">
        <v>1202</v>
      </c>
      <c r="D338" s="8" t="s">
        <v>1203</v>
      </c>
      <c r="E338" s="8" t="s">
        <v>1204</v>
      </c>
      <c r="F338" s="8" t="s">
        <v>47</v>
      </c>
      <c r="G338" s="8" t="s">
        <v>1205</v>
      </c>
      <c r="H338" s="8" t="s">
        <v>1206</v>
      </c>
      <c r="I338" s="8" t="s">
        <v>50</v>
      </c>
      <c r="J338" s="8" t="s">
        <v>51</v>
      </c>
      <c r="K338" s="9" t="s">
        <v>52</v>
      </c>
      <c r="L338" s="8" t="s">
        <v>53</v>
      </c>
      <c r="M338" s="8" t="s">
        <v>69</v>
      </c>
      <c r="N338" s="53" t="s">
        <v>85</v>
      </c>
      <c r="O338" s="53" t="s">
        <v>70</v>
      </c>
      <c r="P338" s="20" t="s">
        <v>232</v>
      </c>
      <c r="Q338" s="21" t="s">
        <v>111</v>
      </c>
      <c r="R338" s="20" t="s">
        <v>814</v>
      </c>
      <c r="S338" s="20" t="s">
        <v>1503</v>
      </c>
      <c r="T338" s="22">
        <v>5.7318623839E11</v>
      </c>
      <c r="U338" s="53" t="s">
        <v>75</v>
      </c>
      <c r="V338" s="11"/>
      <c r="W338" s="11"/>
      <c r="X338" s="11"/>
      <c r="Y338" s="54">
        <v>5.0</v>
      </c>
      <c r="Z338" s="28"/>
      <c r="AA338" s="28"/>
      <c r="AB338" s="28"/>
      <c r="AC338" s="28"/>
      <c r="AD338" s="28"/>
      <c r="AE338" s="28"/>
      <c r="AF338" s="29"/>
      <c r="AG338" s="29"/>
      <c r="AH338" s="30"/>
      <c r="AI338" s="31"/>
      <c r="AJ338" s="28"/>
      <c r="AK338" s="32"/>
      <c r="AL338" s="32"/>
      <c r="AM338" s="32"/>
      <c r="AN338" s="32"/>
      <c r="AO338" s="28"/>
      <c r="AP338" s="29"/>
    </row>
    <row r="339">
      <c r="A339" s="8" t="s">
        <v>1504</v>
      </c>
      <c r="B339" s="8" t="s">
        <v>1505</v>
      </c>
      <c r="C339" s="8" t="s">
        <v>1202</v>
      </c>
      <c r="D339" s="8" t="s">
        <v>1203</v>
      </c>
      <c r="E339" s="8" t="s">
        <v>1204</v>
      </c>
      <c r="F339" s="8" t="s">
        <v>47</v>
      </c>
      <c r="G339" s="8" t="s">
        <v>1205</v>
      </c>
      <c r="H339" s="8" t="s">
        <v>1206</v>
      </c>
      <c r="I339" s="8" t="s">
        <v>50</v>
      </c>
      <c r="J339" s="8" t="s">
        <v>51</v>
      </c>
      <c r="K339" s="9" t="s">
        <v>52</v>
      </c>
      <c r="L339" s="8" t="s">
        <v>53</v>
      </c>
      <c r="M339" s="8" t="s">
        <v>69</v>
      </c>
      <c r="N339" s="53" t="s">
        <v>85</v>
      </c>
      <c r="O339" s="53" t="s">
        <v>70</v>
      </c>
      <c r="P339" s="20" t="s">
        <v>141</v>
      </c>
      <c r="Q339" s="21" t="s">
        <v>111</v>
      </c>
      <c r="R339" s="20" t="s">
        <v>1506</v>
      </c>
      <c r="S339" s="20" t="s">
        <v>1507</v>
      </c>
      <c r="T339" s="22">
        <v>3.022874862E9</v>
      </c>
      <c r="U339" s="53" t="s">
        <v>61</v>
      </c>
      <c r="V339" s="11"/>
      <c r="W339" s="11"/>
      <c r="X339" s="11"/>
      <c r="Y339" s="54">
        <v>5.0</v>
      </c>
      <c r="Z339" s="28"/>
      <c r="AA339" s="28"/>
      <c r="AB339" s="28"/>
      <c r="AC339" s="28"/>
      <c r="AD339" s="28"/>
      <c r="AE339" s="28"/>
      <c r="AF339" s="29"/>
      <c r="AG339" s="29"/>
      <c r="AH339" s="30"/>
      <c r="AI339" s="31"/>
      <c r="AJ339" s="28"/>
      <c r="AK339" s="32"/>
      <c r="AL339" s="32"/>
      <c r="AM339" s="32"/>
      <c r="AN339" s="32"/>
      <c r="AO339" s="28"/>
      <c r="AP339" s="29"/>
    </row>
    <row r="340">
      <c r="A340" s="8" t="s">
        <v>1508</v>
      </c>
      <c r="B340" s="8" t="s">
        <v>1509</v>
      </c>
      <c r="C340" s="8" t="s">
        <v>1202</v>
      </c>
      <c r="D340" s="8" t="s">
        <v>1203</v>
      </c>
      <c r="E340" s="8" t="s">
        <v>1204</v>
      </c>
      <c r="F340" s="8" t="s">
        <v>47</v>
      </c>
      <c r="G340" s="8" t="s">
        <v>1205</v>
      </c>
      <c r="H340" s="8" t="s">
        <v>1206</v>
      </c>
      <c r="I340" s="8" t="s">
        <v>50</v>
      </c>
      <c r="J340" s="8" t="s">
        <v>51</v>
      </c>
      <c r="K340" s="9" t="s">
        <v>52</v>
      </c>
      <c r="L340" s="8" t="s">
        <v>53</v>
      </c>
      <c r="M340" s="8" t="s">
        <v>54</v>
      </c>
      <c r="N340" s="8" t="s">
        <v>55</v>
      </c>
      <c r="O340" s="8" t="s">
        <v>56</v>
      </c>
      <c r="P340" s="8" t="s">
        <v>1510</v>
      </c>
      <c r="Q340" s="9" t="s">
        <v>111</v>
      </c>
      <c r="R340" s="8" t="s">
        <v>512</v>
      </c>
      <c r="S340" s="8" t="s">
        <v>1511</v>
      </c>
      <c r="T340" s="10">
        <v>5.73122586277E11</v>
      </c>
      <c r="U340" s="53" t="s">
        <v>61</v>
      </c>
      <c r="V340" s="11"/>
      <c r="W340" s="11"/>
      <c r="X340" s="11"/>
      <c r="Y340" s="12" t="s">
        <v>62</v>
      </c>
      <c r="Z340" s="28"/>
      <c r="AA340" s="28"/>
      <c r="AB340" s="28"/>
      <c r="AC340" s="28"/>
      <c r="AD340" s="28"/>
      <c r="AE340" s="28"/>
      <c r="AF340" s="29"/>
      <c r="AG340" s="29"/>
      <c r="AH340" s="30"/>
      <c r="AI340" s="31"/>
      <c r="AJ340" s="28"/>
      <c r="AK340" s="32"/>
      <c r="AL340" s="32"/>
      <c r="AM340" s="32"/>
      <c r="AN340" s="32"/>
      <c r="AO340" s="28"/>
      <c r="AP340" s="29"/>
    </row>
    <row r="341">
      <c r="A341" s="8" t="s">
        <v>1512</v>
      </c>
      <c r="B341" s="8" t="s">
        <v>1513</v>
      </c>
      <c r="C341" s="8" t="s">
        <v>1202</v>
      </c>
      <c r="D341" s="8" t="s">
        <v>1203</v>
      </c>
      <c r="E341" s="8" t="s">
        <v>1204</v>
      </c>
      <c r="F341" s="8" t="s">
        <v>47</v>
      </c>
      <c r="G341" s="8" t="s">
        <v>1205</v>
      </c>
      <c r="H341" s="8" t="s">
        <v>1206</v>
      </c>
      <c r="I341" s="8" t="s">
        <v>50</v>
      </c>
      <c r="J341" s="8" t="s">
        <v>51</v>
      </c>
      <c r="K341" s="9" t="s">
        <v>52</v>
      </c>
      <c r="L341" s="8" t="s">
        <v>53</v>
      </c>
      <c r="M341" s="8" t="s">
        <v>54</v>
      </c>
      <c r="N341" s="53" t="s">
        <v>137</v>
      </c>
      <c r="O341" s="53" t="s">
        <v>70</v>
      </c>
      <c r="P341" s="20" t="s">
        <v>182</v>
      </c>
      <c r="Q341" s="21" t="s">
        <v>72</v>
      </c>
      <c r="R341" s="20" t="s">
        <v>1514</v>
      </c>
      <c r="S341" s="20" t="s">
        <v>1515</v>
      </c>
      <c r="T341" s="22">
        <v>5.73205697912E11</v>
      </c>
      <c r="U341" s="53" t="s">
        <v>61</v>
      </c>
      <c r="V341" s="11"/>
      <c r="W341" s="11"/>
      <c r="X341" s="11"/>
      <c r="Y341" s="54">
        <v>5.0</v>
      </c>
      <c r="Z341" s="34"/>
      <c r="AA341" s="34"/>
      <c r="AB341" s="34"/>
      <c r="AC341" s="34"/>
      <c r="AD341" s="34"/>
      <c r="AE341" s="34"/>
      <c r="AF341" s="35"/>
      <c r="AG341" s="35"/>
      <c r="AH341" s="36"/>
      <c r="AI341" s="37"/>
      <c r="AJ341" s="34"/>
      <c r="AK341" s="38"/>
      <c r="AL341" s="38"/>
      <c r="AM341" s="38"/>
      <c r="AN341" s="38"/>
      <c r="AO341" s="34"/>
      <c r="AP341" s="35"/>
    </row>
    <row r="342">
      <c r="A342" s="8" t="s">
        <v>1516</v>
      </c>
      <c r="B342" s="8" t="s">
        <v>1517</v>
      </c>
      <c r="C342" s="8" t="s">
        <v>1202</v>
      </c>
      <c r="D342" s="8" t="s">
        <v>1203</v>
      </c>
      <c r="E342" s="8" t="s">
        <v>1204</v>
      </c>
      <c r="F342" s="8" t="s">
        <v>47</v>
      </c>
      <c r="G342" s="8" t="s">
        <v>1205</v>
      </c>
      <c r="H342" s="8" t="s">
        <v>1206</v>
      </c>
      <c r="I342" s="8" t="s">
        <v>50</v>
      </c>
      <c r="J342" s="8" t="s">
        <v>51</v>
      </c>
      <c r="K342" s="9" t="s">
        <v>52</v>
      </c>
      <c r="L342" s="8" t="s">
        <v>53</v>
      </c>
      <c r="M342" s="8" t="s">
        <v>69</v>
      </c>
      <c r="N342" s="53" t="s">
        <v>137</v>
      </c>
      <c r="O342" s="53" t="s">
        <v>70</v>
      </c>
      <c r="P342" s="20" t="s">
        <v>232</v>
      </c>
      <c r="Q342" s="21" t="s">
        <v>111</v>
      </c>
      <c r="R342" s="20" t="s">
        <v>679</v>
      </c>
      <c r="S342" s="20" t="s">
        <v>1518</v>
      </c>
      <c r="T342" s="22">
        <v>3.016377485E9</v>
      </c>
      <c r="U342" s="53" t="s">
        <v>75</v>
      </c>
      <c r="V342" s="11"/>
      <c r="W342" s="11"/>
      <c r="X342" s="11"/>
      <c r="Y342" s="54">
        <v>5.0</v>
      </c>
      <c r="Z342" s="28"/>
      <c r="AA342" s="28"/>
      <c r="AB342" s="28"/>
      <c r="AC342" s="28"/>
      <c r="AD342" s="28"/>
      <c r="AE342" s="28"/>
      <c r="AF342" s="29"/>
      <c r="AG342" s="29"/>
      <c r="AH342" s="30"/>
      <c r="AI342" s="31"/>
      <c r="AJ342" s="28"/>
      <c r="AK342" s="32"/>
      <c r="AL342" s="32"/>
      <c r="AM342" s="32"/>
      <c r="AN342" s="32"/>
      <c r="AO342" s="28"/>
      <c r="AP342" s="29"/>
    </row>
    <row r="343">
      <c r="A343" s="8" t="s">
        <v>1519</v>
      </c>
      <c r="B343" s="8" t="s">
        <v>1520</v>
      </c>
      <c r="C343" s="8" t="s">
        <v>1202</v>
      </c>
      <c r="D343" s="8" t="s">
        <v>1203</v>
      </c>
      <c r="E343" s="8" t="s">
        <v>1204</v>
      </c>
      <c r="F343" s="8" t="s">
        <v>47</v>
      </c>
      <c r="G343" s="8" t="s">
        <v>1205</v>
      </c>
      <c r="H343" s="8" t="s">
        <v>1206</v>
      </c>
      <c r="I343" s="8" t="s">
        <v>50</v>
      </c>
      <c r="J343" s="8" t="s">
        <v>51</v>
      </c>
      <c r="K343" s="9" t="s">
        <v>52</v>
      </c>
      <c r="L343" s="8" t="s">
        <v>53</v>
      </c>
      <c r="M343" s="8" t="s">
        <v>54</v>
      </c>
      <c r="N343" s="53" t="s">
        <v>137</v>
      </c>
      <c r="O343" s="53" t="s">
        <v>70</v>
      </c>
      <c r="P343" s="20" t="s">
        <v>1215</v>
      </c>
      <c r="Q343" s="21" t="s">
        <v>72</v>
      </c>
      <c r="R343" s="20" t="s">
        <v>1521</v>
      </c>
      <c r="S343" s="20" t="s">
        <v>1522</v>
      </c>
      <c r="T343" s="22">
        <v>5.73205767753E11</v>
      </c>
      <c r="U343" s="53" t="s">
        <v>61</v>
      </c>
      <c r="V343" s="11"/>
      <c r="W343" s="11"/>
      <c r="X343" s="11"/>
      <c r="Y343" s="54">
        <v>5.0</v>
      </c>
      <c r="Z343" s="28"/>
      <c r="AA343" s="28"/>
      <c r="AB343" s="28"/>
      <c r="AC343" s="28"/>
      <c r="AD343" s="28"/>
      <c r="AE343" s="28"/>
      <c r="AF343" s="29"/>
      <c r="AG343" s="29"/>
      <c r="AH343" s="30"/>
      <c r="AI343" s="31"/>
      <c r="AJ343" s="28"/>
      <c r="AK343" s="32"/>
      <c r="AL343" s="32"/>
      <c r="AM343" s="32"/>
      <c r="AN343" s="32"/>
      <c r="AO343" s="28"/>
      <c r="AP343" s="29"/>
    </row>
    <row r="344">
      <c r="A344" s="8" t="s">
        <v>1523</v>
      </c>
      <c r="B344" s="8" t="s">
        <v>1524</v>
      </c>
      <c r="C344" s="8" t="s">
        <v>1202</v>
      </c>
      <c r="D344" s="8" t="s">
        <v>1203</v>
      </c>
      <c r="E344" s="8" t="s">
        <v>1204</v>
      </c>
      <c r="F344" s="8" t="s">
        <v>47</v>
      </c>
      <c r="G344" s="8" t="s">
        <v>1205</v>
      </c>
      <c r="H344" s="8" t="s">
        <v>1206</v>
      </c>
      <c r="I344" s="8" t="s">
        <v>50</v>
      </c>
      <c r="J344" s="8" t="s">
        <v>51</v>
      </c>
      <c r="K344" s="9" t="s">
        <v>52</v>
      </c>
      <c r="L344" s="8" t="s">
        <v>53</v>
      </c>
      <c r="M344" s="8" t="s">
        <v>69</v>
      </c>
      <c r="N344" s="53" t="s">
        <v>55</v>
      </c>
      <c r="O344" s="53" t="s">
        <v>70</v>
      </c>
      <c r="P344" s="20" t="s">
        <v>500</v>
      </c>
      <c r="Q344" s="21" t="s">
        <v>94</v>
      </c>
      <c r="R344" s="20" t="s">
        <v>148</v>
      </c>
      <c r="S344" s="20" t="s">
        <v>1525</v>
      </c>
      <c r="T344" s="22">
        <v>3.013485385E9</v>
      </c>
      <c r="U344" s="53" t="s">
        <v>75</v>
      </c>
      <c r="V344" s="11"/>
      <c r="W344" s="11"/>
      <c r="X344" s="11"/>
      <c r="Y344" s="54">
        <v>5.0</v>
      </c>
      <c r="Z344" s="13"/>
      <c r="AA344" s="13"/>
      <c r="AB344" s="13"/>
      <c r="AC344" s="13"/>
      <c r="AD344" s="13"/>
      <c r="AE344" s="13"/>
      <c r="AF344" s="14"/>
      <c r="AG344" s="14"/>
      <c r="AH344" s="15"/>
      <c r="AI344" s="16"/>
      <c r="AJ344" s="13"/>
      <c r="AK344" s="17"/>
      <c r="AL344" s="17"/>
      <c r="AM344" s="17"/>
      <c r="AN344" s="17"/>
      <c r="AO344" s="13"/>
      <c r="AP344" s="14"/>
    </row>
    <row r="345">
      <c r="A345" s="8" t="s">
        <v>1526</v>
      </c>
      <c r="B345" s="8" t="s">
        <v>1527</v>
      </c>
      <c r="C345" s="8" t="s">
        <v>1202</v>
      </c>
      <c r="D345" s="8" t="s">
        <v>1203</v>
      </c>
      <c r="E345" s="8" t="s">
        <v>1204</v>
      </c>
      <c r="F345" s="8" t="s">
        <v>47</v>
      </c>
      <c r="G345" s="8" t="s">
        <v>1205</v>
      </c>
      <c r="H345" s="8" t="s">
        <v>1206</v>
      </c>
      <c r="I345" s="8" t="s">
        <v>50</v>
      </c>
      <c r="J345" s="8" t="s">
        <v>51</v>
      </c>
      <c r="K345" s="9" t="s">
        <v>52</v>
      </c>
      <c r="L345" s="8" t="s">
        <v>53</v>
      </c>
      <c r="M345" s="8" t="s">
        <v>54</v>
      </c>
      <c r="N345" s="53" t="s">
        <v>85</v>
      </c>
      <c r="O345" s="53" t="s">
        <v>70</v>
      </c>
      <c r="P345" s="20" t="s">
        <v>1528</v>
      </c>
      <c r="Q345" s="21" t="s">
        <v>58</v>
      </c>
      <c r="R345" s="20" t="s">
        <v>173</v>
      </c>
      <c r="S345" s="20" t="s">
        <v>1529</v>
      </c>
      <c r="T345" s="22">
        <v>5.730161142E11</v>
      </c>
      <c r="U345" s="53" t="s">
        <v>61</v>
      </c>
      <c r="V345" s="11"/>
      <c r="W345" s="11"/>
      <c r="X345" s="11"/>
      <c r="Y345" s="54">
        <v>5.0</v>
      </c>
      <c r="Z345" s="13"/>
      <c r="AA345" s="13"/>
      <c r="AB345" s="13"/>
      <c r="AC345" s="13"/>
      <c r="AD345" s="13"/>
      <c r="AE345" s="13"/>
      <c r="AF345" s="14"/>
      <c r="AG345" s="14"/>
      <c r="AH345" s="15"/>
      <c r="AI345" s="16"/>
      <c r="AJ345" s="13"/>
      <c r="AK345" s="17"/>
      <c r="AL345" s="17"/>
      <c r="AM345" s="17"/>
      <c r="AN345" s="17"/>
      <c r="AO345" s="13"/>
      <c r="AP345" s="14"/>
    </row>
    <row r="346">
      <c r="A346" s="8" t="s">
        <v>1530</v>
      </c>
      <c r="B346" s="8" t="s">
        <v>1531</v>
      </c>
      <c r="C346" s="8" t="s">
        <v>1202</v>
      </c>
      <c r="D346" s="8" t="s">
        <v>1203</v>
      </c>
      <c r="E346" s="8" t="s">
        <v>1204</v>
      </c>
      <c r="F346" s="8" t="s">
        <v>47</v>
      </c>
      <c r="G346" s="8" t="s">
        <v>1205</v>
      </c>
      <c r="H346" s="8" t="s">
        <v>1206</v>
      </c>
      <c r="I346" s="8" t="s">
        <v>50</v>
      </c>
      <c r="J346" s="8" t="s">
        <v>51</v>
      </c>
      <c r="K346" s="9" t="s">
        <v>52</v>
      </c>
      <c r="L346" s="8" t="s">
        <v>53</v>
      </c>
      <c r="M346" s="8" t="s">
        <v>54</v>
      </c>
      <c r="N346" s="53" t="s">
        <v>55</v>
      </c>
      <c r="O346" s="53" t="s">
        <v>70</v>
      </c>
      <c r="P346" s="20" t="s">
        <v>127</v>
      </c>
      <c r="Q346" s="21" t="s">
        <v>147</v>
      </c>
      <c r="R346" s="20" t="s">
        <v>1532</v>
      </c>
      <c r="S346" s="20" t="s">
        <v>1533</v>
      </c>
      <c r="T346" s="22">
        <v>5.73155477072E11</v>
      </c>
      <c r="U346" s="53" t="s">
        <v>61</v>
      </c>
      <c r="V346" s="11"/>
      <c r="W346" s="11"/>
      <c r="X346" s="11"/>
      <c r="Y346" s="54">
        <v>5.0</v>
      </c>
      <c r="Z346" s="13"/>
      <c r="AA346" s="13"/>
      <c r="AB346" s="13"/>
      <c r="AC346" s="13"/>
      <c r="AD346" s="13"/>
      <c r="AE346" s="13"/>
      <c r="AF346" s="14"/>
      <c r="AG346" s="14"/>
      <c r="AH346" s="15"/>
      <c r="AI346" s="16"/>
      <c r="AJ346" s="13"/>
      <c r="AK346" s="17"/>
      <c r="AL346" s="17"/>
      <c r="AM346" s="17"/>
      <c r="AN346" s="17"/>
      <c r="AO346" s="13"/>
      <c r="AP346" s="14"/>
    </row>
    <row r="347">
      <c r="A347" s="8" t="s">
        <v>1534</v>
      </c>
      <c r="B347" s="8" t="s">
        <v>1535</v>
      </c>
      <c r="C347" s="8" t="s">
        <v>1202</v>
      </c>
      <c r="D347" s="8" t="s">
        <v>1203</v>
      </c>
      <c r="E347" s="8" t="s">
        <v>1204</v>
      </c>
      <c r="F347" s="8" t="s">
        <v>47</v>
      </c>
      <c r="G347" s="8" t="s">
        <v>1205</v>
      </c>
      <c r="H347" s="8" t="s">
        <v>1206</v>
      </c>
      <c r="I347" s="8" t="s">
        <v>50</v>
      </c>
      <c r="J347" s="8" t="s">
        <v>51</v>
      </c>
      <c r="K347" s="9" t="s">
        <v>52</v>
      </c>
      <c r="L347" s="8" t="s">
        <v>53</v>
      </c>
      <c r="M347" s="8" t="s">
        <v>69</v>
      </c>
      <c r="N347" s="53" t="s">
        <v>55</v>
      </c>
      <c r="O347" s="53" t="s">
        <v>70</v>
      </c>
      <c r="P347" s="20" t="s">
        <v>141</v>
      </c>
      <c r="Q347" s="21" t="s">
        <v>58</v>
      </c>
      <c r="R347" s="20" t="s">
        <v>1536</v>
      </c>
      <c r="S347" s="20" t="s">
        <v>1537</v>
      </c>
      <c r="T347" s="22">
        <v>5.73168690962E11</v>
      </c>
      <c r="U347" s="53" t="s">
        <v>61</v>
      </c>
      <c r="V347" s="11"/>
      <c r="W347" s="11"/>
      <c r="X347" s="11"/>
      <c r="Y347" s="54">
        <v>5.0</v>
      </c>
      <c r="Z347" s="13"/>
      <c r="AA347" s="13"/>
      <c r="AB347" s="13"/>
      <c r="AC347" s="13"/>
      <c r="AD347" s="13"/>
      <c r="AE347" s="13"/>
      <c r="AF347" s="14"/>
      <c r="AG347" s="14"/>
      <c r="AH347" s="15"/>
      <c r="AI347" s="16"/>
      <c r="AJ347" s="13"/>
      <c r="AK347" s="17"/>
      <c r="AL347" s="17"/>
      <c r="AM347" s="17"/>
      <c r="AN347" s="17"/>
      <c r="AO347" s="13"/>
      <c r="AP347" s="14"/>
    </row>
    <row r="348">
      <c r="A348" s="8" t="s">
        <v>1538</v>
      </c>
      <c r="B348" s="8" t="s">
        <v>1539</v>
      </c>
      <c r="C348" s="8" t="s">
        <v>1202</v>
      </c>
      <c r="D348" s="8" t="s">
        <v>1203</v>
      </c>
      <c r="E348" s="8" t="s">
        <v>1204</v>
      </c>
      <c r="F348" s="8" t="s">
        <v>47</v>
      </c>
      <c r="G348" s="8" t="s">
        <v>1205</v>
      </c>
      <c r="H348" s="8" t="s">
        <v>1206</v>
      </c>
      <c r="I348" s="8" t="s">
        <v>50</v>
      </c>
      <c r="J348" s="8" t="s">
        <v>51</v>
      </c>
      <c r="K348" s="9" t="s">
        <v>52</v>
      </c>
      <c r="L348" s="8" t="s">
        <v>53</v>
      </c>
      <c r="M348" s="8" t="s">
        <v>69</v>
      </c>
      <c r="N348" s="53" t="s">
        <v>137</v>
      </c>
      <c r="O348" s="53" t="s">
        <v>70</v>
      </c>
      <c r="P348" s="20" t="s">
        <v>627</v>
      </c>
      <c r="Q348" s="21" t="s">
        <v>58</v>
      </c>
      <c r="R348" s="20" t="s">
        <v>207</v>
      </c>
      <c r="S348" s="20" t="s">
        <v>1540</v>
      </c>
      <c r="T348" s="22">
        <v>5.73107679065E11</v>
      </c>
      <c r="U348" s="53" t="s">
        <v>61</v>
      </c>
      <c r="V348" s="11"/>
      <c r="W348" s="11"/>
      <c r="X348" s="11"/>
      <c r="Y348" s="54">
        <v>5.0</v>
      </c>
      <c r="Z348" s="13"/>
      <c r="AA348" s="13"/>
      <c r="AB348" s="13"/>
      <c r="AC348" s="13"/>
      <c r="AD348" s="13"/>
      <c r="AE348" s="13"/>
      <c r="AF348" s="14"/>
      <c r="AG348" s="14"/>
      <c r="AH348" s="15"/>
      <c r="AI348" s="16"/>
      <c r="AJ348" s="13"/>
      <c r="AK348" s="17"/>
      <c r="AL348" s="17"/>
      <c r="AM348" s="17"/>
      <c r="AN348" s="17"/>
      <c r="AO348" s="13"/>
      <c r="AP348" s="14"/>
    </row>
    <row r="349">
      <c r="A349" s="8" t="s">
        <v>1541</v>
      </c>
      <c r="B349" s="8" t="s">
        <v>1542</v>
      </c>
      <c r="C349" s="8" t="s">
        <v>1202</v>
      </c>
      <c r="D349" s="8" t="s">
        <v>1203</v>
      </c>
      <c r="E349" s="8" t="s">
        <v>1204</v>
      </c>
      <c r="F349" s="8" t="s">
        <v>47</v>
      </c>
      <c r="G349" s="8" t="s">
        <v>1205</v>
      </c>
      <c r="H349" s="8" t="s">
        <v>1206</v>
      </c>
      <c r="I349" s="8" t="s">
        <v>50</v>
      </c>
      <c r="J349" s="8" t="s">
        <v>51</v>
      </c>
      <c r="K349" s="9" t="s">
        <v>52</v>
      </c>
      <c r="L349" s="8" t="s">
        <v>53</v>
      </c>
      <c r="M349" s="8" t="s">
        <v>54</v>
      </c>
      <c r="N349" s="8" t="s">
        <v>137</v>
      </c>
      <c r="O349" s="8" t="s">
        <v>86</v>
      </c>
      <c r="P349" s="8" t="s">
        <v>1543</v>
      </c>
      <c r="Q349" s="9" t="s">
        <v>72</v>
      </c>
      <c r="R349" s="8" t="s">
        <v>587</v>
      </c>
      <c r="S349" s="8" t="s">
        <v>1544</v>
      </c>
      <c r="T349" s="10">
        <v>5.73152084654E11</v>
      </c>
      <c r="U349" s="8" t="s">
        <v>61</v>
      </c>
      <c r="V349" s="11"/>
      <c r="W349" s="11"/>
      <c r="X349" s="11"/>
      <c r="Y349" s="33">
        <v>45779.0</v>
      </c>
      <c r="Z349" s="13"/>
      <c r="AA349" s="13"/>
      <c r="AB349" s="13"/>
      <c r="AC349" s="13"/>
      <c r="AD349" s="13"/>
      <c r="AE349" s="13"/>
      <c r="AF349" s="14"/>
      <c r="AG349" s="14"/>
      <c r="AH349" s="15"/>
      <c r="AI349" s="16"/>
      <c r="AJ349" s="13"/>
      <c r="AK349" s="17"/>
      <c r="AL349" s="17"/>
      <c r="AM349" s="17"/>
      <c r="AN349" s="17"/>
      <c r="AO349" s="13"/>
      <c r="AP349" s="14"/>
    </row>
    <row r="350">
      <c r="A350" s="8" t="s">
        <v>1545</v>
      </c>
      <c r="B350" s="8" t="s">
        <v>1546</v>
      </c>
      <c r="C350" s="8" t="s">
        <v>1202</v>
      </c>
      <c r="D350" s="8" t="s">
        <v>1203</v>
      </c>
      <c r="E350" s="8" t="s">
        <v>1204</v>
      </c>
      <c r="F350" s="8" t="s">
        <v>47</v>
      </c>
      <c r="G350" s="8" t="s">
        <v>1205</v>
      </c>
      <c r="H350" s="8" t="s">
        <v>1206</v>
      </c>
      <c r="I350" s="8" t="s">
        <v>50</v>
      </c>
      <c r="J350" s="8" t="s">
        <v>51</v>
      </c>
      <c r="K350" s="9" t="s">
        <v>52</v>
      </c>
      <c r="L350" s="8" t="s">
        <v>53</v>
      </c>
      <c r="M350" s="8" t="s">
        <v>69</v>
      </c>
      <c r="N350" s="53" t="s">
        <v>55</v>
      </c>
      <c r="O350" s="53" t="s">
        <v>70</v>
      </c>
      <c r="P350" s="20" t="s">
        <v>1547</v>
      </c>
      <c r="Q350" s="21" t="s">
        <v>111</v>
      </c>
      <c r="R350" s="20" t="s">
        <v>466</v>
      </c>
      <c r="S350" s="20" t="s">
        <v>1548</v>
      </c>
      <c r="T350" s="22">
        <v>3.132520309E9</v>
      </c>
      <c r="U350" s="53" t="s">
        <v>75</v>
      </c>
      <c r="V350" s="11"/>
      <c r="W350" s="11"/>
      <c r="X350" s="11"/>
      <c r="Y350" s="54">
        <v>5.0</v>
      </c>
      <c r="Z350" s="13"/>
      <c r="AA350" s="13"/>
      <c r="AB350" s="13"/>
      <c r="AC350" s="13"/>
      <c r="AD350" s="13"/>
      <c r="AE350" s="13"/>
      <c r="AF350" s="14"/>
      <c r="AG350" s="14"/>
      <c r="AH350" s="15"/>
      <c r="AI350" s="16"/>
      <c r="AJ350" s="13"/>
      <c r="AK350" s="17"/>
      <c r="AL350" s="17"/>
      <c r="AM350" s="17"/>
      <c r="AN350" s="17"/>
      <c r="AO350" s="13"/>
      <c r="AP350" s="14"/>
    </row>
    <row r="351">
      <c r="A351" s="8" t="s">
        <v>1549</v>
      </c>
      <c r="B351" s="8" t="s">
        <v>1550</v>
      </c>
      <c r="C351" s="8" t="s">
        <v>1202</v>
      </c>
      <c r="D351" s="8" t="s">
        <v>1203</v>
      </c>
      <c r="E351" s="8" t="s">
        <v>1204</v>
      </c>
      <c r="F351" s="8" t="s">
        <v>47</v>
      </c>
      <c r="G351" s="8" t="s">
        <v>1205</v>
      </c>
      <c r="H351" s="8" t="s">
        <v>1206</v>
      </c>
      <c r="I351" s="8" t="s">
        <v>50</v>
      </c>
      <c r="J351" s="8" t="s">
        <v>51</v>
      </c>
      <c r="K351" s="9" t="s">
        <v>52</v>
      </c>
      <c r="L351" s="8" t="s">
        <v>53</v>
      </c>
      <c r="M351" s="8" t="s">
        <v>69</v>
      </c>
      <c r="N351" s="53" t="s">
        <v>55</v>
      </c>
      <c r="O351" s="53" t="s">
        <v>70</v>
      </c>
      <c r="P351" s="20" t="s">
        <v>308</v>
      </c>
      <c r="Q351" s="21" t="s">
        <v>94</v>
      </c>
      <c r="R351" s="20" t="s">
        <v>1551</v>
      </c>
      <c r="S351" s="20" t="s">
        <v>1552</v>
      </c>
      <c r="T351" s="22">
        <v>3.118127843E9</v>
      </c>
      <c r="U351" s="53" t="s">
        <v>61</v>
      </c>
      <c r="V351" s="11"/>
      <c r="W351" s="11"/>
      <c r="X351" s="11"/>
      <c r="Y351" s="54">
        <v>5.0</v>
      </c>
      <c r="Z351" s="13"/>
      <c r="AA351" s="13"/>
      <c r="AB351" s="13"/>
      <c r="AC351" s="13"/>
      <c r="AD351" s="13"/>
      <c r="AE351" s="13"/>
      <c r="AF351" s="14"/>
      <c r="AG351" s="14"/>
      <c r="AH351" s="15"/>
      <c r="AI351" s="16"/>
      <c r="AJ351" s="13"/>
      <c r="AK351" s="17"/>
      <c r="AL351" s="17"/>
      <c r="AM351" s="17"/>
      <c r="AN351" s="17"/>
      <c r="AO351" s="13"/>
      <c r="AP351" s="14"/>
    </row>
    <row r="352">
      <c r="A352" s="8" t="s">
        <v>1553</v>
      </c>
      <c r="B352" s="8" t="s">
        <v>1554</v>
      </c>
      <c r="C352" s="8" t="s">
        <v>1202</v>
      </c>
      <c r="D352" s="8" t="s">
        <v>1203</v>
      </c>
      <c r="E352" s="8" t="s">
        <v>1204</v>
      </c>
      <c r="F352" s="8" t="s">
        <v>47</v>
      </c>
      <c r="G352" s="8" t="s">
        <v>1205</v>
      </c>
      <c r="H352" s="8" t="s">
        <v>1206</v>
      </c>
      <c r="I352" s="8" t="s">
        <v>50</v>
      </c>
      <c r="J352" s="8" t="s">
        <v>51</v>
      </c>
      <c r="K352" s="9" t="s">
        <v>52</v>
      </c>
      <c r="L352" s="8" t="s">
        <v>84</v>
      </c>
      <c r="M352" s="8" t="s">
        <v>69</v>
      </c>
      <c r="N352" s="53" t="s">
        <v>55</v>
      </c>
      <c r="O352" s="53" t="s">
        <v>70</v>
      </c>
      <c r="P352" s="20" t="s">
        <v>1555</v>
      </c>
      <c r="Q352" s="21" t="s">
        <v>122</v>
      </c>
      <c r="R352" s="20" t="s">
        <v>79</v>
      </c>
      <c r="S352" s="20" t="s">
        <v>1556</v>
      </c>
      <c r="T352" s="22">
        <v>5.7316757194E11</v>
      </c>
      <c r="U352" s="53" t="s">
        <v>75</v>
      </c>
      <c r="V352" s="11"/>
      <c r="W352" s="11"/>
      <c r="X352" s="11"/>
      <c r="Y352" s="54">
        <v>5.0</v>
      </c>
      <c r="Z352" s="13"/>
      <c r="AA352" s="13"/>
      <c r="AB352" s="13"/>
      <c r="AC352" s="13"/>
      <c r="AD352" s="13"/>
      <c r="AE352" s="13"/>
      <c r="AF352" s="14"/>
      <c r="AG352" s="14"/>
      <c r="AH352" s="15"/>
      <c r="AI352" s="16"/>
      <c r="AJ352" s="13"/>
      <c r="AK352" s="17"/>
      <c r="AL352" s="17"/>
      <c r="AM352" s="17"/>
      <c r="AN352" s="17"/>
      <c r="AO352" s="13"/>
      <c r="AP352" s="14"/>
    </row>
    <row r="353">
      <c r="A353" s="8" t="s">
        <v>1557</v>
      </c>
      <c r="B353" s="8" t="s">
        <v>1558</v>
      </c>
      <c r="C353" s="8" t="s">
        <v>1202</v>
      </c>
      <c r="D353" s="8" t="s">
        <v>1203</v>
      </c>
      <c r="E353" s="8" t="s">
        <v>1204</v>
      </c>
      <c r="F353" s="8" t="s">
        <v>47</v>
      </c>
      <c r="G353" s="8" t="s">
        <v>1205</v>
      </c>
      <c r="H353" s="8" t="s">
        <v>1206</v>
      </c>
      <c r="I353" s="8" t="s">
        <v>50</v>
      </c>
      <c r="J353" s="8" t="s">
        <v>51</v>
      </c>
      <c r="K353" s="9" t="s">
        <v>52</v>
      </c>
      <c r="L353" s="8" t="s">
        <v>53</v>
      </c>
      <c r="M353" s="8" t="s">
        <v>54</v>
      </c>
      <c r="N353" s="8" t="s">
        <v>137</v>
      </c>
      <c r="O353" s="8" t="s">
        <v>86</v>
      </c>
      <c r="P353" s="8" t="s">
        <v>1559</v>
      </c>
      <c r="Q353" s="9" t="s">
        <v>72</v>
      </c>
      <c r="R353" s="8" t="s">
        <v>1560</v>
      </c>
      <c r="S353" s="8" t="s">
        <v>1561</v>
      </c>
      <c r="T353" s="10">
        <v>5.73107568739E11</v>
      </c>
      <c r="U353" s="8" t="s">
        <v>75</v>
      </c>
      <c r="V353" s="11"/>
      <c r="W353" s="11"/>
      <c r="X353" s="11"/>
      <c r="Y353" s="33">
        <v>45779.0</v>
      </c>
      <c r="Z353" s="13"/>
      <c r="AA353" s="13"/>
      <c r="AB353" s="13"/>
      <c r="AC353" s="13"/>
      <c r="AD353" s="13"/>
      <c r="AE353" s="13"/>
      <c r="AF353" s="14"/>
      <c r="AG353" s="14"/>
      <c r="AH353" s="15"/>
      <c r="AI353" s="16"/>
      <c r="AJ353" s="13"/>
      <c r="AK353" s="17"/>
      <c r="AL353" s="17"/>
      <c r="AM353" s="17"/>
      <c r="AN353" s="17"/>
      <c r="AO353" s="13"/>
      <c r="AP353" s="14"/>
    </row>
    <row r="354">
      <c r="A354" s="8" t="s">
        <v>1562</v>
      </c>
      <c r="B354" s="8" t="s">
        <v>1563</v>
      </c>
      <c r="C354" s="8" t="s">
        <v>1202</v>
      </c>
      <c r="D354" s="8" t="s">
        <v>1203</v>
      </c>
      <c r="E354" s="8" t="s">
        <v>1204</v>
      </c>
      <c r="F354" s="8" t="s">
        <v>47</v>
      </c>
      <c r="G354" s="8" t="s">
        <v>1205</v>
      </c>
      <c r="H354" s="8" t="s">
        <v>1206</v>
      </c>
      <c r="I354" s="8" t="s">
        <v>50</v>
      </c>
      <c r="J354" s="8" t="s">
        <v>51</v>
      </c>
      <c r="K354" s="9" t="s">
        <v>52</v>
      </c>
      <c r="L354" s="8" t="s">
        <v>53</v>
      </c>
      <c r="M354" s="8" t="s">
        <v>69</v>
      </c>
      <c r="N354" s="53" t="s">
        <v>55</v>
      </c>
      <c r="O354" s="53" t="s">
        <v>70</v>
      </c>
      <c r="P354" s="20" t="s">
        <v>1564</v>
      </c>
      <c r="Q354" s="21" t="s">
        <v>183</v>
      </c>
      <c r="R354" s="20" t="s">
        <v>1565</v>
      </c>
      <c r="S354" s="20" t="s">
        <v>1566</v>
      </c>
      <c r="T354" s="22">
        <v>5.7315226314E11</v>
      </c>
      <c r="U354" s="53" t="s">
        <v>61</v>
      </c>
      <c r="V354" s="11"/>
      <c r="W354" s="11"/>
      <c r="X354" s="11"/>
      <c r="Y354" s="54">
        <v>5.0</v>
      </c>
      <c r="Z354" s="13"/>
      <c r="AA354" s="13"/>
      <c r="AB354" s="13"/>
      <c r="AC354" s="13"/>
      <c r="AD354" s="13"/>
      <c r="AE354" s="13"/>
      <c r="AF354" s="14"/>
      <c r="AG354" s="14"/>
      <c r="AH354" s="15"/>
      <c r="AI354" s="16"/>
      <c r="AJ354" s="13"/>
      <c r="AK354" s="17"/>
      <c r="AL354" s="17"/>
      <c r="AM354" s="17"/>
      <c r="AN354" s="17"/>
      <c r="AO354" s="13"/>
      <c r="AP354" s="14"/>
    </row>
    <row r="355">
      <c r="A355" s="8" t="s">
        <v>1567</v>
      </c>
      <c r="B355" s="8" t="s">
        <v>1568</v>
      </c>
      <c r="C355" s="8" t="s">
        <v>1202</v>
      </c>
      <c r="D355" s="8" t="s">
        <v>1203</v>
      </c>
      <c r="E355" s="8" t="s">
        <v>1204</v>
      </c>
      <c r="F355" s="8" t="s">
        <v>47</v>
      </c>
      <c r="G355" s="8" t="s">
        <v>1205</v>
      </c>
      <c r="H355" s="8" t="s">
        <v>1206</v>
      </c>
      <c r="I355" s="8" t="s">
        <v>50</v>
      </c>
      <c r="J355" s="8" t="s">
        <v>51</v>
      </c>
      <c r="K355" s="9" t="s">
        <v>52</v>
      </c>
      <c r="L355" s="8" t="s">
        <v>84</v>
      </c>
      <c r="M355" s="8" t="s">
        <v>69</v>
      </c>
      <c r="N355" s="53" t="s">
        <v>85</v>
      </c>
      <c r="O355" s="53" t="s">
        <v>70</v>
      </c>
      <c r="P355" s="20" t="s">
        <v>104</v>
      </c>
      <c r="Q355" s="21" t="s">
        <v>735</v>
      </c>
      <c r="R355" s="20" t="s">
        <v>117</v>
      </c>
      <c r="S355" s="20" t="s">
        <v>1569</v>
      </c>
      <c r="T355" s="22">
        <v>5.73202035087E11</v>
      </c>
      <c r="U355" s="53" t="s">
        <v>75</v>
      </c>
      <c r="V355" s="11"/>
      <c r="W355" s="11"/>
      <c r="X355" s="11"/>
      <c r="Y355" s="54">
        <v>5.0</v>
      </c>
      <c r="Z355" s="13"/>
      <c r="AA355" s="13"/>
      <c r="AB355" s="13"/>
      <c r="AC355" s="13"/>
      <c r="AD355" s="13"/>
      <c r="AE355" s="13"/>
      <c r="AF355" s="14"/>
      <c r="AG355" s="14"/>
      <c r="AH355" s="15"/>
      <c r="AI355" s="16"/>
      <c r="AJ355" s="13"/>
      <c r="AK355" s="17"/>
      <c r="AL355" s="17"/>
      <c r="AM355" s="17"/>
      <c r="AN355" s="17"/>
      <c r="AO355" s="13"/>
      <c r="AP355" s="14"/>
    </row>
    <row r="356">
      <c r="A356" s="8" t="s">
        <v>1570</v>
      </c>
      <c r="B356" s="8" t="s">
        <v>1571</v>
      </c>
      <c r="C356" s="8" t="s">
        <v>1202</v>
      </c>
      <c r="D356" s="8" t="s">
        <v>1203</v>
      </c>
      <c r="E356" s="8" t="s">
        <v>1204</v>
      </c>
      <c r="F356" s="8" t="s">
        <v>47</v>
      </c>
      <c r="G356" s="8" t="s">
        <v>1205</v>
      </c>
      <c r="H356" s="8" t="s">
        <v>1206</v>
      </c>
      <c r="I356" s="8" t="s">
        <v>50</v>
      </c>
      <c r="J356" s="8" t="s">
        <v>51</v>
      </c>
      <c r="K356" s="9" t="s">
        <v>52</v>
      </c>
      <c r="L356" s="8" t="s">
        <v>53</v>
      </c>
      <c r="M356" s="8" t="s">
        <v>69</v>
      </c>
      <c r="N356" s="53" t="s">
        <v>55</v>
      </c>
      <c r="O356" s="53" t="s">
        <v>70</v>
      </c>
      <c r="P356" s="20" t="s">
        <v>232</v>
      </c>
      <c r="Q356" s="21" t="s">
        <v>72</v>
      </c>
      <c r="R356" s="20" t="s">
        <v>1572</v>
      </c>
      <c r="S356" s="20" t="s">
        <v>1573</v>
      </c>
      <c r="T356" s="22">
        <v>5.73004711403E11</v>
      </c>
      <c r="U356" s="53" t="s">
        <v>61</v>
      </c>
      <c r="V356" s="11"/>
      <c r="W356" s="11"/>
      <c r="X356" s="11"/>
      <c r="Y356" s="54">
        <v>5.0</v>
      </c>
      <c r="Z356" s="13"/>
      <c r="AA356" s="13"/>
      <c r="AB356" s="13"/>
      <c r="AC356" s="13"/>
      <c r="AD356" s="13"/>
      <c r="AE356" s="13"/>
      <c r="AF356" s="14"/>
      <c r="AG356" s="14"/>
      <c r="AH356" s="15"/>
      <c r="AI356" s="16"/>
      <c r="AJ356" s="13"/>
      <c r="AK356" s="17"/>
      <c r="AL356" s="17"/>
      <c r="AM356" s="17"/>
      <c r="AN356" s="17"/>
      <c r="AO356" s="13"/>
      <c r="AP356" s="14"/>
    </row>
    <row r="357">
      <c r="A357" s="8" t="s">
        <v>1574</v>
      </c>
      <c r="B357" s="8" t="s">
        <v>1575</v>
      </c>
      <c r="C357" s="8" t="s">
        <v>1202</v>
      </c>
      <c r="D357" s="8" t="s">
        <v>1203</v>
      </c>
      <c r="E357" s="8" t="s">
        <v>1204</v>
      </c>
      <c r="F357" s="8" t="s">
        <v>47</v>
      </c>
      <c r="G357" s="8" t="s">
        <v>1205</v>
      </c>
      <c r="H357" s="8" t="s">
        <v>1206</v>
      </c>
      <c r="I357" s="8" t="s">
        <v>50</v>
      </c>
      <c r="J357" s="8" t="s">
        <v>51</v>
      </c>
      <c r="K357" s="9" t="s">
        <v>52</v>
      </c>
      <c r="L357" s="8" t="s">
        <v>84</v>
      </c>
      <c r="M357" s="8" t="s">
        <v>69</v>
      </c>
      <c r="N357" s="53" t="s">
        <v>85</v>
      </c>
      <c r="O357" s="53" t="s">
        <v>70</v>
      </c>
      <c r="P357" s="20" t="s">
        <v>1037</v>
      </c>
      <c r="Q357" s="21" t="s">
        <v>111</v>
      </c>
      <c r="R357" s="20" t="s">
        <v>158</v>
      </c>
      <c r="S357" s="20" t="s">
        <v>1576</v>
      </c>
      <c r="T357" s="22">
        <v>5.73154109241E11</v>
      </c>
      <c r="U357" s="53" t="s">
        <v>75</v>
      </c>
      <c r="V357" s="11"/>
      <c r="W357" s="11"/>
      <c r="X357" s="11"/>
      <c r="Y357" s="54">
        <v>5.0</v>
      </c>
      <c r="Z357" s="13"/>
      <c r="AA357" s="13"/>
      <c r="AB357" s="13"/>
      <c r="AC357" s="13"/>
      <c r="AD357" s="13"/>
      <c r="AE357" s="13"/>
      <c r="AF357" s="14"/>
      <c r="AG357" s="14"/>
      <c r="AH357" s="15"/>
      <c r="AI357" s="16"/>
      <c r="AJ357" s="13"/>
      <c r="AK357" s="17"/>
      <c r="AL357" s="17"/>
      <c r="AM357" s="17"/>
      <c r="AN357" s="17"/>
      <c r="AO357" s="13"/>
      <c r="AP357" s="14"/>
    </row>
    <row r="358">
      <c r="A358" s="8" t="s">
        <v>1577</v>
      </c>
      <c r="B358" s="8" t="s">
        <v>1578</v>
      </c>
      <c r="C358" s="8" t="s">
        <v>1202</v>
      </c>
      <c r="D358" s="8" t="s">
        <v>1203</v>
      </c>
      <c r="E358" s="8" t="s">
        <v>1204</v>
      </c>
      <c r="F358" s="8" t="s">
        <v>47</v>
      </c>
      <c r="G358" s="8" t="s">
        <v>1205</v>
      </c>
      <c r="H358" s="8" t="s">
        <v>1206</v>
      </c>
      <c r="I358" s="8" t="s">
        <v>50</v>
      </c>
      <c r="J358" s="8" t="s">
        <v>51</v>
      </c>
      <c r="K358" s="9" t="s">
        <v>52</v>
      </c>
      <c r="L358" s="8" t="s">
        <v>53</v>
      </c>
      <c r="M358" s="8" t="s">
        <v>54</v>
      </c>
      <c r="N358" s="8" t="s">
        <v>55</v>
      </c>
      <c r="O358" s="8" t="s">
        <v>86</v>
      </c>
      <c r="P358" s="8" t="s">
        <v>141</v>
      </c>
      <c r="Q358" s="9" t="s">
        <v>111</v>
      </c>
      <c r="R358" s="8" t="s">
        <v>73</v>
      </c>
      <c r="S358" s="8" t="s">
        <v>1579</v>
      </c>
      <c r="T358" s="10">
        <v>5.73105979315E11</v>
      </c>
      <c r="U358" s="8" t="s">
        <v>75</v>
      </c>
      <c r="V358" s="11"/>
      <c r="W358" s="11"/>
      <c r="X358" s="11"/>
      <c r="Y358" s="33">
        <v>45779.0</v>
      </c>
      <c r="Z358" s="13"/>
      <c r="AA358" s="13"/>
      <c r="AB358" s="13"/>
      <c r="AC358" s="13"/>
      <c r="AD358" s="13"/>
      <c r="AE358" s="13"/>
      <c r="AF358" s="14"/>
      <c r="AG358" s="14"/>
      <c r="AH358" s="15"/>
      <c r="AI358" s="16"/>
      <c r="AJ358" s="13"/>
      <c r="AK358" s="17"/>
      <c r="AL358" s="17"/>
      <c r="AM358" s="17"/>
      <c r="AN358" s="17"/>
      <c r="AO358" s="13"/>
      <c r="AP358" s="14"/>
    </row>
    <row r="359">
      <c r="A359" s="8" t="s">
        <v>1580</v>
      </c>
      <c r="B359" s="8" t="s">
        <v>1581</v>
      </c>
      <c r="C359" s="8" t="s">
        <v>1202</v>
      </c>
      <c r="D359" s="8" t="s">
        <v>1203</v>
      </c>
      <c r="E359" s="8" t="s">
        <v>1204</v>
      </c>
      <c r="F359" s="8" t="s">
        <v>47</v>
      </c>
      <c r="G359" s="8" t="s">
        <v>1205</v>
      </c>
      <c r="H359" s="8" t="s">
        <v>1206</v>
      </c>
      <c r="I359" s="8" t="s">
        <v>50</v>
      </c>
      <c r="J359" s="8" t="s">
        <v>51</v>
      </c>
      <c r="K359" s="9" t="s">
        <v>52</v>
      </c>
      <c r="L359" s="8" t="s">
        <v>84</v>
      </c>
      <c r="M359" s="8" t="s">
        <v>69</v>
      </c>
      <c r="N359" s="53" t="s">
        <v>55</v>
      </c>
      <c r="O359" s="53" t="s">
        <v>70</v>
      </c>
      <c r="P359" s="20" t="s">
        <v>232</v>
      </c>
      <c r="Q359" s="21" t="s">
        <v>58</v>
      </c>
      <c r="R359" s="21" t="s">
        <v>147</v>
      </c>
      <c r="S359" s="20" t="s">
        <v>1582</v>
      </c>
      <c r="T359" s="22">
        <v>5.73186516365E11</v>
      </c>
      <c r="U359" s="53" t="s">
        <v>75</v>
      </c>
      <c r="V359" s="11"/>
      <c r="W359" s="11"/>
      <c r="X359" s="11"/>
      <c r="Y359" s="54">
        <v>5.0</v>
      </c>
      <c r="Z359" s="13"/>
      <c r="AA359" s="13"/>
      <c r="AB359" s="13"/>
      <c r="AC359" s="13"/>
      <c r="AD359" s="13"/>
      <c r="AE359" s="13"/>
      <c r="AF359" s="14"/>
      <c r="AG359" s="14"/>
      <c r="AH359" s="15"/>
      <c r="AI359" s="16"/>
      <c r="AJ359" s="13"/>
      <c r="AK359" s="17"/>
      <c r="AL359" s="17"/>
      <c r="AM359" s="17"/>
      <c r="AN359" s="17"/>
      <c r="AO359" s="13"/>
      <c r="AP359" s="14"/>
    </row>
    <row r="360">
      <c r="A360" s="8" t="s">
        <v>1583</v>
      </c>
      <c r="B360" s="8" t="s">
        <v>1584</v>
      </c>
      <c r="C360" s="8" t="s">
        <v>1202</v>
      </c>
      <c r="D360" s="8" t="s">
        <v>1203</v>
      </c>
      <c r="E360" s="8" t="s">
        <v>1204</v>
      </c>
      <c r="F360" s="8" t="s">
        <v>47</v>
      </c>
      <c r="G360" s="8" t="s">
        <v>1205</v>
      </c>
      <c r="H360" s="8" t="s">
        <v>1206</v>
      </c>
      <c r="I360" s="8" t="s">
        <v>50</v>
      </c>
      <c r="J360" s="8" t="s">
        <v>51</v>
      </c>
      <c r="K360" s="9" t="s">
        <v>52</v>
      </c>
      <c r="L360" s="8" t="s">
        <v>53</v>
      </c>
      <c r="M360" s="8" t="s">
        <v>69</v>
      </c>
      <c r="N360" s="53" t="s">
        <v>55</v>
      </c>
      <c r="O360" s="53" t="s">
        <v>70</v>
      </c>
      <c r="P360" s="20" t="s">
        <v>282</v>
      </c>
      <c r="Q360" s="21" t="s">
        <v>147</v>
      </c>
      <c r="R360" s="20" t="s">
        <v>100</v>
      </c>
      <c r="S360" s="20" t="s">
        <v>1585</v>
      </c>
      <c r="T360" s="22">
        <v>3.157111469E9</v>
      </c>
      <c r="U360" s="53" t="s">
        <v>75</v>
      </c>
      <c r="V360" s="11"/>
      <c r="W360" s="11"/>
      <c r="X360" s="11"/>
      <c r="Y360" s="54">
        <v>5.0</v>
      </c>
      <c r="Z360" s="13"/>
      <c r="AA360" s="13"/>
      <c r="AB360" s="13"/>
      <c r="AC360" s="13"/>
      <c r="AD360" s="13"/>
      <c r="AE360" s="13"/>
      <c r="AF360" s="14"/>
      <c r="AG360" s="14"/>
      <c r="AH360" s="15"/>
      <c r="AI360" s="16"/>
      <c r="AJ360" s="13"/>
      <c r="AK360" s="17"/>
      <c r="AL360" s="17"/>
      <c r="AM360" s="17"/>
      <c r="AN360" s="17"/>
      <c r="AO360" s="13"/>
      <c r="AP360" s="14"/>
    </row>
    <row r="361">
      <c r="A361" s="8" t="s">
        <v>1586</v>
      </c>
      <c r="B361" s="8" t="s">
        <v>1587</v>
      </c>
      <c r="C361" s="8" t="s">
        <v>1202</v>
      </c>
      <c r="D361" s="8" t="s">
        <v>1203</v>
      </c>
      <c r="E361" s="8" t="s">
        <v>1204</v>
      </c>
      <c r="F361" s="8" t="s">
        <v>47</v>
      </c>
      <c r="G361" s="8" t="s">
        <v>1205</v>
      </c>
      <c r="H361" s="8" t="s">
        <v>1206</v>
      </c>
      <c r="I361" s="8" t="s">
        <v>50</v>
      </c>
      <c r="J361" s="8" t="s">
        <v>51</v>
      </c>
      <c r="K361" s="9" t="s">
        <v>52</v>
      </c>
      <c r="L361" s="8" t="s">
        <v>84</v>
      </c>
      <c r="M361" s="8" t="s">
        <v>54</v>
      </c>
      <c r="N361" s="53" t="s">
        <v>85</v>
      </c>
      <c r="O361" s="53" t="s">
        <v>70</v>
      </c>
      <c r="P361" s="20" t="s">
        <v>500</v>
      </c>
      <c r="Q361" s="21" t="s">
        <v>122</v>
      </c>
      <c r="R361" s="20" t="s">
        <v>198</v>
      </c>
      <c r="S361" s="20" t="s">
        <v>1588</v>
      </c>
      <c r="T361" s="22">
        <v>5.73162430125E11</v>
      </c>
      <c r="U361" s="53" t="s">
        <v>75</v>
      </c>
      <c r="V361" s="11"/>
      <c r="W361" s="11"/>
      <c r="X361" s="11"/>
      <c r="Y361" s="54">
        <v>5.0</v>
      </c>
      <c r="Z361" s="13"/>
      <c r="AA361" s="13"/>
      <c r="AB361" s="13"/>
      <c r="AC361" s="13"/>
      <c r="AD361" s="13"/>
      <c r="AE361" s="13"/>
      <c r="AF361" s="14"/>
      <c r="AG361" s="14"/>
      <c r="AH361" s="15"/>
      <c r="AI361" s="16"/>
      <c r="AJ361" s="13"/>
      <c r="AK361" s="17"/>
      <c r="AL361" s="17"/>
      <c r="AM361" s="17"/>
      <c r="AN361" s="17"/>
      <c r="AO361" s="13"/>
      <c r="AP361" s="14"/>
    </row>
    <row r="362">
      <c r="A362" s="8" t="s">
        <v>1589</v>
      </c>
      <c r="B362" s="8" t="s">
        <v>1590</v>
      </c>
      <c r="C362" s="8" t="s">
        <v>1202</v>
      </c>
      <c r="D362" s="8" t="s">
        <v>1203</v>
      </c>
      <c r="E362" s="8" t="s">
        <v>1204</v>
      </c>
      <c r="F362" s="8" t="s">
        <v>47</v>
      </c>
      <c r="G362" s="8" t="s">
        <v>1205</v>
      </c>
      <c r="H362" s="8" t="s">
        <v>1206</v>
      </c>
      <c r="I362" s="8" t="s">
        <v>50</v>
      </c>
      <c r="J362" s="8" t="s">
        <v>51</v>
      </c>
      <c r="K362" s="9" t="s">
        <v>52</v>
      </c>
      <c r="L362" s="8" t="s">
        <v>53</v>
      </c>
      <c r="M362" s="8" t="s">
        <v>69</v>
      </c>
      <c r="N362" s="53" t="s">
        <v>55</v>
      </c>
      <c r="O362" s="53" t="s">
        <v>70</v>
      </c>
      <c r="P362" s="20" t="s">
        <v>1339</v>
      </c>
      <c r="Q362" s="21" t="s">
        <v>111</v>
      </c>
      <c r="R362" s="20" t="s">
        <v>173</v>
      </c>
      <c r="S362" s="20" t="s">
        <v>1591</v>
      </c>
      <c r="T362" s="22">
        <v>5.73192493186E11</v>
      </c>
      <c r="U362" s="53" t="s">
        <v>75</v>
      </c>
      <c r="V362" s="11"/>
      <c r="W362" s="11"/>
      <c r="X362" s="11"/>
      <c r="Y362" s="54">
        <v>5.0</v>
      </c>
      <c r="Z362" s="13"/>
      <c r="AA362" s="13"/>
      <c r="AB362" s="13"/>
      <c r="AC362" s="13"/>
      <c r="AD362" s="13"/>
      <c r="AE362" s="13"/>
      <c r="AF362" s="14"/>
      <c r="AG362" s="14"/>
      <c r="AH362" s="15"/>
      <c r="AI362" s="16"/>
      <c r="AJ362" s="13"/>
      <c r="AK362" s="17"/>
      <c r="AL362" s="17"/>
      <c r="AM362" s="17"/>
      <c r="AN362" s="17"/>
      <c r="AO362" s="13"/>
      <c r="AP362" s="14"/>
    </row>
    <row r="363">
      <c r="A363" s="8" t="s">
        <v>1592</v>
      </c>
      <c r="B363" s="8" t="s">
        <v>1593</v>
      </c>
      <c r="C363" s="8" t="s">
        <v>1202</v>
      </c>
      <c r="D363" s="8" t="s">
        <v>1203</v>
      </c>
      <c r="E363" s="8" t="s">
        <v>1204</v>
      </c>
      <c r="F363" s="8" t="s">
        <v>47</v>
      </c>
      <c r="G363" s="8" t="s">
        <v>1205</v>
      </c>
      <c r="H363" s="8" t="s">
        <v>1206</v>
      </c>
      <c r="I363" s="8" t="s">
        <v>50</v>
      </c>
      <c r="J363" s="8" t="s">
        <v>51</v>
      </c>
      <c r="K363" s="9" t="s">
        <v>52</v>
      </c>
      <c r="L363" s="8" t="s">
        <v>53</v>
      </c>
      <c r="M363" s="8" t="s">
        <v>69</v>
      </c>
      <c r="N363" s="53" t="s">
        <v>137</v>
      </c>
      <c r="O363" s="53" t="s">
        <v>70</v>
      </c>
      <c r="P363" s="20" t="s">
        <v>141</v>
      </c>
      <c r="Q363" s="21" t="s">
        <v>94</v>
      </c>
      <c r="R363" s="20" t="s">
        <v>1594</v>
      </c>
      <c r="S363" s="20" t="s">
        <v>1595</v>
      </c>
      <c r="T363" s="22">
        <v>5.73108461913E11</v>
      </c>
      <c r="U363" s="53" t="s">
        <v>75</v>
      </c>
      <c r="V363" s="11"/>
      <c r="W363" s="11"/>
      <c r="X363" s="11"/>
      <c r="Y363" s="54">
        <v>5.0</v>
      </c>
      <c r="Z363" s="13"/>
      <c r="AA363" s="13"/>
      <c r="AB363" s="13"/>
      <c r="AC363" s="13"/>
      <c r="AD363" s="13"/>
      <c r="AE363" s="13"/>
      <c r="AF363" s="14"/>
      <c r="AG363" s="14"/>
      <c r="AH363" s="15"/>
      <c r="AI363" s="16"/>
      <c r="AJ363" s="13"/>
      <c r="AK363" s="17"/>
      <c r="AL363" s="17"/>
      <c r="AM363" s="17"/>
      <c r="AN363" s="17"/>
      <c r="AO363" s="13"/>
      <c r="AP363" s="14"/>
    </row>
    <row r="364">
      <c r="A364" s="8" t="s">
        <v>1596</v>
      </c>
      <c r="B364" s="8" t="s">
        <v>1597</v>
      </c>
      <c r="C364" s="8" t="s">
        <v>1202</v>
      </c>
      <c r="D364" s="8" t="s">
        <v>1203</v>
      </c>
      <c r="E364" s="8" t="s">
        <v>1204</v>
      </c>
      <c r="F364" s="8" t="s">
        <v>47</v>
      </c>
      <c r="G364" s="8" t="s">
        <v>1205</v>
      </c>
      <c r="H364" s="8" t="s">
        <v>1206</v>
      </c>
      <c r="I364" s="8" t="s">
        <v>50</v>
      </c>
      <c r="J364" s="8" t="s">
        <v>51</v>
      </c>
      <c r="K364" s="9" t="s">
        <v>52</v>
      </c>
      <c r="L364" s="8" t="s">
        <v>84</v>
      </c>
      <c r="M364" s="8" t="s">
        <v>69</v>
      </c>
      <c r="N364" s="53" t="s">
        <v>55</v>
      </c>
      <c r="O364" s="53" t="s">
        <v>70</v>
      </c>
      <c r="P364" s="20" t="s">
        <v>1313</v>
      </c>
      <c r="Q364" s="21" t="s">
        <v>105</v>
      </c>
      <c r="R364" s="20" t="s">
        <v>1598</v>
      </c>
      <c r="S364" s="20" t="s">
        <v>1599</v>
      </c>
      <c r="T364" s="22">
        <v>5.73124587383E11</v>
      </c>
      <c r="U364" s="53" t="s">
        <v>75</v>
      </c>
      <c r="V364" s="11"/>
      <c r="W364" s="11"/>
      <c r="X364" s="11"/>
      <c r="Y364" s="54">
        <v>5.0</v>
      </c>
      <c r="Z364" s="13"/>
      <c r="AA364" s="13"/>
      <c r="AB364" s="13"/>
      <c r="AC364" s="13"/>
      <c r="AD364" s="13"/>
      <c r="AE364" s="13"/>
      <c r="AF364" s="14"/>
      <c r="AG364" s="14"/>
      <c r="AH364" s="15"/>
      <c r="AI364" s="16"/>
      <c r="AJ364" s="13"/>
      <c r="AK364" s="17"/>
      <c r="AL364" s="17"/>
      <c r="AM364" s="17"/>
      <c r="AN364" s="17"/>
      <c r="AO364" s="13"/>
      <c r="AP364" s="14"/>
    </row>
    <row r="365">
      <c r="A365" s="8" t="s">
        <v>1600</v>
      </c>
      <c r="B365" s="8" t="s">
        <v>1601</v>
      </c>
      <c r="C365" s="8" t="s">
        <v>1202</v>
      </c>
      <c r="D365" s="8" t="s">
        <v>1203</v>
      </c>
      <c r="E365" s="8" t="s">
        <v>1204</v>
      </c>
      <c r="F365" s="8" t="s">
        <v>47</v>
      </c>
      <c r="G365" s="8" t="s">
        <v>1205</v>
      </c>
      <c r="H365" s="8" t="s">
        <v>1206</v>
      </c>
      <c r="I365" s="8" t="s">
        <v>50</v>
      </c>
      <c r="J365" s="8" t="s">
        <v>51</v>
      </c>
      <c r="K365" s="9" t="s">
        <v>52</v>
      </c>
      <c r="L365" s="8" t="s">
        <v>53</v>
      </c>
      <c r="M365" s="8" t="s">
        <v>54</v>
      </c>
      <c r="N365" s="8" t="s">
        <v>85</v>
      </c>
      <c r="O365" s="8" t="s">
        <v>56</v>
      </c>
      <c r="P365" s="8" t="s">
        <v>1602</v>
      </c>
      <c r="Q365" s="9" t="s">
        <v>111</v>
      </c>
      <c r="R365" s="8" t="s">
        <v>458</v>
      </c>
      <c r="S365" s="8" t="s">
        <v>1603</v>
      </c>
      <c r="T365" s="10">
        <v>5.73215260011E11</v>
      </c>
      <c r="U365" s="8" t="s">
        <v>61</v>
      </c>
      <c r="V365" s="11"/>
      <c r="W365" s="11"/>
      <c r="X365" s="11"/>
      <c r="Y365" s="12" t="s">
        <v>62</v>
      </c>
      <c r="Z365" s="28"/>
      <c r="AA365" s="28"/>
      <c r="AB365" s="28"/>
      <c r="AC365" s="28"/>
      <c r="AD365" s="28"/>
      <c r="AE365" s="28"/>
      <c r="AF365" s="29"/>
      <c r="AG365" s="29"/>
      <c r="AH365" s="30"/>
      <c r="AI365" s="31"/>
      <c r="AJ365" s="28"/>
      <c r="AK365" s="32"/>
      <c r="AL365" s="32"/>
      <c r="AM365" s="32"/>
      <c r="AN365" s="32"/>
      <c r="AO365" s="28"/>
      <c r="AP365" s="29"/>
    </row>
    <row r="366">
      <c r="A366" s="8" t="s">
        <v>1604</v>
      </c>
      <c r="B366" s="8" t="s">
        <v>1605</v>
      </c>
      <c r="C366" s="8" t="s">
        <v>1202</v>
      </c>
      <c r="D366" s="8" t="s">
        <v>1203</v>
      </c>
      <c r="E366" s="8" t="s">
        <v>1204</v>
      </c>
      <c r="F366" s="8" t="s">
        <v>47</v>
      </c>
      <c r="G366" s="8" t="s">
        <v>1205</v>
      </c>
      <c r="H366" s="8" t="s">
        <v>1206</v>
      </c>
      <c r="I366" s="8" t="s">
        <v>50</v>
      </c>
      <c r="J366" s="8" t="s">
        <v>51</v>
      </c>
      <c r="K366" s="9" t="s">
        <v>52</v>
      </c>
      <c r="L366" s="8" t="s">
        <v>84</v>
      </c>
      <c r="M366" s="8" t="s">
        <v>69</v>
      </c>
      <c r="N366" s="53" t="s">
        <v>85</v>
      </c>
      <c r="O366" s="53" t="s">
        <v>70</v>
      </c>
      <c r="P366" s="20" t="s">
        <v>308</v>
      </c>
      <c r="Q366" s="21" t="s">
        <v>94</v>
      </c>
      <c r="R366" s="20" t="s">
        <v>123</v>
      </c>
      <c r="S366" s="20" t="s">
        <v>1606</v>
      </c>
      <c r="T366" s="22">
        <v>5.73004133927E11</v>
      </c>
      <c r="U366" s="20" t="s">
        <v>75</v>
      </c>
      <c r="V366" s="11"/>
      <c r="W366" s="11"/>
      <c r="X366" s="11"/>
      <c r="Y366" s="54">
        <v>5.0</v>
      </c>
      <c r="Z366" s="13"/>
      <c r="AA366" s="13"/>
      <c r="AB366" s="13"/>
      <c r="AC366" s="13"/>
      <c r="AD366" s="13"/>
      <c r="AE366" s="13"/>
      <c r="AF366" s="14"/>
      <c r="AG366" s="14"/>
      <c r="AH366" s="15"/>
      <c r="AI366" s="16"/>
      <c r="AJ366" s="13"/>
      <c r="AK366" s="17"/>
      <c r="AL366" s="17"/>
      <c r="AM366" s="17"/>
      <c r="AN366" s="17"/>
      <c r="AO366" s="13"/>
      <c r="AP366" s="14"/>
    </row>
    <row r="367">
      <c r="A367" s="8" t="s">
        <v>1607</v>
      </c>
      <c r="B367" s="8" t="s">
        <v>1608</v>
      </c>
      <c r="C367" s="8" t="s">
        <v>1202</v>
      </c>
      <c r="D367" s="8" t="s">
        <v>1203</v>
      </c>
      <c r="E367" s="8" t="s">
        <v>1204</v>
      </c>
      <c r="F367" s="8" t="s">
        <v>47</v>
      </c>
      <c r="G367" s="8" t="s">
        <v>1205</v>
      </c>
      <c r="H367" s="8" t="s">
        <v>1206</v>
      </c>
      <c r="I367" s="8" t="s">
        <v>50</v>
      </c>
      <c r="J367" s="8" t="s">
        <v>51</v>
      </c>
      <c r="K367" s="9" t="s">
        <v>52</v>
      </c>
      <c r="L367" s="8" t="s">
        <v>53</v>
      </c>
      <c r="M367" s="8" t="s">
        <v>54</v>
      </c>
      <c r="N367" s="53" t="s">
        <v>137</v>
      </c>
      <c r="O367" s="53" t="s">
        <v>70</v>
      </c>
      <c r="P367" s="20" t="s">
        <v>104</v>
      </c>
      <c r="Q367" s="21" t="s">
        <v>111</v>
      </c>
      <c r="R367" s="20" t="s">
        <v>1609</v>
      </c>
      <c r="S367" s="20" t="s">
        <v>1610</v>
      </c>
      <c r="T367" s="22">
        <v>5.73015658683E11</v>
      </c>
      <c r="U367" s="53" t="s">
        <v>61</v>
      </c>
      <c r="V367" s="11"/>
      <c r="W367" s="11"/>
      <c r="X367" s="11"/>
      <c r="Y367" s="54">
        <v>5.0</v>
      </c>
      <c r="Z367" s="13"/>
      <c r="AA367" s="13"/>
      <c r="AB367" s="13"/>
      <c r="AC367" s="13"/>
      <c r="AD367" s="13"/>
      <c r="AE367" s="13"/>
      <c r="AF367" s="14"/>
      <c r="AG367" s="14"/>
      <c r="AH367" s="15"/>
      <c r="AI367" s="16"/>
      <c r="AJ367" s="13"/>
      <c r="AK367" s="17"/>
      <c r="AL367" s="17"/>
      <c r="AM367" s="17"/>
      <c r="AN367" s="17"/>
      <c r="AO367" s="13"/>
      <c r="AP367" s="14"/>
    </row>
    <row r="368">
      <c r="A368" s="8" t="s">
        <v>1611</v>
      </c>
      <c r="B368" s="8" t="s">
        <v>1612</v>
      </c>
      <c r="C368" s="8" t="s">
        <v>1202</v>
      </c>
      <c r="D368" s="8" t="s">
        <v>1203</v>
      </c>
      <c r="E368" s="8" t="s">
        <v>1204</v>
      </c>
      <c r="F368" s="8" t="s">
        <v>47</v>
      </c>
      <c r="G368" s="8" t="s">
        <v>1205</v>
      </c>
      <c r="H368" s="8" t="s">
        <v>1206</v>
      </c>
      <c r="I368" s="8" t="s">
        <v>50</v>
      </c>
      <c r="J368" s="8" t="s">
        <v>51</v>
      </c>
      <c r="K368" s="9" t="s">
        <v>52</v>
      </c>
      <c r="L368" s="8" t="s">
        <v>53</v>
      </c>
      <c r="M368" s="8" t="s">
        <v>69</v>
      </c>
      <c r="N368" s="53" t="s">
        <v>55</v>
      </c>
      <c r="O368" s="53" t="s">
        <v>70</v>
      </c>
      <c r="P368" s="20" t="s">
        <v>1613</v>
      </c>
      <c r="Q368" s="21" t="s">
        <v>105</v>
      </c>
      <c r="R368" s="20" t="s">
        <v>1614</v>
      </c>
      <c r="S368" s="20" t="s">
        <v>1615</v>
      </c>
      <c r="T368" s="22">
        <v>3.008882185E9</v>
      </c>
      <c r="U368" s="53" t="s">
        <v>75</v>
      </c>
      <c r="V368" s="11"/>
      <c r="W368" s="11"/>
      <c r="X368" s="11"/>
      <c r="Y368" s="54">
        <v>5.0</v>
      </c>
      <c r="Z368" s="13"/>
      <c r="AA368" s="13"/>
      <c r="AB368" s="13"/>
      <c r="AC368" s="13"/>
      <c r="AD368" s="13"/>
      <c r="AE368" s="13"/>
      <c r="AF368" s="14"/>
      <c r="AG368" s="14"/>
      <c r="AH368" s="15"/>
      <c r="AI368" s="16"/>
      <c r="AJ368" s="13"/>
      <c r="AK368" s="17"/>
      <c r="AL368" s="17"/>
      <c r="AM368" s="17"/>
      <c r="AN368" s="17"/>
      <c r="AO368" s="13"/>
      <c r="AP368" s="14"/>
    </row>
    <row r="369">
      <c r="A369" s="8" t="s">
        <v>1616</v>
      </c>
      <c r="B369" s="8" t="s">
        <v>1617</v>
      </c>
      <c r="C369" s="8" t="s">
        <v>1202</v>
      </c>
      <c r="D369" s="8" t="s">
        <v>1203</v>
      </c>
      <c r="E369" s="8" t="s">
        <v>1204</v>
      </c>
      <c r="F369" s="8" t="s">
        <v>47</v>
      </c>
      <c r="G369" s="8" t="s">
        <v>1205</v>
      </c>
      <c r="H369" s="8" t="s">
        <v>1206</v>
      </c>
      <c r="I369" s="8" t="s">
        <v>50</v>
      </c>
      <c r="J369" s="8" t="s">
        <v>51</v>
      </c>
      <c r="K369" s="9" t="s">
        <v>52</v>
      </c>
      <c r="L369" s="8" t="s">
        <v>53</v>
      </c>
      <c r="M369" s="8" t="s">
        <v>54</v>
      </c>
      <c r="N369" s="8" t="s">
        <v>85</v>
      </c>
      <c r="O369" s="8" t="s">
        <v>56</v>
      </c>
      <c r="P369" s="8" t="s">
        <v>1618</v>
      </c>
      <c r="Q369" s="9" t="s">
        <v>111</v>
      </c>
      <c r="R369" s="8" t="s">
        <v>922</v>
      </c>
      <c r="S369" s="8" t="s">
        <v>1619</v>
      </c>
      <c r="T369" s="10">
        <v>5.73208302705E11</v>
      </c>
      <c r="U369" s="8" t="s">
        <v>75</v>
      </c>
      <c r="V369" s="11"/>
      <c r="W369" s="11"/>
      <c r="X369" s="11"/>
      <c r="Y369" s="12" t="s">
        <v>62</v>
      </c>
      <c r="Z369" s="28"/>
      <c r="AA369" s="28"/>
      <c r="AB369" s="28"/>
      <c r="AC369" s="28"/>
      <c r="AD369" s="28"/>
      <c r="AE369" s="28"/>
      <c r="AF369" s="29"/>
      <c r="AG369" s="29"/>
      <c r="AH369" s="30"/>
      <c r="AI369" s="31"/>
      <c r="AJ369" s="28"/>
      <c r="AK369" s="32"/>
      <c r="AL369" s="32"/>
      <c r="AM369" s="32"/>
      <c r="AN369" s="32"/>
      <c r="AO369" s="28"/>
      <c r="AP369" s="29"/>
    </row>
    <row r="370">
      <c r="A370" s="8" t="s">
        <v>1620</v>
      </c>
      <c r="B370" s="8" t="s">
        <v>1621</v>
      </c>
      <c r="C370" s="8" t="s">
        <v>1202</v>
      </c>
      <c r="D370" s="8" t="s">
        <v>1203</v>
      </c>
      <c r="E370" s="8" t="s">
        <v>1204</v>
      </c>
      <c r="F370" s="8" t="s">
        <v>47</v>
      </c>
      <c r="G370" s="8" t="s">
        <v>1205</v>
      </c>
      <c r="H370" s="8" t="s">
        <v>1206</v>
      </c>
      <c r="I370" s="8" t="s">
        <v>50</v>
      </c>
      <c r="J370" s="8" t="s">
        <v>51</v>
      </c>
      <c r="K370" s="9" t="s">
        <v>52</v>
      </c>
      <c r="L370" s="8" t="s">
        <v>53</v>
      </c>
      <c r="M370" s="8" t="s">
        <v>69</v>
      </c>
      <c r="N370" s="53" t="s">
        <v>137</v>
      </c>
      <c r="O370" s="53" t="s">
        <v>70</v>
      </c>
      <c r="P370" s="20" t="s">
        <v>445</v>
      </c>
      <c r="Q370" s="21" t="s">
        <v>72</v>
      </c>
      <c r="R370" s="20" t="s">
        <v>1622</v>
      </c>
      <c r="S370" s="20" t="s">
        <v>1623</v>
      </c>
      <c r="T370" s="22">
        <v>5.73202728667E11</v>
      </c>
      <c r="U370" s="53" t="s">
        <v>61</v>
      </c>
      <c r="V370" s="11"/>
      <c r="W370" s="11"/>
      <c r="X370" s="11"/>
      <c r="Y370" s="54">
        <v>5.0</v>
      </c>
      <c r="Z370" s="28"/>
      <c r="AA370" s="28"/>
      <c r="AB370" s="28"/>
      <c r="AC370" s="28"/>
      <c r="AD370" s="28"/>
      <c r="AE370" s="28"/>
      <c r="AF370" s="29"/>
      <c r="AG370" s="29"/>
      <c r="AH370" s="30"/>
      <c r="AI370" s="31"/>
      <c r="AJ370" s="28"/>
      <c r="AK370" s="32"/>
      <c r="AL370" s="32"/>
      <c r="AM370" s="32"/>
      <c r="AN370" s="32"/>
      <c r="AO370" s="28"/>
      <c r="AP370" s="29"/>
    </row>
    <row r="371">
      <c r="A371" s="8" t="s">
        <v>1624</v>
      </c>
      <c r="B371" s="8" t="s">
        <v>1625</v>
      </c>
      <c r="C371" s="8" t="s">
        <v>1202</v>
      </c>
      <c r="D371" s="8" t="s">
        <v>1203</v>
      </c>
      <c r="E371" s="8" t="s">
        <v>1204</v>
      </c>
      <c r="F371" s="8" t="s">
        <v>47</v>
      </c>
      <c r="G371" s="8" t="s">
        <v>1205</v>
      </c>
      <c r="H371" s="8" t="s">
        <v>1206</v>
      </c>
      <c r="I371" s="8" t="s">
        <v>50</v>
      </c>
      <c r="J371" s="8" t="s">
        <v>51</v>
      </c>
      <c r="K371" s="9" t="s">
        <v>52</v>
      </c>
      <c r="L371" s="8" t="s">
        <v>84</v>
      </c>
      <c r="M371" s="8" t="s">
        <v>69</v>
      </c>
      <c r="N371" s="53" t="s">
        <v>85</v>
      </c>
      <c r="O371" s="53" t="s">
        <v>70</v>
      </c>
      <c r="P371" s="20" t="s">
        <v>1626</v>
      </c>
      <c r="Q371" s="21" t="s">
        <v>94</v>
      </c>
      <c r="R371" s="20" t="s">
        <v>168</v>
      </c>
      <c r="S371" s="20" t="s">
        <v>1627</v>
      </c>
      <c r="T371" s="22">
        <v>5.73206403251E11</v>
      </c>
      <c r="U371" s="53" t="s">
        <v>75</v>
      </c>
      <c r="V371" s="11"/>
      <c r="W371" s="11"/>
      <c r="X371" s="11"/>
      <c r="Y371" s="54">
        <v>5.0</v>
      </c>
      <c r="Z371" s="13"/>
      <c r="AA371" s="13"/>
      <c r="AB371" s="13"/>
      <c r="AC371" s="13"/>
      <c r="AD371" s="13"/>
      <c r="AE371" s="13"/>
      <c r="AF371" s="14"/>
      <c r="AG371" s="14"/>
      <c r="AH371" s="15"/>
      <c r="AI371" s="16"/>
      <c r="AJ371" s="13"/>
      <c r="AK371" s="17"/>
      <c r="AL371" s="17"/>
      <c r="AM371" s="17"/>
      <c r="AN371" s="17"/>
      <c r="AO371" s="13"/>
      <c r="AP371" s="14"/>
    </row>
    <row r="372">
      <c r="A372" s="8" t="s">
        <v>1628</v>
      </c>
      <c r="B372" s="8" t="s">
        <v>1629</v>
      </c>
      <c r="C372" s="8" t="s">
        <v>1202</v>
      </c>
      <c r="D372" s="8" t="s">
        <v>1203</v>
      </c>
      <c r="E372" s="8" t="s">
        <v>1204</v>
      </c>
      <c r="F372" s="8" t="s">
        <v>47</v>
      </c>
      <c r="G372" s="8" t="s">
        <v>1205</v>
      </c>
      <c r="H372" s="8" t="s">
        <v>1206</v>
      </c>
      <c r="I372" s="8" t="s">
        <v>50</v>
      </c>
      <c r="J372" s="8" t="s">
        <v>51</v>
      </c>
      <c r="K372" s="9" t="s">
        <v>52</v>
      </c>
      <c r="L372" s="8" t="s">
        <v>84</v>
      </c>
      <c r="M372" s="8" t="s">
        <v>54</v>
      </c>
      <c r="N372" s="53" t="s">
        <v>55</v>
      </c>
      <c r="O372" s="53" t="s">
        <v>70</v>
      </c>
      <c r="P372" s="20" t="s">
        <v>1630</v>
      </c>
      <c r="Q372" s="21" t="s">
        <v>111</v>
      </c>
      <c r="R372" s="20" t="s">
        <v>1631</v>
      </c>
      <c r="S372" s="20" t="s">
        <v>1632</v>
      </c>
      <c r="T372" s="22">
        <v>5.73166260223E11</v>
      </c>
      <c r="U372" s="53" t="s">
        <v>75</v>
      </c>
      <c r="V372" s="11"/>
      <c r="W372" s="11"/>
      <c r="X372" s="11"/>
      <c r="Y372" s="54">
        <v>5.0</v>
      </c>
      <c r="Z372" s="13"/>
      <c r="AA372" s="13"/>
      <c r="AB372" s="13"/>
      <c r="AC372" s="13"/>
      <c r="AD372" s="13"/>
      <c r="AE372" s="13"/>
      <c r="AF372" s="14"/>
      <c r="AG372" s="14"/>
      <c r="AH372" s="15"/>
      <c r="AI372" s="16"/>
      <c r="AJ372" s="13"/>
      <c r="AK372" s="17"/>
      <c r="AL372" s="17"/>
      <c r="AM372" s="17"/>
      <c r="AN372" s="17"/>
      <c r="AO372" s="13"/>
      <c r="AP372" s="14"/>
    </row>
    <row r="373">
      <c r="A373" s="8" t="s">
        <v>1633</v>
      </c>
      <c r="B373" s="8" t="s">
        <v>1634</v>
      </c>
      <c r="C373" s="8" t="s">
        <v>1202</v>
      </c>
      <c r="D373" s="8" t="s">
        <v>1203</v>
      </c>
      <c r="E373" s="8" t="s">
        <v>1204</v>
      </c>
      <c r="F373" s="8" t="s">
        <v>47</v>
      </c>
      <c r="G373" s="8" t="s">
        <v>1205</v>
      </c>
      <c r="H373" s="8" t="s">
        <v>1206</v>
      </c>
      <c r="I373" s="8" t="s">
        <v>50</v>
      </c>
      <c r="J373" s="8" t="s">
        <v>51</v>
      </c>
      <c r="K373" s="9" t="s">
        <v>52</v>
      </c>
      <c r="L373" s="8" t="s">
        <v>84</v>
      </c>
      <c r="M373" s="8" t="s">
        <v>69</v>
      </c>
      <c r="N373" s="53" t="s">
        <v>137</v>
      </c>
      <c r="O373" s="53" t="s">
        <v>70</v>
      </c>
      <c r="P373" s="20" t="s">
        <v>762</v>
      </c>
      <c r="Q373" s="21" t="s">
        <v>94</v>
      </c>
      <c r="R373" s="20" t="s">
        <v>512</v>
      </c>
      <c r="S373" s="20" t="s">
        <v>1635</v>
      </c>
      <c r="T373" s="22">
        <v>5.730149024E11</v>
      </c>
      <c r="U373" s="53" t="s">
        <v>75</v>
      </c>
      <c r="V373" s="11"/>
      <c r="W373" s="11"/>
      <c r="X373" s="11"/>
      <c r="Y373" s="54">
        <v>5.0</v>
      </c>
      <c r="Z373" s="13"/>
      <c r="AA373" s="13"/>
      <c r="AB373" s="13"/>
      <c r="AC373" s="13"/>
      <c r="AD373" s="13"/>
      <c r="AE373" s="13"/>
      <c r="AF373" s="14"/>
      <c r="AG373" s="14"/>
      <c r="AH373" s="15"/>
      <c r="AI373" s="16"/>
      <c r="AJ373" s="13"/>
      <c r="AK373" s="17"/>
      <c r="AL373" s="17"/>
      <c r="AM373" s="17"/>
      <c r="AN373" s="17"/>
      <c r="AO373" s="13"/>
      <c r="AP373" s="14"/>
    </row>
    <row r="374">
      <c r="A374" s="8" t="s">
        <v>1636</v>
      </c>
      <c r="B374" s="8" t="s">
        <v>1637</v>
      </c>
      <c r="C374" s="8" t="s">
        <v>1202</v>
      </c>
      <c r="D374" s="8" t="s">
        <v>1203</v>
      </c>
      <c r="E374" s="8" t="s">
        <v>1204</v>
      </c>
      <c r="F374" s="8" t="s">
        <v>47</v>
      </c>
      <c r="G374" s="8" t="s">
        <v>1205</v>
      </c>
      <c r="H374" s="8" t="s">
        <v>1206</v>
      </c>
      <c r="I374" s="8" t="s">
        <v>50</v>
      </c>
      <c r="J374" s="8" t="s">
        <v>51</v>
      </c>
      <c r="K374" s="9" t="s">
        <v>52</v>
      </c>
      <c r="L374" s="8" t="s">
        <v>84</v>
      </c>
      <c r="M374" s="8" t="s">
        <v>69</v>
      </c>
      <c r="N374" s="53" t="s">
        <v>55</v>
      </c>
      <c r="O374" s="53" t="s">
        <v>70</v>
      </c>
      <c r="P374" s="20" t="s">
        <v>104</v>
      </c>
      <c r="Q374" s="21" t="s">
        <v>94</v>
      </c>
      <c r="R374" s="20" t="s">
        <v>650</v>
      </c>
      <c r="S374" s="20" t="s">
        <v>1638</v>
      </c>
      <c r="T374" s="22">
        <v>5.7320449646E11</v>
      </c>
      <c r="U374" s="53" t="s">
        <v>75</v>
      </c>
      <c r="V374" s="11"/>
      <c r="W374" s="11"/>
      <c r="X374" s="11"/>
      <c r="Y374" s="54">
        <v>5.0</v>
      </c>
      <c r="Z374" s="28"/>
      <c r="AA374" s="28"/>
      <c r="AB374" s="28"/>
      <c r="AC374" s="28"/>
      <c r="AD374" s="28"/>
      <c r="AE374" s="28"/>
      <c r="AF374" s="28"/>
      <c r="AG374" s="28"/>
      <c r="AH374" s="30"/>
      <c r="AI374" s="31"/>
      <c r="AJ374" s="28"/>
      <c r="AK374" s="28"/>
      <c r="AL374" s="28"/>
      <c r="AM374" s="28"/>
      <c r="AN374" s="32"/>
      <c r="AO374" s="28"/>
      <c r="AP374" s="28"/>
    </row>
    <row r="375">
      <c r="A375" s="8" t="s">
        <v>1639</v>
      </c>
      <c r="B375" s="8" t="s">
        <v>1640</v>
      </c>
      <c r="C375" s="8" t="s">
        <v>1202</v>
      </c>
      <c r="D375" s="8" t="s">
        <v>1203</v>
      </c>
      <c r="E375" s="8" t="s">
        <v>1204</v>
      </c>
      <c r="F375" s="8" t="s">
        <v>47</v>
      </c>
      <c r="G375" s="8" t="s">
        <v>1205</v>
      </c>
      <c r="H375" s="8" t="s">
        <v>1206</v>
      </c>
      <c r="I375" s="8" t="s">
        <v>50</v>
      </c>
      <c r="J375" s="8" t="s">
        <v>51</v>
      </c>
      <c r="K375" s="9" t="s">
        <v>52</v>
      </c>
      <c r="L375" s="8" t="s">
        <v>53</v>
      </c>
      <c r="M375" s="8" t="s">
        <v>69</v>
      </c>
      <c r="N375" s="53" t="s">
        <v>55</v>
      </c>
      <c r="O375" s="53" t="s">
        <v>70</v>
      </c>
      <c r="P375" s="20" t="s">
        <v>57</v>
      </c>
      <c r="Q375" s="21" t="s">
        <v>111</v>
      </c>
      <c r="R375" s="20" t="s">
        <v>1641</v>
      </c>
      <c r="S375" s="20" t="s">
        <v>1642</v>
      </c>
      <c r="T375" s="22">
        <v>5.73004561485E11</v>
      </c>
      <c r="U375" s="53" t="s">
        <v>61</v>
      </c>
      <c r="V375" s="11"/>
      <c r="W375" s="11"/>
      <c r="X375" s="11"/>
      <c r="Y375" s="54">
        <v>5.0</v>
      </c>
      <c r="Z375" s="28"/>
      <c r="AA375" s="28"/>
      <c r="AB375" s="28"/>
      <c r="AC375" s="28"/>
      <c r="AD375" s="28"/>
      <c r="AE375" s="28"/>
      <c r="AF375" s="29"/>
      <c r="AG375" s="29"/>
      <c r="AH375" s="30"/>
      <c r="AI375" s="31"/>
      <c r="AJ375" s="28"/>
      <c r="AK375" s="32"/>
      <c r="AL375" s="32"/>
      <c r="AM375" s="32"/>
      <c r="AN375" s="32"/>
      <c r="AO375" s="28"/>
      <c r="AP375" s="29"/>
    </row>
    <row r="376">
      <c r="A376" s="8" t="s">
        <v>1643</v>
      </c>
      <c r="B376" s="8" t="s">
        <v>1644</v>
      </c>
      <c r="C376" s="8" t="s">
        <v>1202</v>
      </c>
      <c r="D376" s="8" t="s">
        <v>1203</v>
      </c>
      <c r="E376" s="8" t="s">
        <v>1204</v>
      </c>
      <c r="F376" s="8" t="s">
        <v>47</v>
      </c>
      <c r="G376" s="8" t="s">
        <v>1205</v>
      </c>
      <c r="H376" s="8" t="s">
        <v>1206</v>
      </c>
      <c r="I376" s="8" t="s">
        <v>50</v>
      </c>
      <c r="J376" s="8" t="s">
        <v>51</v>
      </c>
      <c r="K376" s="9" t="s">
        <v>52</v>
      </c>
      <c r="L376" s="8" t="s">
        <v>84</v>
      </c>
      <c r="M376" s="8" t="s">
        <v>69</v>
      </c>
      <c r="N376" s="53" t="s">
        <v>137</v>
      </c>
      <c r="O376" s="53" t="s">
        <v>70</v>
      </c>
      <c r="P376" s="20" t="s">
        <v>1645</v>
      </c>
      <c r="Q376" s="21" t="s">
        <v>111</v>
      </c>
      <c r="R376" s="20" t="s">
        <v>1646</v>
      </c>
      <c r="S376" s="20" t="s">
        <v>1647</v>
      </c>
      <c r="T376" s="22">
        <v>5.73163252627E11</v>
      </c>
      <c r="U376" s="53" t="s">
        <v>75</v>
      </c>
      <c r="V376" s="11"/>
      <c r="W376" s="11"/>
      <c r="X376" s="11"/>
      <c r="Y376" s="54">
        <v>5.0</v>
      </c>
      <c r="Z376" s="34"/>
      <c r="AA376" s="34"/>
      <c r="AB376" s="34"/>
      <c r="AC376" s="34"/>
      <c r="AD376" s="34"/>
      <c r="AE376" s="34"/>
      <c r="AF376" s="35"/>
      <c r="AG376" s="35"/>
      <c r="AH376" s="112"/>
      <c r="AI376" s="112"/>
      <c r="AJ376" s="34"/>
      <c r="AK376" s="38"/>
      <c r="AL376" s="38"/>
      <c r="AM376" s="38"/>
      <c r="AN376" s="38"/>
      <c r="AO376" s="34"/>
      <c r="AP376" s="35"/>
    </row>
    <row r="377">
      <c r="A377" s="8" t="s">
        <v>1648</v>
      </c>
      <c r="B377" s="8" t="s">
        <v>1649</v>
      </c>
      <c r="C377" s="8" t="s">
        <v>1202</v>
      </c>
      <c r="D377" s="8" t="s">
        <v>1203</v>
      </c>
      <c r="E377" s="8" t="s">
        <v>1204</v>
      </c>
      <c r="F377" s="8" t="s">
        <v>47</v>
      </c>
      <c r="G377" s="8" t="s">
        <v>1205</v>
      </c>
      <c r="H377" s="8" t="s">
        <v>1206</v>
      </c>
      <c r="I377" s="8" t="s">
        <v>50</v>
      </c>
      <c r="J377" s="8" t="s">
        <v>51</v>
      </c>
      <c r="K377" s="9" t="s">
        <v>52</v>
      </c>
      <c r="L377" s="8" t="s">
        <v>53</v>
      </c>
      <c r="M377" s="8" t="s">
        <v>69</v>
      </c>
      <c r="N377" s="53" t="s">
        <v>55</v>
      </c>
      <c r="O377" s="53" t="s">
        <v>70</v>
      </c>
      <c r="P377" s="20" t="s">
        <v>1543</v>
      </c>
      <c r="Q377" s="21" t="s">
        <v>105</v>
      </c>
      <c r="R377" s="21" t="s">
        <v>183</v>
      </c>
      <c r="S377" s="20" t="s">
        <v>1650</v>
      </c>
      <c r="T377" s="22">
        <v>5.73203726286E11</v>
      </c>
      <c r="U377" s="53" t="s">
        <v>75</v>
      </c>
      <c r="V377" s="11"/>
      <c r="W377" s="11"/>
      <c r="X377" s="11"/>
      <c r="Y377" s="54">
        <v>5.0</v>
      </c>
      <c r="Z377" s="28"/>
      <c r="AA377" s="28"/>
      <c r="AB377" s="28"/>
      <c r="AC377" s="28"/>
      <c r="AD377" s="28"/>
      <c r="AE377" s="28"/>
      <c r="AF377" s="29"/>
      <c r="AG377" s="29"/>
      <c r="AH377" s="30"/>
      <c r="AI377" s="31"/>
      <c r="AJ377" s="28"/>
      <c r="AK377" s="32"/>
      <c r="AL377" s="32"/>
      <c r="AM377" s="32"/>
      <c r="AN377" s="32"/>
      <c r="AO377" s="28"/>
      <c r="AP377" s="29"/>
    </row>
    <row r="378">
      <c r="A378" s="8" t="s">
        <v>1651</v>
      </c>
      <c r="B378" s="8" t="s">
        <v>1652</v>
      </c>
      <c r="C378" s="8" t="s">
        <v>1202</v>
      </c>
      <c r="D378" s="8" t="s">
        <v>1203</v>
      </c>
      <c r="E378" s="8" t="s">
        <v>1204</v>
      </c>
      <c r="F378" s="8" t="s">
        <v>47</v>
      </c>
      <c r="G378" s="8" t="s">
        <v>1205</v>
      </c>
      <c r="H378" s="8" t="s">
        <v>1206</v>
      </c>
      <c r="I378" s="8" t="s">
        <v>50</v>
      </c>
      <c r="J378" s="8" t="s">
        <v>51</v>
      </c>
      <c r="K378" s="9" t="s">
        <v>52</v>
      </c>
      <c r="L378" s="8" t="s">
        <v>53</v>
      </c>
      <c r="M378" s="8" t="s">
        <v>69</v>
      </c>
      <c r="N378" s="53" t="s">
        <v>55</v>
      </c>
      <c r="O378" s="53" t="s">
        <v>70</v>
      </c>
      <c r="P378" s="20" t="s">
        <v>445</v>
      </c>
      <c r="Q378" s="20">
        <v>10.0</v>
      </c>
      <c r="R378" s="20" t="s">
        <v>148</v>
      </c>
      <c r="S378" s="20" t="s">
        <v>1653</v>
      </c>
      <c r="T378" s="22">
        <v>5.73186933764E11</v>
      </c>
      <c r="U378" s="53" t="s">
        <v>75</v>
      </c>
      <c r="V378" s="11"/>
      <c r="W378" s="11"/>
      <c r="X378" s="11"/>
      <c r="Y378" s="54">
        <v>5.0</v>
      </c>
      <c r="Z378" s="28"/>
      <c r="AA378" s="28"/>
      <c r="AB378" s="28"/>
      <c r="AC378" s="28"/>
      <c r="AD378" s="28"/>
      <c r="AE378" s="28"/>
      <c r="AF378" s="29"/>
      <c r="AG378" s="29"/>
      <c r="AH378" s="30"/>
      <c r="AI378" s="31"/>
      <c r="AJ378" s="28"/>
      <c r="AK378" s="32"/>
      <c r="AL378" s="32"/>
      <c r="AM378" s="32"/>
      <c r="AN378" s="32"/>
      <c r="AO378" s="28"/>
      <c r="AP378" s="29"/>
    </row>
    <row r="379">
      <c r="A379" s="8" t="s">
        <v>1654</v>
      </c>
      <c r="B379" s="8" t="s">
        <v>1655</v>
      </c>
      <c r="C379" s="8" t="s">
        <v>1202</v>
      </c>
      <c r="D379" s="8" t="s">
        <v>1203</v>
      </c>
      <c r="E379" s="8" t="s">
        <v>1204</v>
      </c>
      <c r="F379" s="8" t="s">
        <v>47</v>
      </c>
      <c r="G379" s="8" t="s">
        <v>1205</v>
      </c>
      <c r="H379" s="8" t="s">
        <v>1206</v>
      </c>
      <c r="I379" s="8" t="s">
        <v>50</v>
      </c>
      <c r="J379" s="8" t="s">
        <v>51</v>
      </c>
      <c r="K379" s="9" t="s">
        <v>52</v>
      </c>
      <c r="L379" s="8" t="s">
        <v>53</v>
      </c>
      <c r="M379" s="8" t="s">
        <v>69</v>
      </c>
      <c r="N379" s="53" t="s">
        <v>55</v>
      </c>
      <c r="O379" s="53" t="s">
        <v>70</v>
      </c>
      <c r="P379" s="20" t="s">
        <v>1656</v>
      </c>
      <c r="Q379" s="21" t="s">
        <v>58</v>
      </c>
      <c r="R379" s="20" t="s">
        <v>73</v>
      </c>
      <c r="S379" s="20" t="s">
        <v>1657</v>
      </c>
      <c r="T379" s="22">
        <v>5.73176821918E11</v>
      </c>
      <c r="U379" s="53" t="s">
        <v>61</v>
      </c>
      <c r="V379" s="11"/>
      <c r="W379" s="11"/>
      <c r="X379" s="11"/>
      <c r="Y379" s="54">
        <v>5.0</v>
      </c>
      <c r="Z379" s="28"/>
      <c r="AA379" s="28"/>
      <c r="AB379" s="28"/>
      <c r="AC379" s="28"/>
      <c r="AD379" s="28"/>
      <c r="AE379" s="28"/>
      <c r="AF379" s="29"/>
      <c r="AG379" s="29"/>
      <c r="AH379" s="30"/>
      <c r="AI379" s="31"/>
      <c r="AJ379" s="28"/>
      <c r="AK379" s="32"/>
      <c r="AL379" s="32"/>
      <c r="AM379" s="32"/>
      <c r="AN379" s="32"/>
      <c r="AO379" s="28"/>
      <c r="AP379" s="29"/>
    </row>
    <row r="380">
      <c r="A380" s="8" t="s">
        <v>1658</v>
      </c>
      <c r="B380" s="8" t="s">
        <v>1659</v>
      </c>
      <c r="C380" s="8" t="s">
        <v>1202</v>
      </c>
      <c r="D380" s="8" t="s">
        <v>1203</v>
      </c>
      <c r="E380" s="8" t="s">
        <v>1204</v>
      </c>
      <c r="F380" s="8" t="s">
        <v>47</v>
      </c>
      <c r="G380" s="8" t="s">
        <v>1205</v>
      </c>
      <c r="H380" s="8" t="s">
        <v>1206</v>
      </c>
      <c r="I380" s="8" t="s">
        <v>50</v>
      </c>
      <c r="J380" s="8" t="s">
        <v>51</v>
      </c>
      <c r="K380" s="9" t="s">
        <v>52</v>
      </c>
      <c r="L380" s="8" t="s">
        <v>53</v>
      </c>
      <c r="M380" s="8" t="s">
        <v>69</v>
      </c>
      <c r="N380" s="53" t="s">
        <v>55</v>
      </c>
      <c r="O380" s="53" t="s">
        <v>70</v>
      </c>
      <c r="P380" s="20" t="s">
        <v>723</v>
      </c>
      <c r="Q380" s="21" t="s">
        <v>94</v>
      </c>
      <c r="R380" s="20" t="s">
        <v>173</v>
      </c>
      <c r="S380" s="20" t="s">
        <v>1660</v>
      </c>
      <c r="T380" s="22">
        <v>5.73126921594E11</v>
      </c>
      <c r="U380" s="53" t="s">
        <v>75</v>
      </c>
      <c r="V380" s="11"/>
      <c r="W380" s="11"/>
      <c r="X380" s="11"/>
      <c r="Y380" s="54">
        <v>5.0</v>
      </c>
      <c r="Z380" s="34"/>
      <c r="AA380" s="34"/>
      <c r="AB380" s="34"/>
      <c r="AC380" s="34"/>
      <c r="AD380" s="34"/>
      <c r="AE380" s="34"/>
      <c r="AF380" s="35"/>
      <c r="AG380" s="35"/>
      <c r="AH380" s="36"/>
      <c r="AI380" s="37"/>
      <c r="AJ380" s="34"/>
      <c r="AK380" s="38"/>
      <c r="AL380" s="38"/>
      <c r="AM380" s="38"/>
      <c r="AN380" s="38"/>
      <c r="AO380" s="34"/>
      <c r="AP380" s="35"/>
    </row>
    <row r="381">
      <c r="A381" s="8" t="s">
        <v>1661</v>
      </c>
      <c r="B381" s="8" t="s">
        <v>1662</v>
      </c>
      <c r="C381" s="8" t="s">
        <v>1202</v>
      </c>
      <c r="D381" s="8" t="s">
        <v>1203</v>
      </c>
      <c r="E381" s="8" t="s">
        <v>1204</v>
      </c>
      <c r="F381" s="8" t="s">
        <v>47</v>
      </c>
      <c r="G381" s="8" t="s">
        <v>1205</v>
      </c>
      <c r="H381" s="8" t="s">
        <v>1206</v>
      </c>
      <c r="I381" s="8" t="s">
        <v>50</v>
      </c>
      <c r="J381" s="8" t="s">
        <v>51</v>
      </c>
      <c r="K381" s="9" t="s">
        <v>52</v>
      </c>
      <c r="L381" s="8" t="s">
        <v>53</v>
      </c>
      <c r="M381" s="8" t="s">
        <v>69</v>
      </c>
      <c r="N381" s="53" t="s">
        <v>55</v>
      </c>
      <c r="O381" s="53" t="s">
        <v>70</v>
      </c>
      <c r="P381" s="20" t="s">
        <v>546</v>
      </c>
      <c r="Q381" s="21" t="s">
        <v>183</v>
      </c>
      <c r="R381" s="20" t="s">
        <v>1663</v>
      </c>
      <c r="S381" s="20" t="s">
        <v>1664</v>
      </c>
      <c r="T381" s="22">
        <v>5.7315393647E11</v>
      </c>
      <c r="U381" s="53" t="s">
        <v>75</v>
      </c>
      <c r="V381" s="11"/>
      <c r="W381" s="11"/>
      <c r="X381" s="11"/>
      <c r="Y381" s="54">
        <v>5.0</v>
      </c>
      <c r="Z381" s="34"/>
      <c r="AA381" s="34"/>
      <c r="AB381" s="34"/>
      <c r="AC381" s="34"/>
      <c r="AD381" s="34"/>
      <c r="AE381" s="34"/>
      <c r="AF381" s="35"/>
      <c r="AG381" s="35"/>
      <c r="AH381" s="36"/>
      <c r="AI381" s="37"/>
      <c r="AJ381" s="34"/>
      <c r="AK381" s="38"/>
      <c r="AL381" s="38"/>
      <c r="AM381" s="38"/>
      <c r="AN381" s="38"/>
      <c r="AO381" s="34"/>
      <c r="AP381" s="35"/>
    </row>
    <row r="382">
      <c r="A382" s="8" t="s">
        <v>1665</v>
      </c>
      <c r="B382" s="8" t="s">
        <v>1666</v>
      </c>
      <c r="C382" s="8" t="s">
        <v>1202</v>
      </c>
      <c r="D382" s="8" t="s">
        <v>1203</v>
      </c>
      <c r="E382" s="8" t="s">
        <v>1204</v>
      </c>
      <c r="F382" s="8" t="s">
        <v>47</v>
      </c>
      <c r="G382" s="8" t="s">
        <v>1205</v>
      </c>
      <c r="H382" s="8" t="s">
        <v>1206</v>
      </c>
      <c r="I382" s="8" t="s">
        <v>50</v>
      </c>
      <c r="J382" s="8" t="s">
        <v>51</v>
      </c>
      <c r="K382" s="9" t="s">
        <v>52</v>
      </c>
      <c r="L382" s="8" t="s">
        <v>53</v>
      </c>
      <c r="M382" s="8" t="s">
        <v>69</v>
      </c>
      <c r="N382" s="53" t="s">
        <v>55</v>
      </c>
      <c r="O382" s="53" t="s">
        <v>70</v>
      </c>
      <c r="P382" s="20" t="s">
        <v>232</v>
      </c>
      <c r="Q382" s="21" t="s">
        <v>147</v>
      </c>
      <c r="R382" s="20" t="s">
        <v>1667</v>
      </c>
      <c r="S382" s="20" t="s">
        <v>1668</v>
      </c>
      <c r="T382" s="22">
        <v>5.73102430475E11</v>
      </c>
      <c r="U382" s="53" t="s">
        <v>75</v>
      </c>
      <c r="V382" s="11"/>
      <c r="W382" s="11"/>
      <c r="X382" s="11"/>
      <c r="Y382" s="54">
        <v>5.0</v>
      </c>
      <c r="Z382" s="34"/>
      <c r="AA382" s="34"/>
      <c r="AB382" s="34"/>
      <c r="AC382" s="34"/>
      <c r="AD382" s="34"/>
      <c r="AE382" s="34"/>
      <c r="AF382" s="35"/>
      <c r="AG382" s="35"/>
      <c r="AH382" s="36"/>
      <c r="AI382" s="37"/>
      <c r="AJ382" s="34"/>
      <c r="AK382" s="38"/>
      <c r="AL382" s="38"/>
      <c r="AM382" s="38"/>
      <c r="AN382" s="38"/>
      <c r="AO382" s="34"/>
      <c r="AP382" s="35"/>
    </row>
    <row r="383">
      <c r="A383" s="8" t="s">
        <v>1669</v>
      </c>
      <c r="B383" s="8" t="s">
        <v>1670</v>
      </c>
      <c r="C383" s="8" t="s">
        <v>1202</v>
      </c>
      <c r="D383" s="8" t="s">
        <v>1203</v>
      </c>
      <c r="E383" s="8" t="s">
        <v>1204</v>
      </c>
      <c r="F383" s="8" t="s">
        <v>47</v>
      </c>
      <c r="G383" s="8" t="s">
        <v>1205</v>
      </c>
      <c r="H383" s="8" t="s">
        <v>1206</v>
      </c>
      <c r="I383" s="8" t="s">
        <v>50</v>
      </c>
      <c r="J383" s="8" t="s">
        <v>51</v>
      </c>
      <c r="K383" s="9" t="s">
        <v>52</v>
      </c>
      <c r="L383" s="8" t="s">
        <v>53</v>
      </c>
      <c r="M383" s="8" t="s">
        <v>54</v>
      </c>
      <c r="N383" s="53" t="s">
        <v>55</v>
      </c>
      <c r="O383" s="53" t="s">
        <v>56</v>
      </c>
      <c r="P383" s="8" t="s">
        <v>734</v>
      </c>
      <c r="Q383" s="9" t="s">
        <v>94</v>
      </c>
      <c r="R383" s="8" t="s">
        <v>73</v>
      </c>
      <c r="S383" s="8" t="s">
        <v>1671</v>
      </c>
      <c r="T383" s="10">
        <v>5.73133078333E11</v>
      </c>
      <c r="U383" s="53" t="s">
        <v>75</v>
      </c>
      <c r="V383" s="11"/>
      <c r="W383" s="11"/>
      <c r="X383" s="11"/>
      <c r="Y383" s="54" t="s">
        <v>62</v>
      </c>
      <c r="Z383" s="28"/>
      <c r="AA383" s="28"/>
      <c r="AB383" s="28"/>
      <c r="AC383" s="28"/>
      <c r="AD383" s="28"/>
      <c r="AE383" s="28"/>
      <c r="AF383" s="29"/>
      <c r="AG383" s="29"/>
      <c r="AH383" s="30"/>
      <c r="AI383" s="31"/>
      <c r="AJ383" s="28"/>
      <c r="AK383" s="32"/>
      <c r="AL383" s="32"/>
      <c r="AM383" s="32"/>
      <c r="AN383" s="32"/>
      <c r="AO383" s="28"/>
      <c r="AP383" s="29"/>
    </row>
    <row r="384">
      <c r="A384" s="8" t="s">
        <v>1672</v>
      </c>
      <c r="B384" s="8" t="s">
        <v>1673</v>
      </c>
      <c r="C384" s="8" t="s">
        <v>1202</v>
      </c>
      <c r="D384" s="8" t="s">
        <v>1203</v>
      </c>
      <c r="E384" s="8" t="s">
        <v>1204</v>
      </c>
      <c r="F384" s="8" t="s">
        <v>47</v>
      </c>
      <c r="G384" s="8" t="s">
        <v>1205</v>
      </c>
      <c r="H384" s="8" t="s">
        <v>1206</v>
      </c>
      <c r="I384" s="8" t="s">
        <v>50</v>
      </c>
      <c r="J384" s="8" t="s">
        <v>51</v>
      </c>
      <c r="K384" s="9" t="s">
        <v>52</v>
      </c>
      <c r="L384" s="8" t="s">
        <v>84</v>
      </c>
      <c r="M384" s="8" t="s">
        <v>69</v>
      </c>
      <c r="N384" s="53" t="s">
        <v>85</v>
      </c>
      <c r="O384" s="53" t="s">
        <v>70</v>
      </c>
      <c r="P384" s="20" t="s">
        <v>352</v>
      </c>
      <c r="Q384" s="21" t="s">
        <v>111</v>
      </c>
      <c r="R384" s="20" t="s">
        <v>1674</v>
      </c>
      <c r="S384" s="20" t="s">
        <v>1675</v>
      </c>
      <c r="T384" s="22">
        <v>5.7300284626E11</v>
      </c>
      <c r="U384" s="53" t="s">
        <v>75</v>
      </c>
      <c r="V384" s="11"/>
      <c r="W384" s="11"/>
      <c r="X384" s="11"/>
      <c r="Y384" s="54">
        <v>5.0</v>
      </c>
      <c r="Z384" s="13"/>
      <c r="AA384" s="13"/>
      <c r="AB384" s="13"/>
      <c r="AC384" s="13"/>
      <c r="AD384" s="13"/>
      <c r="AE384" s="13"/>
      <c r="AF384" s="14"/>
      <c r="AG384" s="14"/>
      <c r="AH384" s="15"/>
      <c r="AI384" s="16"/>
      <c r="AJ384" s="13"/>
      <c r="AK384" s="17"/>
      <c r="AL384" s="17"/>
      <c r="AM384" s="17"/>
      <c r="AN384" s="17"/>
      <c r="AO384" s="13"/>
      <c r="AP384" s="14"/>
    </row>
    <row r="385">
      <c r="A385" s="8" t="s">
        <v>1676</v>
      </c>
      <c r="B385" s="8" t="s">
        <v>1677</v>
      </c>
      <c r="C385" s="8" t="s">
        <v>1202</v>
      </c>
      <c r="D385" s="8" t="s">
        <v>1203</v>
      </c>
      <c r="E385" s="8" t="s">
        <v>1204</v>
      </c>
      <c r="F385" s="8" t="s">
        <v>47</v>
      </c>
      <c r="G385" s="8" t="s">
        <v>1205</v>
      </c>
      <c r="H385" s="8" t="s">
        <v>1206</v>
      </c>
      <c r="I385" s="8" t="s">
        <v>50</v>
      </c>
      <c r="J385" s="8" t="s">
        <v>51</v>
      </c>
      <c r="K385" s="9" t="s">
        <v>52</v>
      </c>
      <c r="L385" s="8" t="s">
        <v>53</v>
      </c>
      <c r="M385" s="8" t="s">
        <v>69</v>
      </c>
      <c r="N385" s="53" t="s">
        <v>55</v>
      </c>
      <c r="O385" s="53" t="s">
        <v>70</v>
      </c>
      <c r="P385" s="20" t="s">
        <v>1678</v>
      </c>
      <c r="Q385" s="21" t="s">
        <v>111</v>
      </c>
      <c r="R385" s="20" t="s">
        <v>1679</v>
      </c>
      <c r="S385" s="20" t="s">
        <v>1680</v>
      </c>
      <c r="T385" s="22">
        <v>5.73104600233E11</v>
      </c>
      <c r="U385" s="53" t="s">
        <v>61</v>
      </c>
      <c r="V385" s="11"/>
      <c r="W385" s="11"/>
      <c r="X385" s="11"/>
      <c r="Y385" s="54">
        <v>5.0</v>
      </c>
      <c r="Z385" s="28"/>
      <c r="AA385" s="28"/>
      <c r="AB385" s="28"/>
      <c r="AC385" s="28"/>
      <c r="AD385" s="28"/>
      <c r="AE385" s="28"/>
      <c r="AF385" s="29"/>
      <c r="AG385" s="29"/>
      <c r="AH385" s="30"/>
      <c r="AI385" s="31"/>
      <c r="AJ385" s="28"/>
      <c r="AK385" s="32"/>
      <c r="AL385" s="32"/>
      <c r="AM385" s="32"/>
      <c r="AN385" s="32"/>
      <c r="AO385" s="28"/>
      <c r="AP385" s="29"/>
    </row>
    <row r="386">
      <c r="A386" s="8" t="s">
        <v>1681</v>
      </c>
      <c r="B386" s="8" t="s">
        <v>1682</v>
      </c>
      <c r="C386" s="8" t="s">
        <v>1202</v>
      </c>
      <c r="D386" s="8" t="s">
        <v>1203</v>
      </c>
      <c r="E386" s="8" t="s">
        <v>1204</v>
      </c>
      <c r="F386" s="8" t="s">
        <v>47</v>
      </c>
      <c r="G386" s="8" t="s">
        <v>1205</v>
      </c>
      <c r="H386" s="8" t="s">
        <v>1206</v>
      </c>
      <c r="I386" s="8" t="s">
        <v>50</v>
      </c>
      <c r="J386" s="8" t="s">
        <v>51</v>
      </c>
      <c r="K386" s="9" t="s">
        <v>52</v>
      </c>
      <c r="L386" s="8" t="s">
        <v>53</v>
      </c>
      <c r="M386" s="8" t="s">
        <v>54</v>
      </c>
      <c r="N386" s="8" t="s">
        <v>85</v>
      </c>
      <c r="O386" s="8" t="s">
        <v>86</v>
      </c>
      <c r="P386" s="8" t="s">
        <v>152</v>
      </c>
      <c r="Q386" s="9" t="s">
        <v>111</v>
      </c>
      <c r="R386" s="8" t="s">
        <v>154</v>
      </c>
      <c r="S386" s="8" t="s">
        <v>1683</v>
      </c>
      <c r="T386" s="10">
        <v>5.73148379386E11</v>
      </c>
      <c r="U386" s="8" t="s">
        <v>75</v>
      </c>
      <c r="V386" s="11"/>
      <c r="W386" s="11"/>
      <c r="X386" s="11"/>
      <c r="Y386" s="33">
        <v>45779.0</v>
      </c>
      <c r="Z386" s="13"/>
      <c r="AA386" s="13"/>
      <c r="AB386" s="13"/>
      <c r="AC386" s="13"/>
      <c r="AD386" s="13"/>
      <c r="AE386" s="13"/>
      <c r="AF386" s="14"/>
      <c r="AG386" s="14"/>
      <c r="AH386" s="15"/>
      <c r="AI386" s="16"/>
      <c r="AJ386" s="13"/>
      <c r="AK386" s="17"/>
      <c r="AL386" s="17"/>
      <c r="AM386" s="17"/>
      <c r="AN386" s="17"/>
      <c r="AO386" s="13"/>
      <c r="AP386" s="14"/>
    </row>
    <row r="387">
      <c r="A387" s="53" t="s">
        <v>1684</v>
      </c>
      <c r="B387" s="53" t="s">
        <v>1685</v>
      </c>
      <c r="C387" s="53" t="s">
        <v>1202</v>
      </c>
      <c r="D387" s="53" t="s">
        <v>1203</v>
      </c>
      <c r="E387" s="53" t="s">
        <v>1204</v>
      </c>
      <c r="F387" s="53" t="s">
        <v>47</v>
      </c>
      <c r="G387" s="53" t="s">
        <v>1205</v>
      </c>
      <c r="H387" s="53" t="s">
        <v>1206</v>
      </c>
      <c r="I387" s="53" t="s">
        <v>50</v>
      </c>
      <c r="J387" s="53" t="s">
        <v>51</v>
      </c>
      <c r="K387" s="73" t="s">
        <v>52</v>
      </c>
      <c r="L387" s="53" t="s">
        <v>53</v>
      </c>
      <c r="M387" s="53" t="s">
        <v>69</v>
      </c>
      <c r="N387" s="53" t="s">
        <v>55</v>
      </c>
      <c r="O387" s="53" t="s">
        <v>70</v>
      </c>
      <c r="P387" s="20" t="s">
        <v>141</v>
      </c>
      <c r="Q387" s="21" t="s">
        <v>111</v>
      </c>
      <c r="R387" s="20" t="s">
        <v>1686</v>
      </c>
      <c r="S387" s="20" t="s">
        <v>1687</v>
      </c>
      <c r="T387" s="22">
        <v>5.73008044492E11</v>
      </c>
      <c r="U387" s="53" t="s">
        <v>75</v>
      </c>
      <c r="V387" s="113"/>
      <c r="W387" s="113"/>
      <c r="X387" s="113"/>
      <c r="Y387" s="54">
        <v>5.0</v>
      </c>
      <c r="Z387" s="49"/>
      <c r="AA387" s="49"/>
      <c r="AB387" s="49"/>
      <c r="AC387" s="49"/>
      <c r="AD387" s="49"/>
      <c r="AE387" s="49"/>
      <c r="AF387" s="50"/>
      <c r="AG387" s="50"/>
      <c r="AH387" s="51"/>
      <c r="AI387" s="51"/>
      <c r="AJ387" s="49"/>
      <c r="AK387" s="52"/>
      <c r="AL387" s="52"/>
      <c r="AM387" s="52"/>
      <c r="AN387" s="52"/>
      <c r="AO387" s="49"/>
      <c r="AP387" s="50"/>
    </row>
    <row r="388">
      <c r="A388" s="53" t="s">
        <v>1688</v>
      </c>
      <c r="B388" s="53" t="s">
        <v>1689</v>
      </c>
      <c r="C388" s="53" t="s">
        <v>1202</v>
      </c>
      <c r="D388" s="53" t="s">
        <v>1203</v>
      </c>
      <c r="E388" s="53" t="s">
        <v>1204</v>
      </c>
      <c r="F388" s="53" t="s">
        <v>47</v>
      </c>
      <c r="G388" s="53" t="s">
        <v>1205</v>
      </c>
      <c r="H388" s="53" t="s">
        <v>1206</v>
      </c>
      <c r="I388" s="53" t="s">
        <v>50</v>
      </c>
      <c r="J388" s="53" t="s">
        <v>51</v>
      </c>
      <c r="K388" s="73" t="s">
        <v>52</v>
      </c>
      <c r="L388" s="53" t="s">
        <v>84</v>
      </c>
      <c r="M388" s="53" t="s">
        <v>69</v>
      </c>
      <c r="N388" s="53" t="s">
        <v>55</v>
      </c>
      <c r="O388" s="53" t="s">
        <v>70</v>
      </c>
      <c r="P388" s="20" t="s">
        <v>500</v>
      </c>
      <c r="Q388" s="21" t="s">
        <v>487</v>
      </c>
      <c r="R388" s="20" t="s">
        <v>608</v>
      </c>
      <c r="S388" s="20" t="s">
        <v>1690</v>
      </c>
      <c r="T388" s="22">
        <v>5.73008788884E11</v>
      </c>
      <c r="U388" s="53" t="s">
        <v>75</v>
      </c>
      <c r="V388" s="113"/>
      <c r="W388" s="113"/>
      <c r="X388" s="113"/>
      <c r="Y388" s="54">
        <v>5.0</v>
      </c>
      <c r="Z388" s="28"/>
      <c r="AA388" s="28"/>
      <c r="AB388" s="28"/>
      <c r="AC388" s="28"/>
      <c r="AD388" s="28"/>
      <c r="AE388" s="28"/>
      <c r="AF388" s="29"/>
      <c r="AG388" s="29"/>
      <c r="AH388" s="30"/>
      <c r="AI388" s="31"/>
      <c r="AJ388" s="28"/>
      <c r="AK388" s="32"/>
      <c r="AL388" s="32"/>
      <c r="AM388" s="32"/>
      <c r="AN388" s="32"/>
      <c r="AO388" s="28"/>
      <c r="AP388" s="29"/>
    </row>
    <row r="389">
      <c r="A389" s="53" t="s">
        <v>1691</v>
      </c>
      <c r="B389" s="53" t="s">
        <v>1692</v>
      </c>
      <c r="C389" s="53" t="s">
        <v>1202</v>
      </c>
      <c r="D389" s="53" t="s">
        <v>1203</v>
      </c>
      <c r="E389" s="53" t="s">
        <v>1204</v>
      </c>
      <c r="F389" s="53" t="s">
        <v>47</v>
      </c>
      <c r="G389" s="53" t="s">
        <v>1205</v>
      </c>
      <c r="H389" s="53" t="s">
        <v>1206</v>
      </c>
      <c r="I389" s="53" t="s">
        <v>50</v>
      </c>
      <c r="J389" s="53" t="s">
        <v>51</v>
      </c>
      <c r="K389" s="73" t="s">
        <v>52</v>
      </c>
      <c r="L389" s="53" t="s">
        <v>53</v>
      </c>
      <c r="M389" s="53" t="s">
        <v>69</v>
      </c>
      <c r="N389" s="53" t="s">
        <v>55</v>
      </c>
      <c r="O389" s="53" t="s">
        <v>70</v>
      </c>
      <c r="P389" s="20" t="s">
        <v>1693</v>
      </c>
      <c r="Q389" s="21" t="s">
        <v>72</v>
      </c>
      <c r="R389" s="20" t="s">
        <v>173</v>
      </c>
      <c r="S389" s="20" t="s">
        <v>1694</v>
      </c>
      <c r="T389" s="22">
        <v>3.008469696E9</v>
      </c>
      <c r="U389" s="53" t="s">
        <v>75</v>
      </c>
      <c r="V389" s="113"/>
      <c r="W389" s="113"/>
      <c r="X389" s="113"/>
      <c r="Y389" s="54">
        <v>5.0</v>
      </c>
      <c r="Z389" s="28"/>
      <c r="AA389" s="28"/>
      <c r="AB389" s="28"/>
      <c r="AC389" s="28"/>
      <c r="AD389" s="28"/>
      <c r="AE389" s="28"/>
      <c r="AF389" s="29"/>
      <c r="AG389" s="29"/>
      <c r="AH389" s="30"/>
      <c r="AI389" s="31"/>
      <c r="AJ389" s="28"/>
      <c r="AK389" s="32"/>
      <c r="AL389" s="32"/>
      <c r="AM389" s="32"/>
      <c r="AN389" s="32"/>
      <c r="AO389" s="28"/>
      <c r="AP389" s="29"/>
    </row>
    <row r="390">
      <c r="A390" s="53" t="s">
        <v>1695</v>
      </c>
      <c r="B390" s="53" t="s">
        <v>1696</v>
      </c>
      <c r="C390" s="53" t="s">
        <v>1202</v>
      </c>
      <c r="D390" s="53" t="s">
        <v>1203</v>
      </c>
      <c r="E390" s="53" t="s">
        <v>1204</v>
      </c>
      <c r="F390" s="53" t="s">
        <v>47</v>
      </c>
      <c r="G390" s="53" t="s">
        <v>1205</v>
      </c>
      <c r="H390" s="53" t="s">
        <v>1206</v>
      </c>
      <c r="I390" s="53" t="s">
        <v>50</v>
      </c>
      <c r="J390" s="53" t="s">
        <v>51</v>
      </c>
      <c r="K390" s="73" t="s">
        <v>52</v>
      </c>
      <c r="L390" s="53" t="s">
        <v>53</v>
      </c>
      <c r="M390" s="53" t="s">
        <v>69</v>
      </c>
      <c r="N390" s="53" t="s">
        <v>137</v>
      </c>
      <c r="O390" s="53" t="s">
        <v>70</v>
      </c>
      <c r="P390" s="20" t="s">
        <v>1697</v>
      </c>
      <c r="Q390" s="20" t="s">
        <v>1698</v>
      </c>
      <c r="R390" s="20" t="s">
        <v>73</v>
      </c>
      <c r="S390" s="20" t="s">
        <v>1699</v>
      </c>
      <c r="T390" s="22">
        <v>5.73112820099E11</v>
      </c>
      <c r="U390" s="53" t="s">
        <v>75</v>
      </c>
      <c r="V390" s="113"/>
      <c r="W390" s="113"/>
      <c r="X390" s="113"/>
      <c r="Y390" s="54">
        <v>5.0</v>
      </c>
      <c r="Z390" s="28"/>
      <c r="AA390" s="28"/>
      <c r="AB390" s="28"/>
      <c r="AC390" s="28"/>
      <c r="AD390" s="28"/>
      <c r="AE390" s="28"/>
      <c r="AF390" s="29"/>
      <c r="AG390" s="29"/>
      <c r="AH390" s="30"/>
      <c r="AI390" s="31"/>
      <c r="AJ390" s="28"/>
      <c r="AK390" s="32"/>
      <c r="AL390" s="32"/>
      <c r="AM390" s="32"/>
      <c r="AN390" s="32"/>
      <c r="AO390" s="28"/>
      <c r="AP390" s="29"/>
    </row>
    <row r="391">
      <c r="A391" s="53" t="s">
        <v>1700</v>
      </c>
      <c r="B391" s="53" t="s">
        <v>1701</v>
      </c>
      <c r="C391" s="53" t="s">
        <v>1202</v>
      </c>
      <c r="D391" s="53" t="s">
        <v>1203</v>
      </c>
      <c r="E391" s="53" t="s">
        <v>1204</v>
      </c>
      <c r="F391" s="53" t="s">
        <v>47</v>
      </c>
      <c r="G391" s="53" t="s">
        <v>1205</v>
      </c>
      <c r="H391" s="53" t="s">
        <v>1206</v>
      </c>
      <c r="I391" s="53" t="s">
        <v>50</v>
      </c>
      <c r="J391" s="53" t="s">
        <v>51</v>
      </c>
      <c r="K391" s="73" t="s">
        <v>52</v>
      </c>
      <c r="L391" s="53" t="s">
        <v>84</v>
      </c>
      <c r="M391" s="53" t="s">
        <v>54</v>
      </c>
      <c r="N391" s="53" t="s">
        <v>55</v>
      </c>
      <c r="O391" s="53" t="s">
        <v>70</v>
      </c>
      <c r="P391" s="20" t="s">
        <v>1084</v>
      </c>
      <c r="Q391" s="21" t="s">
        <v>122</v>
      </c>
      <c r="R391" s="20" t="s">
        <v>1702</v>
      </c>
      <c r="S391" s="20" t="s">
        <v>1703</v>
      </c>
      <c r="T391" s="22">
        <v>5.73176402469E11</v>
      </c>
      <c r="U391" s="53" t="s">
        <v>75</v>
      </c>
      <c r="V391" s="113"/>
      <c r="W391" s="113"/>
      <c r="X391" s="113"/>
      <c r="Y391" s="54">
        <v>5.0</v>
      </c>
      <c r="Z391" s="28"/>
      <c r="AA391" s="28"/>
      <c r="AB391" s="28"/>
      <c r="AC391" s="28"/>
      <c r="AD391" s="28"/>
      <c r="AE391" s="28"/>
      <c r="AF391" s="29"/>
      <c r="AG391" s="29"/>
      <c r="AH391" s="30"/>
      <c r="AI391" s="31"/>
      <c r="AJ391" s="28"/>
      <c r="AK391" s="32"/>
      <c r="AL391" s="32"/>
      <c r="AM391" s="32"/>
      <c r="AN391" s="32"/>
      <c r="AO391" s="28"/>
      <c r="AP391" s="29"/>
    </row>
    <row r="392">
      <c r="A392" s="53" t="s">
        <v>1704</v>
      </c>
      <c r="B392" s="53" t="s">
        <v>1705</v>
      </c>
      <c r="C392" s="53" t="s">
        <v>1202</v>
      </c>
      <c r="D392" s="53" t="s">
        <v>1203</v>
      </c>
      <c r="E392" s="53" t="s">
        <v>1204</v>
      </c>
      <c r="F392" s="53" t="s">
        <v>47</v>
      </c>
      <c r="G392" s="53" t="s">
        <v>1205</v>
      </c>
      <c r="H392" s="53" t="s">
        <v>1206</v>
      </c>
      <c r="I392" s="53" t="s">
        <v>50</v>
      </c>
      <c r="J392" s="53" t="s">
        <v>51</v>
      </c>
      <c r="K392" s="73" t="s">
        <v>52</v>
      </c>
      <c r="L392" s="53" t="s">
        <v>53</v>
      </c>
      <c r="M392" s="53" t="s">
        <v>69</v>
      </c>
      <c r="N392" s="53" t="s">
        <v>137</v>
      </c>
      <c r="O392" s="53" t="s">
        <v>70</v>
      </c>
      <c r="P392" s="20" t="s">
        <v>211</v>
      </c>
      <c r="Q392" s="21" t="s">
        <v>111</v>
      </c>
      <c r="R392" s="20" t="s">
        <v>1211</v>
      </c>
      <c r="S392" s="20" t="s">
        <v>1706</v>
      </c>
      <c r="T392" s="22">
        <v>5.73156716437E11</v>
      </c>
      <c r="U392" s="53" t="s">
        <v>61</v>
      </c>
      <c r="V392" s="113"/>
      <c r="W392" s="113"/>
      <c r="X392" s="113"/>
      <c r="Y392" s="54">
        <v>5.0</v>
      </c>
      <c r="Z392" s="28"/>
      <c r="AA392" s="28"/>
      <c r="AB392" s="28"/>
      <c r="AC392" s="28"/>
      <c r="AD392" s="28"/>
      <c r="AE392" s="28"/>
      <c r="AF392" s="29"/>
      <c r="AG392" s="29"/>
      <c r="AH392" s="30"/>
      <c r="AI392" s="31"/>
      <c r="AJ392" s="28"/>
      <c r="AK392" s="32"/>
      <c r="AL392" s="32"/>
      <c r="AM392" s="32"/>
      <c r="AN392" s="32"/>
      <c r="AO392" s="28"/>
      <c r="AP392" s="29"/>
    </row>
    <row r="393">
      <c r="A393" s="53" t="s">
        <v>1707</v>
      </c>
      <c r="B393" s="53" t="s">
        <v>1708</v>
      </c>
      <c r="C393" s="53" t="s">
        <v>1202</v>
      </c>
      <c r="D393" s="53" t="s">
        <v>1203</v>
      </c>
      <c r="E393" s="53" t="s">
        <v>1204</v>
      </c>
      <c r="F393" s="53" t="s">
        <v>47</v>
      </c>
      <c r="G393" s="53" t="s">
        <v>1205</v>
      </c>
      <c r="H393" s="53" t="s">
        <v>1206</v>
      </c>
      <c r="I393" s="53" t="s">
        <v>50</v>
      </c>
      <c r="J393" s="53" t="s">
        <v>51</v>
      </c>
      <c r="K393" s="73" t="s">
        <v>52</v>
      </c>
      <c r="L393" s="53" t="s">
        <v>53</v>
      </c>
      <c r="M393" s="53" t="s">
        <v>69</v>
      </c>
      <c r="N393" s="53" t="s">
        <v>55</v>
      </c>
      <c r="O393" s="53" t="s">
        <v>70</v>
      </c>
      <c r="P393" s="20" t="s">
        <v>57</v>
      </c>
      <c r="Q393" s="21" t="s">
        <v>147</v>
      </c>
      <c r="R393" s="20" t="s">
        <v>73</v>
      </c>
      <c r="S393" s="20" t="s">
        <v>1709</v>
      </c>
      <c r="T393" s="22">
        <v>5.73005070344E11</v>
      </c>
      <c r="U393" s="53" t="s">
        <v>75</v>
      </c>
      <c r="V393" s="113"/>
      <c r="W393" s="113"/>
      <c r="X393" s="113"/>
      <c r="Y393" s="54">
        <v>5.0</v>
      </c>
      <c r="Z393" s="13"/>
      <c r="AA393" s="13"/>
      <c r="AB393" s="13"/>
      <c r="AC393" s="13"/>
      <c r="AD393" s="13"/>
      <c r="AE393" s="13"/>
      <c r="AF393" s="14"/>
      <c r="AG393" s="14"/>
      <c r="AH393" s="15"/>
      <c r="AI393" s="16"/>
      <c r="AJ393" s="13"/>
      <c r="AK393" s="17"/>
      <c r="AL393" s="17"/>
      <c r="AM393" s="17"/>
      <c r="AN393" s="17"/>
      <c r="AO393" s="13"/>
      <c r="AP393" s="14"/>
    </row>
    <row r="394">
      <c r="A394" s="53" t="s">
        <v>1710</v>
      </c>
      <c r="B394" s="53" t="s">
        <v>1711</v>
      </c>
      <c r="C394" s="53" t="s">
        <v>1202</v>
      </c>
      <c r="D394" s="53" t="s">
        <v>1203</v>
      </c>
      <c r="E394" s="53" t="s">
        <v>1204</v>
      </c>
      <c r="F394" s="53" t="s">
        <v>47</v>
      </c>
      <c r="G394" s="53" t="s">
        <v>1205</v>
      </c>
      <c r="H394" s="53" t="s">
        <v>1206</v>
      </c>
      <c r="I394" s="53" t="s">
        <v>50</v>
      </c>
      <c r="J394" s="53" t="s">
        <v>51</v>
      </c>
      <c r="K394" s="73" t="s">
        <v>52</v>
      </c>
      <c r="L394" s="53" t="s">
        <v>53</v>
      </c>
      <c r="M394" s="53" t="s">
        <v>69</v>
      </c>
      <c r="N394" s="53" t="s">
        <v>55</v>
      </c>
      <c r="O394" s="53" t="s">
        <v>70</v>
      </c>
      <c r="P394" s="20" t="s">
        <v>500</v>
      </c>
      <c r="Q394" s="21" t="s">
        <v>323</v>
      </c>
      <c r="R394" s="20" t="s">
        <v>1712</v>
      </c>
      <c r="S394" s="20" t="s">
        <v>1713</v>
      </c>
      <c r="T394" s="22">
        <v>5.73127240448E11</v>
      </c>
      <c r="U394" s="53" t="s">
        <v>75</v>
      </c>
      <c r="V394" s="113"/>
      <c r="W394" s="113"/>
      <c r="X394" s="113"/>
      <c r="Y394" s="54">
        <v>5.0</v>
      </c>
      <c r="Z394" s="28"/>
      <c r="AA394" s="28"/>
      <c r="AB394" s="28"/>
      <c r="AC394" s="28"/>
      <c r="AD394" s="28"/>
      <c r="AE394" s="29"/>
      <c r="AF394" s="29"/>
      <c r="AG394" s="29"/>
      <c r="AH394" s="30"/>
      <c r="AI394" s="31"/>
      <c r="AJ394" s="28"/>
      <c r="AK394" s="32"/>
      <c r="AL394" s="32"/>
      <c r="AM394" s="32"/>
      <c r="AN394" s="32"/>
      <c r="AO394" s="28"/>
      <c r="AP394" s="29"/>
    </row>
    <row r="395">
      <c r="A395" s="53" t="s">
        <v>1714</v>
      </c>
      <c r="B395" s="53" t="s">
        <v>1715</v>
      </c>
      <c r="C395" s="53" t="s">
        <v>1202</v>
      </c>
      <c r="D395" s="53" t="s">
        <v>1203</v>
      </c>
      <c r="E395" s="53" t="s">
        <v>1204</v>
      </c>
      <c r="F395" s="53" t="s">
        <v>47</v>
      </c>
      <c r="G395" s="53" t="s">
        <v>1205</v>
      </c>
      <c r="H395" s="53" t="s">
        <v>1206</v>
      </c>
      <c r="I395" s="53" t="s">
        <v>50</v>
      </c>
      <c r="J395" s="53" t="s">
        <v>51</v>
      </c>
      <c r="K395" s="73" t="s">
        <v>52</v>
      </c>
      <c r="L395" s="53" t="s">
        <v>53</v>
      </c>
      <c r="M395" s="53" t="s">
        <v>54</v>
      </c>
      <c r="N395" s="53" t="s">
        <v>55</v>
      </c>
      <c r="O395" s="53" t="s">
        <v>70</v>
      </c>
      <c r="P395" s="20" t="s">
        <v>1716</v>
      </c>
      <c r="Q395" s="21" t="s">
        <v>72</v>
      </c>
      <c r="R395" s="20" t="s">
        <v>922</v>
      </c>
      <c r="S395" s="20" t="s">
        <v>1717</v>
      </c>
      <c r="T395" s="22">
        <v>5.73104687039E11</v>
      </c>
      <c r="U395" s="53" t="s">
        <v>61</v>
      </c>
      <c r="V395" s="113"/>
      <c r="W395" s="113"/>
      <c r="X395" s="113"/>
      <c r="Y395" s="54">
        <v>5.0</v>
      </c>
      <c r="Z395" s="28"/>
      <c r="AA395" s="28"/>
      <c r="AB395" s="28"/>
      <c r="AC395" s="28"/>
      <c r="AD395" s="28"/>
      <c r="AE395" s="28"/>
      <c r="AF395" s="29"/>
      <c r="AG395" s="29"/>
      <c r="AH395" s="30"/>
      <c r="AI395" s="31"/>
      <c r="AJ395" s="28"/>
      <c r="AK395" s="32"/>
      <c r="AL395" s="32"/>
      <c r="AM395" s="32"/>
      <c r="AN395" s="32"/>
      <c r="AO395" s="28"/>
      <c r="AP395" s="29"/>
    </row>
    <row r="396">
      <c r="A396" s="53" t="s">
        <v>1718</v>
      </c>
      <c r="B396" s="53" t="s">
        <v>1719</v>
      </c>
      <c r="C396" s="53" t="s">
        <v>1202</v>
      </c>
      <c r="D396" s="53" t="s">
        <v>1203</v>
      </c>
      <c r="E396" s="53" t="s">
        <v>1204</v>
      </c>
      <c r="F396" s="53" t="s">
        <v>47</v>
      </c>
      <c r="G396" s="53" t="s">
        <v>1205</v>
      </c>
      <c r="H396" s="53" t="s">
        <v>1206</v>
      </c>
      <c r="I396" s="53" t="s">
        <v>50</v>
      </c>
      <c r="J396" s="53" t="s">
        <v>51</v>
      </c>
      <c r="K396" s="73" t="s">
        <v>52</v>
      </c>
      <c r="L396" s="53" t="s">
        <v>53</v>
      </c>
      <c r="M396" s="53" t="s">
        <v>69</v>
      </c>
      <c r="N396" s="53" t="s">
        <v>137</v>
      </c>
      <c r="O396" s="53" t="s">
        <v>70</v>
      </c>
      <c r="P396" s="20" t="s">
        <v>1720</v>
      </c>
      <c r="Q396" s="21" t="s">
        <v>111</v>
      </c>
      <c r="R396" s="20" t="s">
        <v>1721</v>
      </c>
      <c r="S396" s="20" t="s">
        <v>1722</v>
      </c>
      <c r="T396" s="22">
        <v>5.73015649646E11</v>
      </c>
      <c r="U396" s="53" t="s">
        <v>61</v>
      </c>
      <c r="V396" s="113"/>
      <c r="W396" s="113"/>
      <c r="X396" s="113"/>
      <c r="Y396" s="54">
        <v>5.0</v>
      </c>
      <c r="Z396" s="104"/>
      <c r="AA396" s="104"/>
      <c r="AB396" s="104"/>
      <c r="AC396" s="104"/>
      <c r="AD396" s="104"/>
      <c r="AE396" s="104"/>
      <c r="AF396" s="105"/>
      <c r="AG396" s="105"/>
      <c r="AH396" s="106"/>
      <c r="AI396" s="106"/>
      <c r="AJ396" s="104"/>
      <c r="AK396" s="107"/>
      <c r="AL396" s="107"/>
      <c r="AM396" s="107"/>
      <c r="AN396" s="107"/>
      <c r="AO396" s="104"/>
      <c r="AP396" s="105"/>
    </row>
    <row r="397">
      <c r="A397" s="53" t="s">
        <v>1723</v>
      </c>
      <c r="B397" s="53" t="s">
        <v>1724</v>
      </c>
      <c r="C397" s="53" t="s">
        <v>1202</v>
      </c>
      <c r="D397" s="53" t="s">
        <v>1203</v>
      </c>
      <c r="E397" s="53" t="s">
        <v>1204</v>
      </c>
      <c r="F397" s="53" t="s">
        <v>47</v>
      </c>
      <c r="G397" s="53" t="s">
        <v>1205</v>
      </c>
      <c r="H397" s="53" t="s">
        <v>1206</v>
      </c>
      <c r="I397" s="53" t="s">
        <v>50</v>
      </c>
      <c r="J397" s="53" t="s">
        <v>51</v>
      </c>
      <c r="K397" s="73" t="s">
        <v>52</v>
      </c>
      <c r="L397" s="53" t="s">
        <v>53</v>
      </c>
      <c r="M397" s="53" t="s">
        <v>54</v>
      </c>
      <c r="N397" s="53" t="s">
        <v>55</v>
      </c>
      <c r="O397" s="53" t="s">
        <v>70</v>
      </c>
      <c r="P397" s="20" t="s">
        <v>445</v>
      </c>
      <c r="Q397" s="21" t="s">
        <v>58</v>
      </c>
      <c r="R397" s="20" t="s">
        <v>1725</v>
      </c>
      <c r="S397" s="20" t="s">
        <v>1726</v>
      </c>
      <c r="T397" s="22">
        <v>5.73147026833E11</v>
      </c>
      <c r="U397" s="53" t="s">
        <v>61</v>
      </c>
      <c r="V397" s="113"/>
      <c r="W397" s="113"/>
      <c r="X397" s="113"/>
      <c r="Y397" s="54">
        <v>5.0</v>
      </c>
      <c r="Z397" s="28"/>
      <c r="AA397" s="28"/>
      <c r="AB397" s="28"/>
      <c r="AC397" s="28"/>
      <c r="AD397" s="28"/>
      <c r="AE397" s="28"/>
      <c r="AF397" s="29"/>
      <c r="AG397" s="29"/>
      <c r="AH397" s="30"/>
      <c r="AI397" s="31"/>
      <c r="AJ397" s="28"/>
      <c r="AK397" s="32"/>
      <c r="AL397" s="32"/>
      <c r="AM397" s="32"/>
      <c r="AN397" s="32"/>
      <c r="AO397" s="28"/>
      <c r="AP397" s="29"/>
    </row>
    <row r="398">
      <c r="A398" s="53" t="s">
        <v>1727</v>
      </c>
      <c r="B398" s="53" t="s">
        <v>1728</v>
      </c>
      <c r="C398" s="53" t="s">
        <v>1202</v>
      </c>
      <c r="D398" s="53" t="s">
        <v>1203</v>
      </c>
      <c r="E398" s="53" t="s">
        <v>1204</v>
      </c>
      <c r="F398" s="53" t="s">
        <v>47</v>
      </c>
      <c r="G398" s="53" t="s">
        <v>1205</v>
      </c>
      <c r="H398" s="53" t="s">
        <v>1206</v>
      </c>
      <c r="I398" s="53" t="s">
        <v>50</v>
      </c>
      <c r="J398" s="53" t="s">
        <v>51</v>
      </c>
      <c r="K398" s="73" t="s">
        <v>52</v>
      </c>
      <c r="L398" s="53" t="s">
        <v>53</v>
      </c>
      <c r="M398" s="53" t="s">
        <v>69</v>
      </c>
      <c r="N398" s="53" t="s">
        <v>55</v>
      </c>
      <c r="O398" s="53" t="s">
        <v>70</v>
      </c>
      <c r="P398" s="20" t="s">
        <v>152</v>
      </c>
      <c r="Q398" s="21" t="s">
        <v>111</v>
      </c>
      <c r="R398" s="20" t="s">
        <v>1729</v>
      </c>
      <c r="S398" s="20" t="s">
        <v>1730</v>
      </c>
      <c r="T398" s="22">
        <v>5.73132131505E11</v>
      </c>
      <c r="U398" s="53" t="s">
        <v>75</v>
      </c>
      <c r="V398" s="113"/>
      <c r="W398" s="113"/>
      <c r="X398" s="113"/>
      <c r="Y398" s="54">
        <v>5.0</v>
      </c>
      <c r="Z398" s="28"/>
      <c r="AA398" s="28"/>
      <c r="AB398" s="28"/>
      <c r="AC398" s="28"/>
      <c r="AD398" s="28"/>
      <c r="AE398" s="28"/>
      <c r="AF398" s="29"/>
      <c r="AG398" s="29"/>
      <c r="AH398" s="30"/>
      <c r="AI398" s="31"/>
      <c r="AJ398" s="28"/>
      <c r="AK398" s="32"/>
      <c r="AL398" s="32"/>
      <c r="AM398" s="32"/>
      <c r="AN398" s="32"/>
      <c r="AO398" s="28"/>
      <c r="AP398" s="29"/>
    </row>
    <row r="399">
      <c r="A399" s="53" t="s">
        <v>1731</v>
      </c>
      <c r="B399" s="53" t="s">
        <v>1732</v>
      </c>
      <c r="C399" s="53" t="s">
        <v>1202</v>
      </c>
      <c r="D399" s="53" t="s">
        <v>1203</v>
      </c>
      <c r="E399" s="53" t="s">
        <v>1204</v>
      </c>
      <c r="F399" s="53" t="s">
        <v>47</v>
      </c>
      <c r="G399" s="53" t="s">
        <v>1205</v>
      </c>
      <c r="H399" s="53" t="s">
        <v>1206</v>
      </c>
      <c r="I399" s="53" t="s">
        <v>50</v>
      </c>
      <c r="J399" s="53" t="s">
        <v>51</v>
      </c>
      <c r="K399" s="73" t="s">
        <v>52</v>
      </c>
      <c r="L399" s="53" t="s">
        <v>84</v>
      </c>
      <c r="M399" s="53" t="s">
        <v>69</v>
      </c>
      <c r="N399" s="53" t="s">
        <v>55</v>
      </c>
      <c r="O399" s="53" t="s">
        <v>70</v>
      </c>
      <c r="P399" s="20" t="s">
        <v>1733</v>
      </c>
      <c r="Q399" s="21" t="s">
        <v>58</v>
      </c>
      <c r="R399" s="20" t="s">
        <v>1734</v>
      </c>
      <c r="S399" s="20" t="s">
        <v>1735</v>
      </c>
      <c r="T399" s="22">
        <v>5.73162947448E11</v>
      </c>
      <c r="U399" s="53" t="s">
        <v>75</v>
      </c>
      <c r="V399" s="113"/>
      <c r="W399" s="113"/>
      <c r="X399" s="113"/>
      <c r="Y399" s="54">
        <v>5.0</v>
      </c>
      <c r="Z399" s="34"/>
      <c r="AA399" s="34"/>
      <c r="AB399" s="34"/>
      <c r="AC399" s="34"/>
      <c r="AD399" s="34"/>
      <c r="AE399" s="34"/>
      <c r="AF399" s="35"/>
      <c r="AG399" s="35"/>
      <c r="AH399" s="36"/>
      <c r="AI399" s="37"/>
      <c r="AJ399" s="34"/>
      <c r="AK399" s="38"/>
      <c r="AL399" s="38"/>
      <c r="AM399" s="38"/>
      <c r="AN399" s="38"/>
      <c r="AO399" s="34"/>
      <c r="AP399" s="35"/>
    </row>
    <row r="400">
      <c r="A400" s="53" t="s">
        <v>1736</v>
      </c>
      <c r="B400" s="53" t="s">
        <v>1737</v>
      </c>
      <c r="C400" s="53" t="s">
        <v>1202</v>
      </c>
      <c r="D400" s="53" t="s">
        <v>1203</v>
      </c>
      <c r="E400" s="53" t="s">
        <v>1204</v>
      </c>
      <c r="F400" s="53" t="s">
        <v>47</v>
      </c>
      <c r="G400" s="53" t="s">
        <v>1205</v>
      </c>
      <c r="H400" s="53" t="s">
        <v>1206</v>
      </c>
      <c r="I400" s="53" t="s">
        <v>50</v>
      </c>
      <c r="J400" s="53" t="s">
        <v>51</v>
      </c>
      <c r="K400" s="73" t="s">
        <v>52</v>
      </c>
      <c r="L400" s="53" t="s">
        <v>53</v>
      </c>
      <c r="M400" s="53" t="s">
        <v>69</v>
      </c>
      <c r="N400" s="53" t="s">
        <v>55</v>
      </c>
      <c r="O400" s="53" t="s">
        <v>70</v>
      </c>
      <c r="P400" s="20" t="s">
        <v>1738</v>
      </c>
      <c r="Q400" s="21" t="s">
        <v>105</v>
      </c>
      <c r="R400" s="20" t="s">
        <v>142</v>
      </c>
      <c r="S400" s="20" t="s">
        <v>1739</v>
      </c>
      <c r="T400" s="22">
        <v>5.73013747962E11</v>
      </c>
      <c r="U400" s="53" t="s">
        <v>61</v>
      </c>
      <c r="V400" s="113"/>
      <c r="W400" s="113"/>
      <c r="X400" s="113"/>
      <c r="Y400" s="54">
        <v>5.0</v>
      </c>
      <c r="Z400" s="28"/>
      <c r="AA400" s="28"/>
      <c r="AB400" s="28"/>
      <c r="AC400" s="28"/>
      <c r="AD400" s="28"/>
      <c r="AE400" s="28"/>
      <c r="AF400" s="29"/>
      <c r="AG400" s="29"/>
      <c r="AH400" s="30"/>
      <c r="AI400" s="31"/>
      <c r="AJ400" s="28"/>
      <c r="AK400" s="32"/>
      <c r="AL400" s="32"/>
      <c r="AM400" s="32"/>
      <c r="AN400" s="32"/>
      <c r="AO400" s="28"/>
      <c r="AP400" s="29"/>
    </row>
    <row r="401">
      <c r="A401" s="53" t="s">
        <v>1740</v>
      </c>
      <c r="B401" s="53" t="s">
        <v>1741</v>
      </c>
      <c r="C401" s="53" t="s">
        <v>1202</v>
      </c>
      <c r="D401" s="53" t="s">
        <v>1203</v>
      </c>
      <c r="E401" s="53" t="s">
        <v>1204</v>
      </c>
      <c r="F401" s="53" t="s">
        <v>47</v>
      </c>
      <c r="G401" s="53" t="s">
        <v>1205</v>
      </c>
      <c r="H401" s="53" t="s">
        <v>1206</v>
      </c>
      <c r="I401" s="53" t="s">
        <v>50</v>
      </c>
      <c r="J401" s="53" t="s">
        <v>51</v>
      </c>
      <c r="K401" s="73" t="s">
        <v>52</v>
      </c>
      <c r="L401" s="53" t="s">
        <v>84</v>
      </c>
      <c r="M401" s="53" t="s">
        <v>54</v>
      </c>
      <c r="N401" s="53" t="s">
        <v>55</v>
      </c>
      <c r="O401" s="53" t="s">
        <v>70</v>
      </c>
      <c r="P401" s="20" t="s">
        <v>1742</v>
      </c>
      <c r="Q401" s="21" t="s">
        <v>72</v>
      </c>
      <c r="R401" s="20" t="s">
        <v>1743</v>
      </c>
      <c r="S401" s="20" t="s">
        <v>1744</v>
      </c>
      <c r="T401" s="22">
        <v>5.73046292726E11</v>
      </c>
      <c r="U401" s="53" t="s">
        <v>75</v>
      </c>
      <c r="V401" s="113"/>
      <c r="W401" s="113"/>
      <c r="X401" s="113"/>
      <c r="Y401" s="54">
        <v>5.0</v>
      </c>
      <c r="Z401" s="28"/>
      <c r="AA401" s="28"/>
      <c r="AB401" s="28"/>
      <c r="AC401" s="28"/>
      <c r="AD401" s="28"/>
      <c r="AE401" s="28"/>
      <c r="AF401" s="29"/>
      <c r="AG401" s="29"/>
      <c r="AH401" s="30"/>
      <c r="AI401" s="31"/>
      <c r="AJ401" s="28"/>
      <c r="AK401" s="32"/>
      <c r="AL401" s="32"/>
      <c r="AM401" s="32"/>
      <c r="AN401" s="32"/>
      <c r="AO401" s="28"/>
      <c r="AP401" s="29"/>
    </row>
    <row r="402">
      <c r="A402" s="53" t="s">
        <v>1745</v>
      </c>
      <c r="B402" s="53" t="s">
        <v>1746</v>
      </c>
      <c r="C402" s="53" t="s">
        <v>1202</v>
      </c>
      <c r="D402" s="53" t="s">
        <v>1203</v>
      </c>
      <c r="E402" s="53" t="s">
        <v>1204</v>
      </c>
      <c r="F402" s="53" t="s">
        <v>47</v>
      </c>
      <c r="G402" s="53" t="s">
        <v>1205</v>
      </c>
      <c r="H402" s="53" t="s">
        <v>1206</v>
      </c>
      <c r="I402" s="53" t="s">
        <v>50</v>
      </c>
      <c r="J402" s="53" t="s">
        <v>51</v>
      </c>
      <c r="K402" s="73" t="s">
        <v>52</v>
      </c>
      <c r="L402" s="53" t="s">
        <v>84</v>
      </c>
      <c r="M402" s="53" t="s">
        <v>54</v>
      </c>
      <c r="N402" s="53" t="s">
        <v>85</v>
      </c>
      <c r="O402" s="53" t="s">
        <v>56</v>
      </c>
      <c r="P402" s="8" t="s">
        <v>1747</v>
      </c>
      <c r="Q402" s="9" t="s">
        <v>122</v>
      </c>
      <c r="R402" s="9" t="s">
        <v>1748</v>
      </c>
      <c r="S402" s="8" t="s">
        <v>1749</v>
      </c>
      <c r="T402" s="10">
        <v>5.73024009204E11</v>
      </c>
      <c r="U402" s="53" t="s">
        <v>75</v>
      </c>
      <c r="V402" s="113"/>
      <c r="W402" s="113"/>
      <c r="X402" s="113"/>
      <c r="Y402" s="54" t="s">
        <v>62</v>
      </c>
      <c r="Z402" s="28"/>
      <c r="AA402" s="28"/>
      <c r="AB402" s="28"/>
      <c r="AC402" s="28"/>
      <c r="AD402" s="28"/>
      <c r="AE402" s="28"/>
      <c r="AF402" s="29"/>
      <c r="AG402" s="29"/>
      <c r="AH402" s="30"/>
      <c r="AI402" s="31"/>
      <c r="AJ402" s="28"/>
      <c r="AK402" s="32"/>
      <c r="AL402" s="32"/>
      <c r="AM402" s="32"/>
      <c r="AN402" s="32"/>
      <c r="AO402" s="28"/>
      <c r="AP402" s="29"/>
    </row>
    <row r="403">
      <c r="A403" s="53" t="s">
        <v>1750</v>
      </c>
      <c r="B403" s="53" t="s">
        <v>1751</v>
      </c>
      <c r="C403" s="53" t="s">
        <v>1202</v>
      </c>
      <c r="D403" s="53" t="s">
        <v>1203</v>
      </c>
      <c r="E403" s="53" t="s">
        <v>1204</v>
      </c>
      <c r="F403" s="53" t="s">
        <v>47</v>
      </c>
      <c r="G403" s="53" t="s">
        <v>1205</v>
      </c>
      <c r="H403" s="53" t="s">
        <v>1206</v>
      </c>
      <c r="I403" s="53" t="s">
        <v>50</v>
      </c>
      <c r="J403" s="53" t="s">
        <v>51</v>
      </c>
      <c r="K403" s="73" t="s">
        <v>52</v>
      </c>
      <c r="L403" s="53" t="s">
        <v>53</v>
      </c>
      <c r="M403" s="53" t="s">
        <v>69</v>
      </c>
      <c r="N403" s="53" t="s">
        <v>55</v>
      </c>
      <c r="O403" s="53" t="s">
        <v>70</v>
      </c>
      <c r="P403" s="20" t="s">
        <v>1752</v>
      </c>
      <c r="Q403" s="21" t="s">
        <v>58</v>
      </c>
      <c r="R403" s="20" t="s">
        <v>512</v>
      </c>
      <c r="S403" s="20" t="s">
        <v>1753</v>
      </c>
      <c r="T403" s="22">
        <v>5.73045900584E11</v>
      </c>
      <c r="U403" s="53" t="s">
        <v>61</v>
      </c>
      <c r="V403" s="113"/>
      <c r="W403" s="113"/>
      <c r="X403" s="113"/>
      <c r="Y403" s="54">
        <v>5.0</v>
      </c>
      <c r="Z403" s="28"/>
      <c r="AA403" s="28"/>
      <c r="AB403" s="28"/>
      <c r="AC403" s="28"/>
      <c r="AD403" s="28"/>
      <c r="AE403" s="28"/>
      <c r="AF403" s="29"/>
      <c r="AG403" s="29"/>
      <c r="AH403" s="30"/>
      <c r="AI403" s="31"/>
      <c r="AJ403" s="28"/>
      <c r="AK403" s="32"/>
      <c r="AL403" s="32"/>
      <c r="AM403" s="32"/>
      <c r="AN403" s="32"/>
      <c r="AO403" s="28"/>
      <c r="AP403" s="29"/>
    </row>
    <row r="404">
      <c r="A404" s="53" t="s">
        <v>1754</v>
      </c>
      <c r="B404" s="53" t="s">
        <v>1755</v>
      </c>
      <c r="C404" s="53" t="s">
        <v>1202</v>
      </c>
      <c r="D404" s="53" t="s">
        <v>1203</v>
      </c>
      <c r="E404" s="53" t="s">
        <v>1204</v>
      </c>
      <c r="F404" s="53" t="s">
        <v>47</v>
      </c>
      <c r="G404" s="53" t="s">
        <v>1205</v>
      </c>
      <c r="H404" s="53" t="s">
        <v>1206</v>
      </c>
      <c r="I404" s="53" t="s">
        <v>50</v>
      </c>
      <c r="J404" s="53" t="s">
        <v>51</v>
      </c>
      <c r="K404" s="73" t="s">
        <v>52</v>
      </c>
      <c r="L404" s="53" t="s">
        <v>53</v>
      </c>
      <c r="M404" s="53" t="s">
        <v>54</v>
      </c>
      <c r="N404" s="53" t="s">
        <v>55</v>
      </c>
      <c r="O404" s="53" t="s">
        <v>86</v>
      </c>
      <c r="P404" s="8" t="s">
        <v>317</v>
      </c>
      <c r="Q404" s="9" t="s">
        <v>105</v>
      </c>
      <c r="R404" s="8" t="s">
        <v>1756</v>
      </c>
      <c r="S404" s="8" t="s">
        <v>1757</v>
      </c>
      <c r="T404" s="10">
        <v>3.022809981E9</v>
      </c>
      <c r="U404" s="53" t="s">
        <v>61</v>
      </c>
      <c r="V404" s="113"/>
      <c r="W404" s="113"/>
      <c r="X404" s="113"/>
      <c r="Y404" s="99">
        <v>45779.0</v>
      </c>
      <c r="Z404" s="28"/>
      <c r="AA404" s="28"/>
      <c r="AB404" s="28"/>
      <c r="AC404" s="28"/>
      <c r="AD404" s="29"/>
      <c r="AE404" s="29"/>
      <c r="AF404" s="29"/>
      <c r="AG404" s="29"/>
      <c r="AH404" s="30"/>
      <c r="AI404" s="31"/>
      <c r="AJ404" s="28"/>
      <c r="AK404" s="32"/>
      <c r="AL404" s="32"/>
      <c r="AM404" s="32"/>
      <c r="AN404" s="32"/>
      <c r="AO404" s="28"/>
      <c r="AP404" s="29"/>
    </row>
    <row r="405">
      <c r="A405" s="53" t="s">
        <v>1758</v>
      </c>
      <c r="B405" s="53" t="s">
        <v>1759</v>
      </c>
      <c r="C405" s="53" t="s">
        <v>1202</v>
      </c>
      <c r="D405" s="53" t="s">
        <v>1203</v>
      </c>
      <c r="E405" s="53" t="s">
        <v>1204</v>
      </c>
      <c r="F405" s="53" t="s">
        <v>47</v>
      </c>
      <c r="G405" s="53" t="s">
        <v>1205</v>
      </c>
      <c r="H405" s="53" t="s">
        <v>1206</v>
      </c>
      <c r="I405" s="53" t="s">
        <v>50</v>
      </c>
      <c r="J405" s="53" t="s">
        <v>51</v>
      </c>
      <c r="K405" s="73" t="s">
        <v>52</v>
      </c>
      <c r="L405" s="53" t="s">
        <v>84</v>
      </c>
      <c r="M405" s="53" t="s">
        <v>54</v>
      </c>
      <c r="N405" s="53" t="s">
        <v>85</v>
      </c>
      <c r="O405" s="53" t="s">
        <v>86</v>
      </c>
      <c r="P405" s="8" t="s">
        <v>57</v>
      </c>
      <c r="Q405" s="9" t="s">
        <v>72</v>
      </c>
      <c r="R405" s="8" t="s">
        <v>458</v>
      </c>
      <c r="S405" s="8" t="s">
        <v>1760</v>
      </c>
      <c r="T405" s="10">
        <v>5.73203436875E11</v>
      </c>
      <c r="U405" s="53" t="s">
        <v>75</v>
      </c>
      <c r="V405" s="113"/>
      <c r="W405" s="113"/>
      <c r="X405" s="113"/>
      <c r="Y405" s="99">
        <v>45779.0</v>
      </c>
      <c r="Z405" s="28"/>
      <c r="AA405" s="28"/>
      <c r="AB405" s="28"/>
      <c r="AC405" s="28"/>
      <c r="AD405" s="28"/>
      <c r="AE405" s="28"/>
      <c r="AF405" s="29"/>
      <c r="AG405" s="29"/>
      <c r="AH405" s="30"/>
      <c r="AI405" s="31"/>
      <c r="AJ405" s="28"/>
      <c r="AK405" s="32"/>
      <c r="AL405" s="32"/>
      <c r="AM405" s="32"/>
      <c r="AN405" s="32"/>
      <c r="AO405" s="28"/>
      <c r="AP405" s="29"/>
    </row>
    <row r="406">
      <c r="A406" s="53" t="s">
        <v>1761</v>
      </c>
      <c r="B406" s="53" t="s">
        <v>1762</v>
      </c>
      <c r="C406" s="53" t="s">
        <v>1202</v>
      </c>
      <c r="D406" s="53" t="s">
        <v>1203</v>
      </c>
      <c r="E406" s="53" t="s">
        <v>1204</v>
      </c>
      <c r="F406" s="53" t="s">
        <v>47</v>
      </c>
      <c r="G406" s="53" t="s">
        <v>1205</v>
      </c>
      <c r="H406" s="53" t="s">
        <v>1206</v>
      </c>
      <c r="I406" s="53" t="s">
        <v>50</v>
      </c>
      <c r="J406" s="53" t="s">
        <v>51</v>
      </c>
      <c r="K406" s="73" t="s">
        <v>52</v>
      </c>
      <c r="L406" s="53" t="s">
        <v>84</v>
      </c>
      <c r="M406" s="53" t="s">
        <v>69</v>
      </c>
      <c r="N406" s="53" t="s">
        <v>85</v>
      </c>
      <c r="O406" s="53" t="s">
        <v>70</v>
      </c>
      <c r="P406" s="20" t="s">
        <v>1763</v>
      </c>
      <c r="Q406" s="21" t="s">
        <v>111</v>
      </c>
      <c r="R406" s="20" t="s">
        <v>1499</v>
      </c>
      <c r="S406" s="20" t="s">
        <v>1764</v>
      </c>
      <c r="T406" s="22">
        <v>5.73138809284E11</v>
      </c>
      <c r="U406" s="53" t="s">
        <v>75</v>
      </c>
      <c r="V406" s="113"/>
      <c r="W406" s="113"/>
      <c r="X406" s="113"/>
      <c r="Y406" s="54">
        <v>5.0</v>
      </c>
      <c r="Z406" s="13"/>
      <c r="AA406" s="13"/>
      <c r="AB406" s="13"/>
      <c r="AC406" s="13"/>
      <c r="AD406" s="13"/>
      <c r="AE406" s="13"/>
      <c r="AF406" s="14"/>
      <c r="AG406" s="14"/>
      <c r="AH406" s="15"/>
      <c r="AI406" s="16"/>
      <c r="AJ406" s="13"/>
      <c r="AK406" s="17"/>
      <c r="AL406" s="17"/>
      <c r="AM406" s="17"/>
      <c r="AN406" s="17"/>
      <c r="AO406" s="13"/>
      <c r="AP406" s="14"/>
    </row>
    <row r="407">
      <c r="A407" s="53" t="s">
        <v>1765</v>
      </c>
      <c r="B407" s="53" t="s">
        <v>1766</v>
      </c>
      <c r="C407" s="53" t="s">
        <v>1202</v>
      </c>
      <c r="D407" s="53" t="s">
        <v>1203</v>
      </c>
      <c r="E407" s="53" t="s">
        <v>1204</v>
      </c>
      <c r="F407" s="53" t="s">
        <v>47</v>
      </c>
      <c r="G407" s="53" t="s">
        <v>1205</v>
      </c>
      <c r="H407" s="53" t="s">
        <v>1206</v>
      </c>
      <c r="I407" s="53" t="s">
        <v>50</v>
      </c>
      <c r="J407" s="53" t="s">
        <v>51</v>
      </c>
      <c r="K407" s="73" t="s">
        <v>52</v>
      </c>
      <c r="L407" s="53" t="s">
        <v>84</v>
      </c>
      <c r="M407" s="53" t="s">
        <v>54</v>
      </c>
      <c r="N407" s="53" t="s">
        <v>85</v>
      </c>
      <c r="O407" s="53" t="s">
        <v>70</v>
      </c>
      <c r="P407" s="20" t="s">
        <v>1555</v>
      </c>
      <c r="Q407" s="21" t="s">
        <v>487</v>
      </c>
      <c r="R407" s="21" t="s">
        <v>58</v>
      </c>
      <c r="S407" s="20" t="s">
        <v>1767</v>
      </c>
      <c r="T407" s="22">
        <v>5.7317621427E11</v>
      </c>
      <c r="U407" s="53" t="s">
        <v>75</v>
      </c>
      <c r="V407" s="113"/>
      <c r="W407" s="113"/>
      <c r="X407" s="113"/>
      <c r="Y407" s="54">
        <v>5.0</v>
      </c>
      <c r="Z407" s="28"/>
      <c r="AA407" s="28"/>
      <c r="AB407" s="28"/>
      <c r="AC407" s="28"/>
      <c r="AD407" s="28"/>
      <c r="AE407" s="28"/>
      <c r="AF407" s="29"/>
      <c r="AG407" s="29"/>
      <c r="AH407" s="30"/>
      <c r="AI407" s="31"/>
      <c r="AJ407" s="28"/>
      <c r="AK407" s="32"/>
      <c r="AL407" s="32"/>
      <c r="AM407" s="32"/>
      <c r="AN407" s="32"/>
      <c r="AO407" s="28"/>
      <c r="AP407" s="29"/>
    </row>
    <row r="408">
      <c r="A408" s="53" t="s">
        <v>1768</v>
      </c>
      <c r="B408" s="53" t="s">
        <v>1769</v>
      </c>
      <c r="C408" s="53" t="s">
        <v>1202</v>
      </c>
      <c r="D408" s="53" t="s">
        <v>1203</v>
      </c>
      <c r="E408" s="53" t="s">
        <v>1204</v>
      </c>
      <c r="F408" s="53" t="s">
        <v>47</v>
      </c>
      <c r="G408" s="53" t="s">
        <v>1205</v>
      </c>
      <c r="H408" s="53" t="s">
        <v>1206</v>
      </c>
      <c r="I408" s="53" t="s">
        <v>50</v>
      </c>
      <c r="J408" s="53" t="s">
        <v>51</v>
      </c>
      <c r="K408" s="73" t="s">
        <v>52</v>
      </c>
      <c r="L408" s="53" t="s">
        <v>53</v>
      </c>
      <c r="M408" s="53" t="s">
        <v>69</v>
      </c>
      <c r="N408" s="53" t="s">
        <v>55</v>
      </c>
      <c r="O408" s="53" t="s">
        <v>70</v>
      </c>
      <c r="P408" s="20" t="s">
        <v>127</v>
      </c>
      <c r="Q408" s="21" t="s">
        <v>111</v>
      </c>
      <c r="R408" s="20" t="s">
        <v>148</v>
      </c>
      <c r="S408" s="20" t="s">
        <v>1770</v>
      </c>
      <c r="T408" s="22">
        <v>5.73209903418E11</v>
      </c>
      <c r="U408" s="53" t="s">
        <v>75</v>
      </c>
      <c r="V408" s="113"/>
      <c r="W408" s="113"/>
      <c r="X408" s="113"/>
      <c r="Y408" s="54">
        <v>5.0</v>
      </c>
      <c r="Z408" s="13"/>
      <c r="AA408" s="13"/>
      <c r="AB408" s="13"/>
      <c r="AC408" s="13"/>
      <c r="AD408" s="13"/>
      <c r="AE408" s="13"/>
      <c r="AF408" s="14"/>
      <c r="AG408" s="14"/>
      <c r="AH408" s="15"/>
      <c r="AI408" s="16"/>
      <c r="AJ408" s="13"/>
      <c r="AK408" s="17"/>
      <c r="AL408" s="17"/>
      <c r="AM408" s="17"/>
      <c r="AN408" s="17"/>
      <c r="AO408" s="13"/>
      <c r="AP408" s="14"/>
    </row>
    <row r="409">
      <c r="A409" s="53" t="s">
        <v>1771</v>
      </c>
      <c r="B409" s="53" t="s">
        <v>1772</v>
      </c>
      <c r="C409" s="53" t="s">
        <v>983</v>
      </c>
      <c r="D409" s="53" t="s">
        <v>1080</v>
      </c>
      <c r="E409" s="53" t="s">
        <v>985</v>
      </c>
      <c r="F409" s="53" t="s">
        <v>47</v>
      </c>
      <c r="G409" s="53" t="s">
        <v>986</v>
      </c>
      <c r="H409" s="53" t="s">
        <v>987</v>
      </c>
      <c r="I409" s="53" t="s">
        <v>50</v>
      </c>
      <c r="J409" s="53" t="s">
        <v>51</v>
      </c>
      <c r="K409" s="73" t="s">
        <v>52</v>
      </c>
      <c r="L409" s="53" t="s">
        <v>53</v>
      </c>
      <c r="M409" s="53" t="s">
        <v>54</v>
      </c>
      <c r="N409" s="53" t="s">
        <v>55</v>
      </c>
      <c r="O409" s="53" t="s">
        <v>70</v>
      </c>
      <c r="P409" s="20" t="s">
        <v>57</v>
      </c>
      <c r="Q409" s="21" t="s">
        <v>111</v>
      </c>
      <c r="R409" s="20" t="s">
        <v>117</v>
      </c>
      <c r="S409" s="20" t="s">
        <v>1773</v>
      </c>
      <c r="T409" s="22">
        <v>5.73005861776E11</v>
      </c>
      <c r="U409" s="53" t="s">
        <v>61</v>
      </c>
      <c r="V409" s="113"/>
      <c r="W409" s="113"/>
      <c r="X409" s="113"/>
      <c r="Y409" s="54">
        <v>5.0</v>
      </c>
      <c r="Z409" s="28"/>
      <c r="AA409" s="28"/>
      <c r="AB409" s="28"/>
      <c r="AC409" s="28"/>
      <c r="AD409" s="28"/>
      <c r="AE409" s="28"/>
      <c r="AF409" s="29"/>
      <c r="AG409" s="29"/>
      <c r="AH409" s="30"/>
      <c r="AI409" s="31"/>
      <c r="AJ409" s="28"/>
      <c r="AK409" s="32"/>
      <c r="AL409" s="32"/>
      <c r="AM409" s="32"/>
      <c r="AN409" s="32"/>
      <c r="AO409" s="28"/>
      <c r="AP409" s="29"/>
    </row>
    <row r="410">
      <c r="A410" s="53" t="s">
        <v>1774</v>
      </c>
      <c r="B410" s="53" t="s">
        <v>1775</v>
      </c>
      <c r="C410" s="53" t="s">
        <v>1202</v>
      </c>
      <c r="D410" s="53" t="s">
        <v>1203</v>
      </c>
      <c r="E410" s="53" t="s">
        <v>1204</v>
      </c>
      <c r="F410" s="53" t="s">
        <v>47</v>
      </c>
      <c r="G410" s="53" t="s">
        <v>1205</v>
      </c>
      <c r="H410" s="53" t="s">
        <v>1206</v>
      </c>
      <c r="I410" s="53" t="s">
        <v>50</v>
      </c>
      <c r="J410" s="53" t="s">
        <v>51</v>
      </c>
      <c r="K410" s="73" t="s">
        <v>52</v>
      </c>
      <c r="L410" s="53" t="s">
        <v>53</v>
      </c>
      <c r="M410" s="53" t="s">
        <v>69</v>
      </c>
      <c r="N410" s="53" t="s">
        <v>137</v>
      </c>
      <c r="O410" s="53" t="s">
        <v>70</v>
      </c>
      <c r="P410" s="20" t="s">
        <v>232</v>
      </c>
      <c r="Q410" s="21" t="s">
        <v>58</v>
      </c>
      <c r="R410" s="20" t="s">
        <v>223</v>
      </c>
      <c r="S410" s="20" t="s">
        <v>1776</v>
      </c>
      <c r="T410" s="22">
        <v>5.73046478235E11</v>
      </c>
      <c r="U410" s="53" t="s">
        <v>75</v>
      </c>
      <c r="V410" s="113"/>
      <c r="W410" s="113"/>
      <c r="X410" s="113"/>
      <c r="Y410" s="54">
        <v>5.0</v>
      </c>
      <c r="Z410" s="40"/>
      <c r="AA410" s="40"/>
      <c r="AB410" s="40"/>
      <c r="AC410" s="40"/>
      <c r="AD410" s="40"/>
      <c r="AE410" s="40"/>
      <c r="AF410" s="41"/>
      <c r="AG410" s="41"/>
      <c r="AH410" s="42"/>
      <c r="AI410" s="42"/>
      <c r="AJ410" s="40"/>
      <c r="AK410" s="43"/>
      <c r="AL410" s="43"/>
      <c r="AM410" s="43"/>
      <c r="AN410" s="43"/>
      <c r="AO410" s="40"/>
      <c r="AP410" s="41"/>
    </row>
    <row r="411">
      <c r="A411" s="53" t="s">
        <v>1777</v>
      </c>
      <c r="B411" s="53" t="s">
        <v>1778</v>
      </c>
      <c r="C411" s="53" t="s">
        <v>1202</v>
      </c>
      <c r="D411" s="53" t="s">
        <v>1203</v>
      </c>
      <c r="E411" s="53" t="s">
        <v>1204</v>
      </c>
      <c r="F411" s="53" t="s">
        <v>47</v>
      </c>
      <c r="G411" s="53" t="s">
        <v>1205</v>
      </c>
      <c r="H411" s="53" t="s">
        <v>1206</v>
      </c>
      <c r="I411" s="53" t="s">
        <v>50</v>
      </c>
      <c r="J411" s="53" t="s">
        <v>51</v>
      </c>
      <c r="K411" s="73" t="s">
        <v>52</v>
      </c>
      <c r="L411" s="53" t="s">
        <v>53</v>
      </c>
      <c r="M411" s="53" t="s">
        <v>69</v>
      </c>
      <c r="N411" s="53" t="s">
        <v>137</v>
      </c>
      <c r="O411" s="53" t="s">
        <v>70</v>
      </c>
      <c r="P411" s="20" t="s">
        <v>474</v>
      </c>
      <c r="Q411" s="21" t="s">
        <v>735</v>
      </c>
      <c r="R411" s="20" t="s">
        <v>278</v>
      </c>
      <c r="S411" s="20" t="s">
        <v>1779</v>
      </c>
      <c r="T411" s="22">
        <v>5.73173681216E11</v>
      </c>
      <c r="U411" s="53" t="s">
        <v>75</v>
      </c>
      <c r="V411" s="113"/>
      <c r="W411" s="113"/>
      <c r="X411" s="113"/>
      <c r="Y411" s="54">
        <v>5.0</v>
      </c>
      <c r="Z411" s="28"/>
      <c r="AA411" s="28"/>
      <c r="AB411" s="28"/>
      <c r="AC411" s="28"/>
      <c r="AD411" s="28"/>
      <c r="AE411" s="28"/>
      <c r="AF411" s="29"/>
      <c r="AG411" s="29"/>
      <c r="AH411" s="30"/>
      <c r="AI411" s="31"/>
      <c r="AJ411" s="28"/>
      <c r="AK411" s="32"/>
      <c r="AL411" s="32"/>
      <c r="AM411" s="32"/>
      <c r="AN411" s="32"/>
      <c r="AO411" s="28"/>
      <c r="AP411" s="29"/>
    </row>
    <row r="412">
      <c r="A412" s="53" t="s">
        <v>1780</v>
      </c>
      <c r="B412" s="53" t="s">
        <v>1781</v>
      </c>
      <c r="C412" s="53" t="s">
        <v>1202</v>
      </c>
      <c r="D412" s="53" t="s">
        <v>1203</v>
      </c>
      <c r="E412" s="53" t="s">
        <v>1204</v>
      </c>
      <c r="F412" s="53" t="s">
        <v>47</v>
      </c>
      <c r="G412" s="53" t="s">
        <v>1205</v>
      </c>
      <c r="H412" s="53" t="s">
        <v>1206</v>
      </c>
      <c r="I412" s="53" t="s">
        <v>50</v>
      </c>
      <c r="J412" s="53" t="s">
        <v>51</v>
      </c>
      <c r="K412" s="73" t="s">
        <v>52</v>
      </c>
      <c r="L412" s="53" t="s">
        <v>53</v>
      </c>
      <c r="M412" s="53" t="s">
        <v>69</v>
      </c>
      <c r="N412" s="53" t="s">
        <v>55</v>
      </c>
      <c r="O412" s="53" t="s">
        <v>70</v>
      </c>
      <c r="P412" s="20" t="s">
        <v>936</v>
      </c>
      <c r="Q412" s="20" t="s">
        <v>1782</v>
      </c>
      <c r="R412" s="21" t="s">
        <v>1783</v>
      </c>
      <c r="S412" s="20" t="s">
        <v>1784</v>
      </c>
      <c r="T412" s="22">
        <v>5.73002153576E11</v>
      </c>
      <c r="U412" s="53" t="s">
        <v>75</v>
      </c>
      <c r="V412" s="113"/>
      <c r="W412" s="113"/>
      <c r="X412" s="113"/>
      <c r="Y412" s="54">
        <v>5.0</v>
      </c>
      <c r="Z412" s="28"/>
      <c r="AA412" s="28"/>
      <c r="AB412" s="28"/>
      <c r="AC412" s="28"/>
      <c r="AD412" s="28"/>
      <c r="AE412" s="28"/>
      <c r="AF412" s="29"/>
      <c r="AG412" s="29"/>
      <c r="AH412" s="30"/>
      <c r="AI412" s="31"/>
      <c r="AJ412" s="28"/>
      <c r="AK412" s="32"/>
      <c r="AL412" s="32"/>
      <c r="AM412" s="32"/>
      <c r="AN412" s="32"/>
      <c r="AO412" s="28"/>
      <c r="AP412" s="29"/>
    </row>
    <row r="413">
      <c r="A413" s="53" t="s">
        <v>1785</v>
      </c>
      <c r="B413" s="53" t="s">
        <v>1786</v>
      </c>
      <c r="C413" s="53" t="s">
        <v>1202</v>
      </c>
      <c r="D413" s="53" t="s">
        <v>1203</v>
      </c>
      <c r="E413" s="53" t="s">
        <v>1204</v>
      </c>
      <c r="F413" s="53" t="s">
        <v>47</v>
      </c>
      <c r="G413" s="53" t="s">
        <v>1205</v>
      </c>
      <c r="H413" s="53" t="s">
        <v>1206</v>
      </c>
      <c r="I413" s="53" t="s">
        <v>50</v>
      </c>
      <c r="J413" s="53" t="s">
        <v>51</v>
      </c>
      <c r="K413" s="73" t="s">
        <v>52</v>
      </c>
      <c r="L413" s="53" t="s">
        <v>84</v>
      </c>
      <c r="M413" s="53" t="s">
        <v>69</v>
      </c>
      <c r="N413" s="53" t="s">
        <v>55</v>
      </c>
      <c r="O413" s="53" t="s">
        <v>70</v>
      </c>
      <c r="P413" s="20" t="s">
        <v>649</v>
      </c>
      <c r="Q413" s="21" t="s">
        <v>111</v>
      </c>
      <c r="R413" s="20" t="s">
        <v>1787</v>
      </c>
      <c r="S413" s="20" t="s">
        <v>1788</v>
      </c>
      <c r="T413" s="22">
        <v>5.73013210582E11</v>
      </c>
      <c r="U413" s="53" t="s">
        <v>75</v>
      </c>
      <c r="V413" s="113"/>
      <c r="W413" s="113"/>
      <c r="X413" s="113"/>
      <c r="Y413" s="54">
        <v>5.0</v>
      </c>
      <c r="Z413" s="13"/>
      <c r="AA413" s="13"/>
      <c r="AB413" s="13"/>
      <c r="AC413" s="13"/>
      <c r="AD413" s="13"/>
      <c r="AE413" s="13"/>
      <c r="AF413" s="14"/>
      <c r="AG413" s="14"/>
      <c r="AH413" s="15"/>
      <c r="AI413" s="16"/>
      <c r="AJ413" s="13"/>
      <c r="AK413" s="17"/>
      <c r="AL413" s="17"/>
      <c r="AM413" s="17"/>
      <c r="AN413" s="17"/>
      <c r="AO413" s="13"/>
      <c r="AP413" s="14"/>
    </row>
    <row r="414">
      <c r="A414" s="53" t="s">
        <v>1789</v>
      </c>
      <c r="B414" s="53" t="s">
        <v>1790</v>
      </c>
      <c r="C414" s="53" t="s">
        <v>1202</v>
      </c>
      <c r="D414" s="53" t="s">
        <v>1203</v>
      </c>
      <c r="E414" s="53" t="s">
        <v>1204</v>
      </c>
      <c r="F414" s="53" t="s">
        <v>47</v>
      </c>
      <c r="G414" s="53" t="s">
        <v>1205</v>
      </c>
      <c r="H414" s="53" t="s">
        <v>1206</v>
      </c>
      <c r="I414" s="53" t="s">
        <v>50</v>
      </c>
      <c r="J414" s="53" t="s">
        <v>51</v>
      </c>
      <c r="K414" s="73" t="s">
        <v>52</v>
      </c>
      <c r="L414" s="53" t="s">
        <v>53</v>
      </c>
      <c r="M414" s="53" t="s">
        <v>69</v>
      </c>
      <c r="N414" s="53" t="s">
        <v>55</v>
      </c>
      <c r="O414" s="53" t="s">
        <v>70</v>
      </c>
      <c r="P414" s="20" t="s">
        <v>1791</v>
      </c>
      <c r="Q414" s="21" t="s">
        <v>111</v>
      </c>
      <c r="R414" s="20" t="s">
        <v>1792</v>
      </c>
      <c r="S414" s="20" t="s">
        <v>1793</v>
      </c>
      <c r="T414" s="22">
        <v>5.73008680796E11</v>
      </c>
      <c r="U414" s="53" t="s">
        <v>61</v>
      </c>
      <c r="V414" s="113"/>
      <c r="W414" s="113"/>
      <c r="X414" s="113"/>
      <c r="Y414" s="54">
        <v>5.0</v>
      </c>
      <c r="Z414" s="28"/>
      <c r="AA414" s="28"/>
      <c r="AB414" s="28"/>
      <c r="AC414" s="28"/>
      <c r="AD414" s="28"/>
      <c r="AE414" s="28"/>
      <c r="AF414" s="29"/>
      <c r="AG414" s="29"/>
      <c r="AH414" s="30"/>
      <c r="AI414" s="31"/>
      <c r="AJ414" s="28"/>
      <c r="AK414" s="32"/>
      <c r="AL414" s="32"/>
      <c r="AM414" s="32"/>
      <c r="AN414" s="32"/>
      <c r="AO414" s="28"/>
      <c r="AP414" s="29"/>
    </row>
    <row r="415">
      <c r="A415" s="53" t="s">
        <v>1794</v>
      </c>
      <c r="B415" s="53" t="s">
        <v>1795</v>
      </c>
      <c r="C415" s="53" t="s">
        <v>1202</v>
      </c>
      <c r="D415" s="53" t="s">
        <v>1203</v>
      </c>
      <c r="E415" s="53" t="s">
        <v>1204</v>
      </c>
      <c r="F415" s="53" t="s">
        <v>47</v>
      </c>
      <c r="G415" s="53" t="s">
        <v>1205</v>
      </c>
      <c r="H415" s="53" t="s">
        <v>1206</v>
      </c>
      <c r="I415" s="53" t="s">
        <v>50</v>
      </c>
      <c r="J415" s="53" t="s">
        <v>51</v>
      </c>
      <c r="K415" s="73" t="s">
        <v>52</v>
      </c>
      <c r="L415" s="53" t="s">
        <v>53</v>
      </c>
      <c r="M415" s="53" t="s">
        <v>69</v>
      </c>
      <c r="N415" s="53" t="s">
        <v>55</v>
      </c>
      <c r="O415" s="53" t="s">
        <v>70</v>
      </c>
      <c r="P415" s="20" t="s">
        <v>110</v>
      </c>
      <c r="Q415" s="21" t="s">
        <v>111</v>
      </c>
      <c r="R415" s="20" t="s">
        <v>1256</v>
      </c>
      <c r="S415" s="20" t="s">
        <v>1796</v>
      </c>
      <c r="T415" s="22">
        <v>5.73114248185E11</v>
      </c>
      <c r="U415" s="53" t="s">
        <v>75</v>
      </c>
      <c r="V415" s="113"/>
      <c r="W415" s="113"/>
      <c r="X415" s="113"/>
      <c r="Y415" s="54">
        <v>5.0</v>
      </c>
      <c r="Z415" s="28"/>
      <c r="AA415" s="28"/>
      <c r="AB415" s="28"/>
      <c r="AC415" s="28"/>
      <c r="AD415" s="28"/>
      <c r="AE415" s="28"/>
      <c r="AF415" s="29"/>
      <c r="AG415" s="29"/>
      <c r="AH415" s="30"/>
      <c r="AI415" s="31"/>
      <c r="AJ415" s="28"/>
      <c r="AK415" s="32"/>
      <c r="AL415" s="32"/>
      <c r="AM415" s="32"/>
      <c r="AN415" s="32"/>
      <c r="AO415" s="28"/>
      <c r="AP415" s="29"/>
    </row>
    <row r="416">
      <c r="A416" s="53" t="s">
        <v>1797</v>
      </c>
      <c r="B416" s="53" t="s">
        <v>1798</v>
      </c>
      <c r="C416" s="53" t="s">
        <v>1202</v>
      </c>
      <c r="D416" s="53" t="s">
        <v>1203</v>
      </c>
      <c r="E416" s="53" t="s">
        <v>1204</v>
      </c>
      <c r="F416" s="53" t="s">
        <v>47</v>
      </c>
      <c r="G416" s="53" t="s">
        <v>1205</v>
      </c>
      <c r="H416" s="53" t="s">
        <v>1206</v>
      </c>
      <c r="I416" s="53" t="s">
        <v>50</v>
      </c>
      <c r="J416" s="53" t="s">
        <v>51</v>
      </c>
      <c r="K416" s="73" t="s">
        <v>52</v>
      </c>
      <c r="L416" s="53" t="s">
        <v>53</v>
      </c>
      <c r="M416" s="53" t="s">
        <v>54</v>
      </c>
      <c r="N416" s="53" t="s">
        <v>85</v>
      </c>
      <c r="O416" s="53" t="s">
        <v>70</v>
      </c>
      <c r="P416" s="20" t="s">
        <v>996</v>
      </c>
      <c r="Q416" s="21" t="s">
        <v>111</v>
      </c>
      <c r="R416" s="20" t="s">
        <v>148</v>
      </c>
      <c r="S416" s="20" t="s">
        <v>1799</v>
      </c>
      <c r="T416" s="22">
        <v>5.73108994349E11</v>
      </c>
      <c r="U416" s="53" t="s">
        <v>61</v>
      </c>
      <c r="V416" s="113"/>
      <c r="W416" s="113"/>
      <c r="X416" s="113"/>
      <c r="Y416" s="54">
        <v>5.0</v>
      </c>
      <c r="Z416" s="28"/>
      <c r="AA416" s="28"/>
      <c r="AB416" s="28"/>
      <c r="AC416" s="28"/>
      <c r="AD416" s="28"/>
      <c r="AE416" s="28"/>
      <c r="AF416" s="29"/>
      <c r="AG416" s="29"/>
      <c r="AH416" s="30"/>
      <c r="AI416" s="31"/>
      <c r="AJ416" s="28"/>
      <c r="AK416" s="32"/>
      <c r="AL416" s="32"/>
      <c r="AM416" s="32"/>
      <c r="AN416" s="32"/>
      <c r="AO416" s="28"/>
      <c r="AP416" s="29"/>
    </row>
    <row r="417">
      <c r="A417" s="53" t="s">
        <v>1800</v>
      </c>
      <c r="B417" s="53" t="s">
        <v>1801</v>
      </c>
      <c r="C417" s="53" t="s">
        <v>1202</v>
      </c>
      <c r="D417" s="53" t="s">
        <v>1203</v>
      </c>
      <c r="E417" s="53" t="s">
        <v>1204</v>
      </c>
      <c r="F417" s="53" t="s">
        <v>47</v>
      </c>
      <c r="G417" s="53" t="s">
        <v>1205</v>
      </c>
      <c r="H417" s="53" t="s">
        <v>1206</v>
      </c>
      <c r="I417" s="53" t="s">
        <v>50</v>
      </c>
      <c r="J417" s="53" t="s">
        <v>51</v>
      </c>
      <c r="K417" s="73" t="s">
        <v>52</v>
      </c>
      <c r="L417" s="53" t="s">
        <v>53</v>
      </c>
      <c r="M417" s="53" t="s">
        <v>54</v>
      </c>
      <c r="N417" s="53" t="s">
        <v>85</v>
      </c>
      <c r="O417" s="53" t="s">
        <v>70</v>
      </c>
      <c r="P417" s="20" t="s">
        <v>141</v>
      </c>
      <c r="Q417" s="21" t="s">
        <v>94</v>
      </c>
      <c r="R417" s="20" t="s">
        <v>304</v>
      </c>
      <c r="S417" s="20" t="s">
        <v>1802</v>
      </c>
      <c r="T417" s="22">
        <v>5.73228387531E11</v>
      </c>
      <c r="U417" s="53" t="s">
        <v>61</v>
      </c>
      <c r="V417" s="113"/>
      <c r="W417" s="113"/>
      <c r="X417" s="113"/>
      <c r="Y417" s="54">
        <v>5.0</v>
      </c>
      <c r="Z417" s="28"/>
      <c r="AA417" s="28"/>
      <c r="AB417" s="28"/>
      <c r="AC417" s="28"/>
      <c r="AD417" s="28"/>
      <c r="AE417" s="28"/>
      <c r="AF417" s="29"/>
      <c r="AG417" s="29"/>
      <c r="AH417" s="30"/>
      <c r="AI417" s="31"/>
      <c r="AJ417" s="28"/>
      <c r="AK417" s="32"/>
      <c r="AL417" s="32"/>
      <c r="AM417" s="32"/>
      <c r="AN417" s="32"/>
      <c r="AO417" s="28"/>
      <c r="AP417" s="29"/>
    </row>
    <row r="418">
      <c r="A418" s="53" t="s">
        <v>1803</v>
      </c>
      <c r="B418" s="53" t="s">
        <v>1804</v>
      </c>
      <c r="C418" s="53" t="s">
        <v>1202</v>
      </c>
      <c r="D418" s="53" t="s">
        <v>1203</v>
      </c>
      <c r="E418" s="53" t="s">
        <v>1204</v>
      </c>
      <c r="F418" s="53" t="s">
        <v>47</v>
      </c>
      <c r="G418" s="53" t="s">
        <v>1205</v>
      </c>
      <c r="H418" s="53" t="s">
        <v>1206</v>
      </c>
      <c r="I418" s="53" t="s">
        <v>50</v>
      </c>
      <c r="J418" s="53" t="s">
        <v>51</v>
      </c>
      <c r="K418" s="73" t="s">
        <v>52</v>
      </c>
      <c r="L418" s="53" t="s">
        <v>53</v>
      </c>
      <c r="M418" s="53" t="s">
        <v>69</v>
      </c>
      <c r="N418" s="53" t="s">
        <v>55</v>
      </c>
      <c r="O418" s="53" t="s">
        <v>70</v>
      </c>
      <c r="P418" s="20" t="s">
        <v>308</v>
      </c>
      <c r="Q418" s="21" t="s">
        <v>72</v>
      </c>
      <c r="R418" s="20" t="s">
        <v>117</v>
      </c>
      <c r="S418" s="20" t="s">
        <v>1805</v>
      </c>
      <c r="T418" s="22">
        <v>5.73167493101E11</v>
      </c>
      <c r="U418" s="53" t="s">
        <v>61</v>
      </c>
      <c r="V418" s="113"/>
      <c r="W418" s="113"/>
      <c r="X418" s="113"/>
      <c r="Y418" s="54">
        <v>5.0</v>
      </c>
      <c r="Z418" s="28"/>
      <c r="AA418" s="28"/>
      <c r="AB418" s="28"/>
      <c r="AC418" s="28"/>
      <c r="AD418" s="28"/>
      <c r="AE418" s="28"/>
      <c r="AF418" s="29"/>
      <c r="AG418" s="29"/>
      <c r="AH418" s="30"/>
      <c r="AI418" s="31"/>
      <c r="AJ418" s="28"/>
      <c r="AK418" s="32"/>
      <c r="AL418" s="32"/>
      <c r="AM418" s="32"/>
      <c r="AN418" s="32"/>
      <c r="AO418" s="28"/>
      <c r="AP418" s="29"/>
    </row>
    <row r="419">
      <c r="A419" s="53" t="s">
        <v>1806</v>
      </c>
      <c r="B419" s="53" t="s">
        <v>1807</v>
      </c>
      <c r="C419" s="53" t="s">
        <v>1202</v>
      </c>
      <c r="D419" s="53" t="s">
        <v>1203</v>
      </c>
      <c r="E419" s="53" t="s">
        <v>1204</v>
      </c>
      <c r="F419" s="53" t="s">
        <v>47</v>
      </c>
      <c r="G419" s="53" t="s">
        <v>1205</v>
      </c>
      <c r="H419" s="53" t="s">
        <v>1206</v>
      </c>
      <c r="I419" s="53" t="s">
        <v>50</v>
      </c>
      <c r="J419" s="53" t="s">
        <v>51</v>
      </c>
      <c r="K419" s="73" t="s">
        <v>52</v>
      </c>
      <c r="L419" s="53" t="s">
        <v>53</v>
      </c>
      <c r="M419" s="53" t="s">
        <v>54</v>
      </c>
      <c r="N419" s="53" t="s">
        <v>55</v>
      </c>
      <c r="O419" s="53" t="s">
        <v>70</v>
      </c>
      <c r="P419" s="20" t="s">
        <v>1808</v>
      </c>
      <c r="Q419" s="21" t="s">
        <v>94</v>
      </c>
      <c r="R419" s="20" t="s">
        <v>650</v>
      </c>
      <c r="S419" s="20" t="s">
        <v>1809</v>
      </c>
      <c r="T419" s="22">
        <v>5.73102353656E11</v>
      </c>
      <c r="U419" s="53" t="s">
        <v>61</v>
      </c>
      <c r="V419" s="113"/>
      <c r="W419" s="113"/>
      <c r="X419" s="113"/>
      <c r="Y419" s="54">
        <v>5.0</v>
      </c>
      <c r="Z419" s="28"/>
      <c r="AA419" s="28"/>
      <c r="AB419" s="28"/>
      <c r="AC419" s="28"/>
      <c r="AD419" s="28"/>
      <c r="AE419" s="28"/>
      <c r="AF419" s="29"/>
      <c r="AG419" s="29"/>
      <c r="AH419" s="30"/>
      <c r="AI419" s="31"/>
      <c r="AJ419" s="28"/>
      <c r="AK419" s="32"/>
      <c r="AL419" s="32"/>
      <c r="AM419" s="32"/>
      <c r="AN419" s="32"/>
      <c r="AO419" s="28"/>
      <c r="AP419" s="29"/>
    </row>
    <row r="420">
      <c r="A420" s="53" t="s">
        <v>1810</v>
      </c>
      <c r="B420" s="53" t="s">
        <v>1811</v>
      </c>
      <c r="C420" s="53" t="s">
        <v>1202</v>
      </c>
      <c r="D420" s="53" t="s">
        <v>1203</v>
      </c>
      <c r="E420" s="53" t="s">
        <v>1204</v>
      </c>
      <c r="F420" s="53" t="s">
        <v>47</v>
      </c>
      <c r="G420" s="53" t="s">
        <v>1205</v>
      </c>
      <c r="H420" s="53" t="s">
        <v>1206</v>
      </c>
      <c r="I420" s="53" t="s">
        <v>50</v>
      </c>
      <c r="J420" s="53" t="s">
        <v>51</v>
      </c>
      <c r="K420" s="73" t="s">
        <v>52</v>
      </c>
      <c r="L420" s="53" t="s">
        <v>53</v>
      </c>
      <c r="M420" s="53" t="s">
        <v>69</v>
      </c>
      <c r="N420" s="53" t="s">
        <v>55</v>
      </c>
      <c r="O420" s="53" t="s">
        <v>70</v>
      </c>
      <c r="P420" s="20" t="s">
        <v>57</v>
      </c>
      <c r="Q420" s="21" t="s">
        <v>111</v>
      </c>
      <c r="R420" s="20" t="s">
        <v>1812</v>
      </c>
      <c r="S420" s="20" t="s">
        <v>1813</v>
      </c>
      <c r="T420" s="22">
        <v>5.73158923858E11</v>
      </c>
      <c r="U420" s="53" t="s">
        <v>61</v>
      </c>
      <c r="V420" s="113"/>
      <c r="W420" s="113"/>
      <c r="X420" s="113"/>
      <c r="Y420" s="54">
        <v>5.0</v>
      </c>
      <c r="Z420" s="13"/>
      <c r="AA420" s="13"/>
      <c r="AB420" s="13"/>
      <c r="AC420" s="13"/>
      <c r="AD420" s="13"/>
      <c r="AE420" s="13"/>
      <c r="AF420" s="14"/>
      <c r="AG420" s="14"/>
      <c r="AH420" s="15"/>
      <c r="AI420" s="16"/>
      <c r="AJ420" s="13"/>
      <c r="AK420" s="17"/>
      <c r="AL420" s="17"/>
      <c r="AM420" s="17"/>
      <c r="AN420" s="17"/>
      <c r="AO420" s="13"/>
      <c r="AP420" s="14"/>
    </row>
    <row r="421">
      <c r="A421" s="53" t="s">
        <v>1814</v>
      </c>
      <c r="B421" s="53" t="s">
        <v>1815</v>
      </c>
      <c r="C421" s="53" t="s">
        <v>1202</v>
      </c>
      <c r="D421" s="53" t="s">
        <v>1203</v>
      </c>
      <c r="E421" s="53" t="s">
        <v>1204</v>
      </c>
      <c r="F421" s="53" t="s">
        <v>47</v>
      </c>
      <c r="G421" s="53" t="s">
        <v>1205</v>
      </c>
      <c r="H421" s="53" t="s">
        <v>1206</v>
      </c>
      <c r="I421" s="53" t="s">
        <v>50</v>
      </c>
      <c r="J421" s="53" t="s">
        <v>51</v>
      </c>
      <c r="K421" s="73" t="s">
        <v>52</v>
      </c>
      <c r="L421" s="53" t="s">
        <v>53</v>
      </c>
      <c r="M421" s="53" t="s">
        <v>54</v>
      </c>
      <c r="N421" s="53" t="s">
        <v>55</v>
      </c>
      <c r="O421" s="53" t="s">
        <v>70</v>
      </c>
      <c r="P421" s="20" t="s">
        <v>1816</v>
      </c>
      <c r="Q421" s="21" t="s">
        <v>183</v>
      </c>
      <c r="R421" s="20" t="s">
        <v>1817</v>
      </c>
      <c r="S421" s="20" t="s">
        <v>1818</v>
      </c>
      <c r="T421" s="22">
        <v>5.7311757721E11</v>
      </c>
      <c r="U421" s="53" t="s">
        <v>75</v>
      </c>
      <c r="V421" s="113"/>
      <c r="W421" s="113"/>
      <c r="X421" s="113"/>
      <c r="Y421" s="54">
        <v>5.0</v>
      </c>
      <c r="Z421" s="13"/>
      <c r="AA421" s="13"/>
      <c r="AB421" s="13"/>
      <c r="AC421" s="13"/>
      <c r="AD421" s="13"/>
      <c r="AE421" s="13"/>
      <c r="AF421" s="14"/>
      <c r="AG421" s="14"/>
      <c r="AH421" s="15"/>
      <c r="AI421" s="16"/>
      <c r="AJ421" s="13"/>
      <c r="AK421" s="17"/>
      <c r="AL421" s="17"/>
      <c r="AM421" s="17"/>
      <c r="AN421" s="17"/>
      <c r="AO421" s="13"/>
      <c r="AP421" s="14"/>
    </row>
    <row r="422">
      <c r="A422" s="53" t="s">
        <v>1819</v>
      </c>
      <c r="B422" s="53" t="s">
        <v>1820</v>
      </c>
      <c r="C422" s="53" t="s">
        <v>983</v>
      </c>
      <c r="D422" s="53" t="s">
        <v>1080</v>
      </c>
      <c r="E422" s="53" t="s">
        <v>985</v>
      </c>
      <c r="F422" s="53" t="s">
        <v>47</v>
      </c>
      <c r="G422" s="53" t="s">
        <v>986</v>
      </c>
      <c r="H422" s="53" t="s">
        <v>987</v>
      </c>
      <c r="I422" s="53" t="s">
        <v>50</v>
      </c>
      <c r="J422" s="53" t="s">
        <v>51</v>
      </c>
      <c r="K422" s="73" t="s">
        <v>52</v>
      </c>
      <c r="L422" s="53" t="s">
        <v>53</v>
      </c>
      <c r="M422" s="53" t="s">
        <v>69</v>
      </c>
      <c r="N422" s="53" t="s">
        <v>55</v>
      </c>
      <c r="O422" s="53" t="s">
        <v>70</v>
      </c>
      <c r="P422" s="20" t="s">
        <v>57</v>
      </c>
      <c r="Q422" s="21" t="s">
        <v>94</v>
      </c>
      <c r="R422" s="20" t="s">
        <v>466</v>
      </c>
      <c r="S422" s="20" t="s">
        <v>1821</v>
      </c>
      <c r="T422" s="22">
        <v>5.73228206311E11</v>
      </c>
      <c r="U422" s="53" t="s">
        <v>61</v>
      </c>
      <c r="V422" s="113"/>
      <c r="W422" s="113"/>
      <c r="X422" s="113"/>
      <c r="Y422" s="54">
        <v>5.0</v>
      </c>
      <c r="Z422" s="28"/>
      <c r="AA422" s="28"/>
      <c r="AB422" s="28"/>
      <c r="AC422" s="28"/>
      <c r="AD422" s="28"/>
      <c r="AE422" s="28"/>
      <c r="AF422" s="29"/>
      <c r="AG422" s="29"/>
      <c r="AH422" s="30"/>
      <c r="AI422" s="31"/>
      <c r="AJ422" s="28"/>
      <c r="AK422" s="32"/>
      <c r="AL422" s="32"/>
      <c r="AM422" s="32"/>
      <c r="AN422" s="32"/>
      <c r="AO422" s="28"/>
      <c r="AP422" s="29"/>
    </row>
    <row r="423">
      <c r="A423" s="53" t="s">
        <v>1822</v>
      </c>
      <c r="B423" s="53" t="s">
        <v>1823</v>
      </c>
      <c r="C423" s="53" t="s">
        <v>1202</v>
      </c>
      <c r="D423" s="53" t="s">
        <v>1203</v>
      </c>
      <c r="E423" s="53" t="s">
        <v>1204</v>
      </c>
      <c r="F423" s="53" t="s">
        <v>47</v>
      </c>
      <c r="G423" s="53" t="s">
        <v>1205</v>
      </c>
      <c r="H423" s="53" t="s">
        <v>1206</v>
      </c>
      <c r="I423" s="53" t="s">
        <v>50</v>
      </c>
      <c r="J423" s="53" t="s">
        <v>51</v>
      </c>
      <c r="K423" s="73" t="s">
        <v>52</v>
      </c>
      <c r="L423" s="53" t="s">
        <v>53</v>
      </c>
      <c r="M423" s="53" t="s">
        <v>54</v>
      </c>
      <c r="N423" s="53" t="s">
        <v>85</v>
      </c>
      <c r="O423" s="53" t="s">
        <v>70</v>
      </c>
      <c r="P423" s="20" t="s">
        <v>317</v>
      </c>
      <c r="Q423" s="21" t="s">
        <v>72</v>
      </c>
      <c r="R423" s="20" t="s">
        <v>1506</v>
      </c>
      <c r="S423" s="20" t="s">
        <v>1824</v>
      </c>
      <c r="T423" s="22">
        <v>5.73104459341E11</v>
      </c>
      <c r="U423" s="53" t="s">
        <v>75</v>
      </c>
      <c r="V423" s="113"/>
      <c r="W423" s="113"/>
      <c r="X423" s="113"/>
      <c r="Y423" s="54">
        <v>5.0</v>
      </c>
      <c r="Z423" s="34"/>
      <c r="AA423" s="34"/>
      <c r="AB423" s="34"/>
      <c r="AC423" s="34"/>
      <c r="AD423" s="34"/>
      <c r="AE423" s="34"/>
      <c r="AF423" s="35"/>
      <c r="AG423" s="35"/>
      <c r="AH423" s="36"/>
      <c r="AI423" s="37"/>
      <c r="AJ423" s="34"/>
      <c r="AK423" s="38"/>
      <c r="AL423" s="38"/>
      <c r="AM423" s="38"/>
      <c r="AN423" s="38"/>
      <c r="AO423" s="34"/>
      <c r="AP423" s="35"/>
    </row>
    <row r="424">
      <c r="A424" s="53" t="s">
        <v>1825</v>
      </c>
      <c r="B424" s="53" t="s">
        <v>1826</v>
      </c>
      <c r="C424" s="53" t="s">
        <v>1202</v>
      </c>
      <c r="D424" s="53" t="s">
        <v>1203</v>
      </c>
      <c r="E424" s="53" t="s">
        <v>1204</v>
      </c>
      <c r="F424" s="53" t="s">
        <v>47</v>
      </c>
      <c r="G424" s="53" t="s">
        <v>1205</v>
      </c>
      <c r="H424" s="53" t="s">
        <v>1206</v>
      </c>
      <c r="I424" s="53" t="s">
        <v>50</v>
      </c>
      <c r="J424" s="53" t="s">
        <v>51</v>
      </c>
      <c r="K424" s="73" t="s">
        <v>52</v>
      </c>
      <c r="L424" s="53" t="s">
        <v>53</v>
      </c>
      <c r="M424" s="53" t="s">
        <v>54</v>
      </c>
      <c r="N424" s="53" t="s">
        <v>55</v>
      </c>
      <c r="O424" s="53" t="s">
        <v>86</v>
      </c>
      <c r="P424" s="20" t="s">
        <v>1084</v>
      </c>
      <c r="Q424" s="21" t="s">
        <v>1827</v>
      </c>
      <c r="R424" s="20" t="s">
        <v>173</v>
      </c>
      <c r="S424" s="20" t="s">
        <v>1828</v>
      </c>
      <c r="T424" s="22">
        <v>5.73043409515E11</v>
      </c>
      <c r="U424" s="53" t="s">
        <v>75</v>
      </c>
      <c r="V424" s="113"/>
      <c r="W424" s="113"/>
      <c r="X424" s="113"/>
      <c r="Y424" s="99">
        <v>45779.0</v>
      </c>
      <c r="Z424" s="28"/>
      <c r="AA424" s="28"/>
      <c r="AB424" s="28"/>
      <c r="AC424" s="28"/>
      <c r="AD424" s="28"/>
      <c r="AE424" s="28"/>
      <c r="AF424" s="29"/>
      <c r="AG424" s="29"/>
      <c r="AH424" s="30"/>
      <c r="AI424" s="31"/>
      <c r="AJ424" s="28"/>
      <c r="AK424" s="32"/>
      <c r="AL424" s="32"/>
      <c r="AM424" s="32"/>
      <c r="AN424" s="32"/>
      <c r="AO424" s="28"/>
      <c r="AP424" s="29"/>
    </row>
    <row r="425">
      <c r="A425" s="53" t="s">
        <v>1829</v>
      </c>
      <c r="B425" s="53" t="s">
        <v>1830</v>
      </c>
      <c r="C425" s="53" t="s">
        <v>1202</v>
      </c>
      <c r="D425" s="53" t="s">
        <v>1203</v>
      </c>
      <c r="E425" s="53" t="s">
        <v>1204</v>
      </c>
      <c r="F425" s="53" t="s">
        <v>47</v>
      </c>
      <c r="G425" s="53" t="s">
        <v>1205</v>
      </c>
      <c r="H425" s="53" t="s">
        <v>1206</v>
      </c>
      <c r="I425" s="53" t="s">
        <v>50</v>
      </c>
      <c r="J425" s="53" t="s">
        <v>51</v>
      </c>
      <c r="K425" s="73" t="s">
        <v>52</v>
      </c>
      <c r="L425" s="53" t="s">
        <v>53</v>
      </c>
      <c r="M425" s="53" t="s">
        <v>69</v>
      </c>
      <c r="N425" s="53" t="s">
        <v>55</v>
      </c>
      <c r="O425" s="53" t="s">
        <v>70</v>
      </c>
      <c r="P425" s="20" t="s">
        <v>366</v>
      </c>
      <c r="Q425" s="21" t="s">
        <v>105</v>
      </c>
      <c r="R425" s="20" t="s">
        <v>79</v>
      </c>
      <c r="S425" s="20" t="s">
        <v>1831</v>
      </c>
      <c r="T425" s="22">
        <v>5.73142443362E11</v>
      </c>
      <c r="U425" s="53" t="s">
        <v>61</v>
      </c>
      <c r="V425" s="113"/>
      <c r="W425" s="113"/>
      <c r="X425" s="113"/>
      <c r="Y425" s="54">
        <v>5.0</v>
      </c>
      <c r="Z425" s="13"/>
      <c r="AA425" s="13"/>
      <c r="AB425" s="13"/>
      <c r="AC425" s="13"/>
      <c r="AD425" s="13"/>
      <c r="AE425" s="13"/>
      <c r="AF425" s="14"/>
      <c r="AG425" s="14"/>
      <c r="AH425" s="15"/>
      <c r="AI425" s="16"/>
      <c r="AJ425" s="13"/>
      <c r="AK425" s="17"/>
      <c r="AL425" s="17"/>
      <c r="AM425" s="17"/>
      <c r="AN425" s="17"/>
      <c r="AO425" s="13"/>
      <c r="AP425" s="14"/>
    </row>
    <row r="426">
      <c r="A426" s="53" t="s">
        <v>1832</v>
      </c>
      <c r="B426" s="53" t="s">
        <v>1833</v>
      </c>
      <c r="C426" s="53" t="s">
        <v>1202</v>
      </c>
      <c r="D426" s="53" t="s">
        <v>1203</v>
      </c>
      <c r="E426" s="53" t="s">
        <v>1204</v>
      </c>
      <c r="F426" s="53" t="s">
        <v>47</v>
      </c>
      <c r="G426" s="53" t="s">
        <v>1205</v>
      </c>
      <c r="H426" s="53" t="s">
        <v>1206</v>
      </c>
      <c r="I426" s="53" t="s">
        <v>50</v>
      </c>
      <c r="J426" s="53" t="s">
        <v>51</v>
      </c>
      <c r="K426" s="73" t="s">
        <v>52</v>
      </c>
      <c r="L426" s="53" t="s">
        <v>53</v>
      </c>
      <c r="M426" s="53" t="s">
        <v>69</v>
      </c>
      <c r="N426" s="53" t="s">
        <v>55</v>
      </c>
      <c r="O426" s="53" t="s">
        <v>70</v>
      </c>
      <c r="P426" s="20" t="s">
        <v>232</v>
      </c>
      <c r="Q426" s="21" t="s">
        <v>111</v>
      </c>
      <c r="R426" s="21" t="s">
        <v>105</v>
      </c>
      <c r="S426" s="20" t="s">
        <v>1834</v>
      </c>
      <c r="T426" s="22">
        <v>5.73154439381E11</v>
      </c>
      <c r="U426" s="53" t="s">
        <v>61</v>
      </c>
      <c r="V426" s="113"/>
      <c r="W426" s="113"/>
      <c r="X426" s="113"/>
      <c r="Y426" s="54">
        <v>5.0</v>
      </c>
      <c r="Z426" s="13"/>
      <c r="AA426" s="13"/>
      <c r="AB426" s="13"/>
      <c r="AC426" s="13"/>
      <c r="AD426" s="13"/>
      <c r="AE426" s="13"/>
      <c r="AF426" s="14"/>
      <c r="AG426" s="14"/>
      <c r="AH426" s="15"/>
      <c r="AI426" s="16"/>
      <c r="AJ426" s="13"/>
      <c r="AK426" s="17"/>
      <c r="AL426" s="17"/>
      <c r="AM426" s="17"/>
      <c r="AN426" s="17"/>
      <c r="AO426" s="13"/>
      <c r="AP426" s="14"/>
    </row>
    <row r="427">
      <c r="A427" s="53" t="s">
        <v>1835</v>
      </c>
      <c r="B427" s="53" t="s">
        <v>1836</v>
      </c>
      <c r="C427" s="53" t="s">
        <v>1202</v>
      </c>
      <c r="D427" s="53" t="s">
        <v>1203</v>
      </c>
      <c r="E427" s="53" t="s">
        <v>1204</v>
      </c>
      <c r="F427" s="53" t="s">
        <v>47</v>
      </c>
      <c r="G427" s="53" t="s">
        <v>1205</v>
      </c>
      <c r="H427" s="53" t="s">
        <v>1206</v>
      </c>
      <c r="I427" s="53" t="s">
        <v>50</v>
      </c>
      <c r="J427" s="53" t="s">
        <v>51</v>
      </c>
      <c r="K427" s="73" t="s">
        <v>52</v>
      </c>
      <c r="L427" s="53" t="s">
        <v>53</v>
      </c>
      <c r="M427" s="53" t="s">
        <v>69</v>
      </c>
      <c r="N427" s="53" t="s">
        <v>137</v>
      </c>
      <c r="O427" s="53" t="s">
        <v>70</v>
      </c>
      <c r="P427" s="20" t="s">
        <v>152</v>
      </c>
      <c r="Q427" s="21" t="s">
        <v>111</v>
      </c>
      <c r="R427" s="20" t="s">
        <v>1837</v>
      </c>
      <c r="S427" s="20" t="s">
        <v>1838</v>
      </c>
      <c r="T427" s="22">
        <v>5.73192570957E11</v>
      </c>
      <c r="U427" s="53" t="s">
        <v>1839</v>
      </c>
      <c r="V427" s="113"/>
      <c r="W427" s="113"/>
      <c r="X427" s="113"/>
      <c r="Y427" s="54">
        <v>5.0</v>
      </c>
      <c r="Z427" s="28"/>
      <c r="AA427" s="28"/>
      <c r="AB427" s="28"/>
      <c r="AC427" s="28"/>
      <c r="AD427" s="28"/>
      <c r="AE427" s="28"/>
      <c r="AF427" s="29"/>
      <c r="AG427" s="29"/>
      <c r="AH427" s="30"/>
      <c r="AI427" s="31"/>
      <c r="AJ427" s="28"/>
      <c r="AK427" s="32"/>
      <c r="AL427" s="32"/>
      <c r="AM427" s="32"/>
      <c r="AN427" s="32"/>
      <c r="AO427" s="28"/>
      <c r="AP427" s="29"/>
    </row>
    <row r="428">
      <c r="A428" s="53" t="s">
        <v>1840</v>
      </c>
      <c r="B428" s="53" t="s">
        <v>1841</v>
      </c>
      <c r="C428" s="53" t="s">
        <v>1202</v>
      </c>
      <c r="D428" s="53" t="s">
        <v>1203</v>
      </c>
      <c r="E428" s="53" t="s">
        <v>1204</v>
      </c>
      <c r="F428" s="53" t="s">
        <v>47</v>
      </c>
      <c r="G428" s="53" t="s">
        <v>1205</v>
      </c>
      <c r="H428" s="53" t="s">
        <v>1206</v>
      </c>
      <c r="I428" s="53" t="s">
        <v>50</v>
      </c>
      <c r="J428" s="53" t="s">
        <v>51</v>
      </c>
      <c r="K428" s="73" t="s">
        <v>52</v>
      </c>
      <c r="L428" s="53" t="s">
        <v>53</v>
      </c>
      <c r="M428" s="53" t="s">
        <v>69</v>
      </c>
      <c r="N428" s="53" t="s">
        <v>55</v>
      </c>
      <c r="O428" s="53" t="s">
        <v>70</v>
      </c>
      <c r="P428" s="96" t="s">
        <v>1842</v>
      </c>
      <c r="Q428" s="97" t="s">
        <v>58</v>
      </c>
      <c r="R428" s="97" t="s">
        <v>1843</v>
      </c>
      <c r="S428" s="96" t="s">
        <v>1844</v>
      </c>
      <c r="T428" s="98">
        <v>5.356799805E9</v>
      </c>
      <c r="U428" s="53" t="s">
        <v>1845</v>
      </c>
      <c r="V428" s="113"/>
      <c r="W428" s="113"/>
      <c r="X428" s="113"/>
      <c r="Y428" s="54">
        <v>5.0</v>
      </c>
      <c r="Z428" s="28"/>
      <c r="AA428" s="28"/>
      <c r="AB428" s="28"/>
      <c r="AC428" s="28"/>
      <c r="AD428" s="28"/>
      <c r="AE428" s="28"/>
      <c r="AF428" s="29"/>
      <c r="AG428" s="29"/>
      <c r="AH428" s="30"/>
      <c r="AI428" s="31"/>
      <c r="AJ428" s="28"/>
      <c r="AK428" s="32"/>
      <c r="AL428" s="32"/>
      <c r="AM428" s="32"/>
      <c r="AN428" s="32"/>
      <c r="AO428" s="28"/>
      <c r="AP428" s="29"/>
    </row>
    <row r="429">
      <c r="A429" s="53" t="s">
        <v>1846</v>
      </c>
      <c r="B429" s="53" t="s">
        <v>1847</v>
      </c>
      <c r="C429" s="53" t="s">
        <v>1202</v>
      </c>
      <c r="D429" s="53" t="s">
        <v>1203</v>
      </c>
      <c r="E429" s="53" t="s">
        <v>1204</v>
      </c>
      <c r="F429" s="53" t="s">
        <v>47</v>
      </c>
      <c r="G429" s="53" t="s">
        <v>1205</v>
      </c>
      <c r="H429" s="53" t="s">
        <v>1206</v>
      </c>
      <c r="I429" s="53" t="s">
        <v>50</v>
      </c>
      <c r="J429" s="53" t="s">
        <v>51</v>
      </c>
      <c r="K429" s="73" t="s">
        <v>52</v>
      </c>
      <c r="L429" s="53" t="s">
        <v>53</v>
      </c>
      <c r="M429" s="53" t="s">
        <v>54</v>
      </c>
      <c r="N429" s="53" t="s">
        <v>55</v>
      </c>
      <c r="O429" s="53" t="s">
        <v>70</v>
      </c>
      <c r="P429" s="20" t="s">
        <v>1848</v>
      </c>
      <c r="Q429" s="21" t="s">
        <v>105</v>
      </c>
      <c r="R429" s="20" t="s">
        <v>458</v>
      </c>
      <c r="S429" s="20" t="s">
        <v>1849</v>
      </c>
      <c r="T429" s="22">
        <v>5.73184414803E11</v>
      </c>
      <c r="U429" s="53" t="s">
        <v>75</v>
      </c>
      <c r="V429" s="113"/>
      <c r="W429" s="113"/>
      <c r="X429" s="113"/>
      <c r="Y429" s="54">
        <v>5.0</v>
      </c>
      <c r="Z429" s="28"/>
      <c r="AA429" s="28"/>
      <c r="AB429" s="28"/>
      <c r="AC429" s="28"/>
      <c r="AD429" s="28"/>
      <c r="AE429" s="28"/>
      <c r="AF429" s="29"/>
      <c r="AG429" s="29"/>
      <c r="AH429" s="30"/>
      <c r="AI429" s="31"/>
      <c r="AJ429" s="28"/>
      <c r="AK429" s="32"/>
      <c r="AL429" s="32"/>
      <c r="AM429" s="32"/>
      <c r="AN429" s="32"/>
      <c r="AO429" s="28"/>
      <c r="AP429" s="29"/>
    </row>
    <row r="430">
      <c r="A430" s="53" t="s">
        <v>1850</v>
      </c>
      <c r="B430" s="53" t="s">
        <v>1851</v>
      </c>
      <c r="C430" s="53" t="s">
        <v>1202</v>
      </c>
      <c r="D430" s="53" t="s">
        <v>1203</v>
      </c>
      <c r="E430" s="53" t="s">
        <v>1204</v>
      </c>
      <c r="F430" s="53" t="s">
        <v>47</v>
      </c>
      <c r="G430" s="53" t="s">
        <v>1205</v>
      </c>
      <c r="H430" s="53" t="s">
        <v>1206</v>
      </c>
      <c r="I430" s="53" t="s">
        <v>50</v>
      </c>
      <c r="J430" s="53" t="s">
        <v>51</v>
      </c>
      <c r="K430" s="73" t="s">
        <v>52</v>
      </c>
      <c r="L430" s="53" t="s">
        <v>53</v>
      </c>
      <c r="M430" s="53" t="s">
        <v>54</v>
      </c>
      <c r="N430" s="53" t="s">
        <v>137</v>
      </c>
      <c r="O430" s="53" t="s">
        <v>70</v>
      </c>
      <c r="P430" s="20" t="s">
        <v>188</v>
      </c>
      <c r="Q430" s="21" t="s">
        <v>72</v>
      </c>
      <c r="R430" s="20" t="s">
        <v>466</v>
      </c>
      <c r="S430" s="20" t="s">
        <v>1852</v>
      </c>
      <c r="T430" s="22">
        <v>3.104390896E9</v>
      </c>
      <c r="U430" s="53" t="s">
        <v>75</v>
      </c>
      <c r="V430" s="113"/>
      <c r="W430" s="113"/>
      <c r="X430" s="113"/>
      <c r="Y430" s="54">
        <v>5.0</v>
      </c>
      <c r="Z430" s="28"/>
      <c r="AA430" s="28"/>
      <c r="AB430" s="28"/>
      <c r="AC430" s="28"/>
      <c r="AD430" s="28"/>
      <c r="AE430" s="28"/>
      <c r="AF430" s="28"/>
      <c r="AG430" s="29"/>
      <c r="AH430" s="30"/>
      <c r="AI430" s="31"/>
      <c r="AJ430" s="28"/>
      <c r="AK430" s="32"/>
      <c r="AL430" s="32"/>
      <c r="AM430" s="32"/>
      <c r="AN430" s="32"/>
      <c r="AO430" s="28"/>
      <c r="AP430" s="29"/>
    </row>
    <row r="431">
      <c r="A431" s="53" t="s">
        <v>1853</v>
      </c>
      <c r="B431" s="53" t="s">
        <v>1854</v>
      </c>
      <c r="C431" s="53" t="s">
        <v>983</v>
      </c>
      <c r="D431" s="53" t="s">
        <v>1080</v>
      </c>
      <c r="E431" s="53" t="s">
        <v>985</v>
      </c>
      <c r="F431" s="53" t="s">
        <v>47</v>
      </c>
      <c r="G431" s="53" t="s">
        <v>986</v>
      </c>
      <c r="H431" s="53" t="s">
        <v>987</v>
      </c>
      <c r="I431" s="53" t="s">
        <v>50</v>
      </c>
      <c r="J431" s="53" t="s">
        <v>51</v>
      </c>
      <c r="K431" s="73" t="s">
        <v>52</v>
      </c>
      <c r="L431" s="53" t="s">
        <v>53</v>
      </c>
      <c r="M431" s="53" t="s">
        <v>69</v>
      </c>
      <c r="N431" s="53" t="s">
        <v>55</v>
      </c>
      <c r="O431" s="53" t="s">
        <v>70</v>
      </c>
      <c r="P431" s="20" t="s">
        <v>1855</v>
      </c>
      <c r="Q431" s="21" t="s">
        <v>94</v>
      </c>
      <c r="R431" s="20" t="s">
        <v>458</v>
      </c>
      <c r="S431" s="20" t="s">
        <v>1856</v>
      </c>
      <c r="T431" s="22">
        <v>5.73176816845E11</v>
      </c>
      <c r="U431" s="53" t="s">
        <v>75</v>
      </c>
      <c r="V431" s="113"/>
      <c r="W431" s="113"/>
      <c r="X431" s="113"/>
      <c r="Y431" s="54">
        <v>5.0</v>
      </c>
      <c r="Z431" s="28"/>
      <c r="AA431" s="28"/>
      <c r="AB431" s="28"/>
      <c r="AC431" s="28"/>
      <c r="AD431" s="28"/>
      <c r="AE431" s="28"/>
      <c r="AF431" s="29"/>
      <c r="AG431" s="29"/>
      <c r="AH431" s="30"/>
      <c r="AI431" s="31"/>
      <c r="AJ431" s="28"/>
      <c r="AK431" s="32"/>
      <c r="AL431" s="32"/>
      <c r="AM431" s="32"/>
      <c r="AN431" s="32"/>
      <c r="AO431" s="28"/>
      <c r="AP431" s="29"/>
    </row>
    <row r="432">
      <c r="A432" s="53" t="s">
        <v>1857</v>
      </c>
      <c r="B432" s="53" t="s">
        <v>1858</v>
      </c>
      <c r="C432" s="53" t="s">
        <v>1202</v>
      </c>
      <c r="D432" s="53" t="s">
        <v>1203</v>
      </c>
      <c r="E432" s="53" t="s">
        <v>1204</v>
      </c>
      <c r="F432" s="53" t="s">
        <v>47</v>
      </c>
      <c r="G432" s="53" t="s">
        <v>1205</v>
      </c>
      <c r="H432" s="53" t="s">
        <v>1206</v>
      </c>
      <c r="I432" s="53" t="s">
        <v>50</v>
      </c>
      <c r="J432" s="53" t="s">
        <v>51</v>
      </c>
      <c r="K432" s="73" t="s">
        <v>52</v>
      </c>
      <c r="L432" s="53" t="s">
        <v>53</v>
      </c>
      <c r="M432" s="53" t="s">
        <v>54</v>
      </c>
      <c r="N432" s="53" t="s">
        <v>137</v>
      </c>
      <c r="O432" s="53" t="s">
        <v>70</v>
      </c>
      <c r="P432" s="20" t="s">
        <v>1859</v>
      </c>
      <c r="Q432" s="21" t="s">
        <v>58</v>
      </c>
      <c r="R432" s="21" t="s">
        <v>111</v>
      </c>
      <c r="S432" s="20" t="s">
        <v>1860</v>
      </c>
      <c r="T432" s="22">
        <v>5.73002194205E11</v>
      </c>
      <c r="U432" s="53" t="s">
        <v>75</v>
      </c>
      <c r="V432" s="113"/>
      <c r="W432" s="113"/>
      <c r="X432" s="113"/>
      <c r="Y432" s="54">
        <v>5.0</v>
      </c>
      <c r="Z432" s="28"/>
      <c r="AA432" s="28"/>
      <c r="AB432" s="28"/>
      <c r="AC432" s="28"/>
      <c r="AD432" s="28"/>
      <c r="AE432" s="28"/>
      <c r="AF432" s="29"/>
      <c r="AG432" s="29"/>
      <c r="AH432" s="30"/>
      <c r="AI432" s="31"/>
      <c r="AJ432" s="28"/>
      <c r="AK432" s="32"/>
      <c r="AL432" s="32"/>
      <c r="AM432" s="32"/>
      <c r="AN432" s="32"/>
      <c r="AO432" s="28"/>
      <c r="AP432" s="29"/>
    </row>
    <row r="433">
      <c r="A433" s="53" t="s">
        <v>1861</v>
      </c>
      <c r="B433" s="53" t="s">
        <v>1862</v>
      </c>
      <c r="C433" s="53" t="s">
        <v>1202</v>
      </c>
      <c r="D433" s="53" t="s">
        <v>1203</v>
      </c>
      <c r="E433" s="53" t="s">
        <v>1204</v>
      </c>
      <c r="F433" s="53" t="s">
        <v>47</v>
      </c>
      <c r="G433" s="53" t="s">
        <v>1205</v>
      </c>
      <c r="H433" s="53" t="s">
        <v>1206</v>
      </c>
      <c r="I433" s="53" t="s">
        <v>50</v>
      </c>
      <c r="J433" s="53" t="s">
        <v>51</v>
      </c>
      <c r="K433" s="73" t="s">
        <v>52</v>
      </c>
      <c r="L433" s="53" t="s">
        <v>53</v>
      </c>
      <c r="M433" s="53" t="s">
        <v>69</v>
      </c>
      <c r="N433" s="53" t="s">
        <v>55</v>
      </c>
      <c r="O433" s="53" t="s">
        <v>70</v>
      </c>
      <c r="P433" s="20" t="s">
        <v>783</v>
      </c>
      <c r="Q433" s="21" t="s">
        <v>147</v>
      </c>
      <c r="R433" s="20" t="s">
        <v>100</v>
      </c>
      <c r="S433" s="20" t="s">
        <v>1863</v>
      </c>
      <c r="T433" s="22">
        <v>3.023882126E9</v>
      </c>
      <c r="U433" s="53" t="s">
        <v>75</v>
      </c>
      <c r="V433" s="113"/>
      <c r="W433" s="113"/>
      <c r="X433" s="113"/>
      <c r="Y433" s="54">
        <v>5.0</v>
      </c>
      <c r="Z433" s="28"/>
      <c r="AA433" s="28"/>
      <c r="AB433" s="28"/>
      <c r="AC433" s="28"/>
      <c r="AD433" s="28"/>
      <c r="AE433" s="28"/>
      <c r="AF433" s="29"/>
      <c r="AG433" s="29"/>
      <c r="AH433" s="30"/>
      <c r="AI433" s="31"/>
      <c r="AJ433" s="28"/>
      <c r="AK433" s="32"/>
      <c r="AL433" s="32"/>
      <c r="AM433" s="32"/>
      <c r="AN433" s="32"/>
      <c r="AO433" s="28"/>
      <c r="AP433" s="29"/>
    </row>
    <row r="434">
      <c r="A434" s="53" t="s">
        <v>1864</v>
      </c>
      <c r="B434" s="53" t="s">
        <v>1865</v>
      </c>
      <c r="C434" s="53" t="s">
        <v>1202</v>
      </c>
      <c r="D434" s="53" t="s">
        <v>1203</v>
      </c>
      <c r="E434" s="53" t="s">
        <v>1204</v>
      </c>
      <c r="F434" s="53" t="s">
        <v>47</v>
      </c>
      <c r="G434" s="53" t="s">
        <v>1205</v>
      </c>
      <c r="H434" s="53" t="s">
        <v>1206</v>
      </c>
      <c r="I434" s="53" t="s">
        <v>50</v>
      </c>
      <c r="J434" s="53" t="s">
        <v>51</v>
      </c>
      <c r="K434" s="73" t="s">
        <v>52</v>
      </c>
      <c r="L434" s="53" t="s">
        <v>53</v>
      </c>
      <c r="M434" s="53" t="s">
        <v>54</v>
      </c>
      <c r="N434" s="53" t="s">
        <v>55</v>
      </c>
      <c r="O434" s="53" t="s">
        <v>70</v>
      </c>
      <c r="P434" s="20" t="s">
        <v>141</v>
      </c>
      <c r="Q434" s="21" t="s">
        <v>94</v>
      </c>
      <c r="R434" s="21" t="s">
        <v>1866</v>
      </c>
      <c r="S434" s="20" t="s">
        <v>1867</v>
      </c>
      <c r="T434" s="22">
        <v>5.73003576624E11</v>
      </c>
      <c r="U434" s="53" t="s">
        <v>61</v>
      </c>
      <c r="V434" s="113"/>
      <c r="W434" s="113"/>
      <c r="X434" s="113"/>
      <c r="Y434" s="54">
        <v>5.0</v>
      </c>
      <c r="Z434" s="28"/>
      <c r="AA434" s="28"/>
      <c r="AB434" s="28"/>
      <c r="AC434" s="28"/>
      <c r="AD434" s="28"/>
      <c r="AE434" s="28"/>
      <c r="AF434" s="29"/>
      <c r="AG434" s="29"/>
      <c r="AH434" s="30"/>
      <c r="AI434" s="31"/>
      <c r="AJ434" s="28"/>
      <c r="AK434" s="32"/>
      <c r="AL434" s="32"/>
      <c r="AM434" s="32"/>
      <c r="AN434" s="32"/>
      <c r="AO434" s="28"/>
      <c r="AP434" s="29"/>
    </row>
    <row r="435">
      <c r="A435" s="53" t="s">
        <v>1868</v>
      </c>
      <c r="B435" s="53" t="s">
        <v>1869</v>
      </c>
      <c r="C435" s="53" t="s">
        <v>1202</v>
      </c>
      <c r="D435" s="53" t="s">
        <v>1203</v>
      </c>
      <c r="E435" s="53" t="s">
        <v>1204</v>
      </c>
      <c r="F435" s="53" t="s">
        <v>47</v>
      </c>
      <c r="G435" s="53" t="s">
        <v>1205</v>
      </c>
      <c r="H435" s="53" t="s">
        <v>1206</v>
      </c>
      <c r="I435" s="53" t="s">
        <v>50</v>
      </c>
      <c r="J435" s="53" t="s">
        <v>51</v>
      </c>
      <c r="K435" s="73" t="s">
        <v>52</v>
      </c>
      <c r="L435" s="53" t="s">
        <v>53</v>
      </c>
      <c r="M435" s="53" t="s">
        <v>69</v>
      </c>
      <c r="N435" s="53" t="s">
        <v>55</v>
      </c>
      <c r="O435" s="53" t="s">
        <v>70</v>
      </c>
      <c r="P435" s="20" t="s">
        <v>277</v>
      </c>
      <c r="Q435" s="21" t="s">
        <v>94</v>
      </c>
      <c r="R435" s="20" t="s">
        <v>1870</v>
      </c>
      <c r="S435" s="20" t="s">
        <v>1871</v>
      </c>
      <c r="T435" s="22">
        <v>5.73135729298E11</v>
      </c>
      <c r="U435" s="53" t="s">
        <v>61</v>
      </c>
      <c r="V435" s="113"/>
      <c r="W435" s="113"/>
      <c r="X435" s="113"/>
      <c r="Y435" s="54">
        <v>5.0</v>
      </c>
      <c r="Z435" s="28"/>
      <c r="AA435" s="28"/>
      <c r="AB435" s="28"/>
      <c r="AC435" s="28"/>
      <c r="AD435" s="28"/>
      <c r="AE435" s="28"/>
      <c r="AF435" s="29"/>
      <c r="AG435" s="29"/>
      <c r="AH435" s="30"/>
      <c r="AI435" s="31"/>
      <c r="AJ435" s="28"/>
      <c r="AK435" s="32"/>
      <c r="AL435" s="32"/>
      <c r="AM435" s="32"/>
      <c r="AN435" s="32"/>
      <c r="AO435" s="28"/>
      <c r="AP435" s="29"/>
    </row>
    <row r="436">
      <c r="A436" s="53" t="s">
        <v>1872</v>
      </c>
      <c r="B436" s="53" t="s">
        <v>1873</v>
      </c>
      <c r="C436" s="53" t="s">
        <v>983</v>
      </c>
      <c r="D436" s="53" t="s">
        <v>1080</v>
      </c>
      <c r="E436" s="53" t="s">
        <v>985</v>
      </c>
      <c r="F436" s="53" t="s">
        <v>47</v>
      </c>
      <c r="G436" s="53" t="s">
        <v>986</v>
      </c>
      <c r="H436" s="53" t="s">
        <v>987</v>
      </c>
      <c r="I436" s="53" t="s">
        <v>50</v>
      </c>
      <c r="J436" s="53" t="s">
        <v>51</v>
      </c>
      <c r="K436" s="73" t="s">
        <v>52</v>
      </c>
      <c r="L436" s="53" t="s">
        <v>53</v>
      </c>
      <c r="M436" s="53" t="s">
        <v>69</v>
      </c>
      <c r="N436" s="53" t="s">
        <v>137</v>
      </c>
      <c r="O436" s="53" t="s">
        <v>70</v>
      </c>
      <c r="P436" s="20" t="s">
        <v>232</v>
      </c>
      <c r="Q436" s="21" t="s">
        <v>94</v>
      </c>
      <c r="R436" s="20" t="s">
        <v>918</v>
      </c>
      <c r="S436" s="20" t="s">
        <v>1874</v>
      </c>
      <c r="T436" s="22">
        <v>5.73208537443E11</v>
      </c>
      <c r="U436" s="53" t="s">
        <v>75</v>
      </c>
      <c r="V436" s="113"/>
      <c r="W436" s="113"/>
      <c r="X436" s="113"/>
      <c r="Y436" s="54">
        <v>5.0</v>
      </c>
      <c r="Z436" s="28"/>
      <c r="AA436" s="28"/>
      <c r="AB436" s="28"/>
      <c r="AC436" s="28"/>
      <c r="AD436" s="28"/>
      <c r="AE436" s="28"/>
      <c r="AF436" s="29"/>
      <c r="AG436" s="29"/>
      <c r="AH436" s="30"/>
      <c r="AI436" s="31"/>
      <c r="AJ436" s="28"/>
      <c r="AK436" s="32"/>
      <c r="AL436" s="32"/>
      <c r="AM436" s="32"/>
      <c r="AN436" s="32"/>
      <c r="AO436" s="28"/>
      <c r="AP436" s="29"/>
    </row>
    <row r="437">
      <c r="A437" s="53" t="s">
        <v>1875</v>
      </c>
      <c r="B437" s="53" t="s">
        <v>1876</v>
      </c>
      <c r="C437" s="53" t="s">
        <v>1202</v>
      </c>
      <c r="D437" s="53" t="s">
        <v>1203</v>
      </c>
      <c r="E437" s="53" t="s">
        <v>1204</v>
      </c>
      <c r="F437" s="53" t="s">
        <v>47</v>
      </c>
      <c r="G437" s="53" t="s">
        <v>1205</v>
      </c>
      <c r="H437" s="53" t="s">
        <v>1206</v>
      </c>
      <c r="I437" s="53" t="s">
        <v>50</v>
      </c>
      <c r="J437" s="53" t="s">
        <v>51</v>
      </c>
      <c r="K437" s="73" t="s">
        <v>52</v>
      </c>
      <c r="L437" s="53" t="s">
        <v>53</v>
      </c>
      <c r="M437" s="53" t="s">
        <v>54</v>
      </c>
      <c r="N437" s="53" t="s">
        <v>55</v>
      </c>
      <c r="O437" s="53" t="s">
        <v>70</v>
      </c>
      <c r="P437" s="20" t="s">
        <v>1877</v>
      </c>
      <c r="Q437" s="21" t="s">
        <v>183</v>
      </c>
      <c r="R437" s="20" t="s">
        <v>1878</v>
      </c>
      <c r="S437" s="20" t="s">
        <v>1879</v>
      </c>
      <c r="T437" s="22">
        <v>5.73013311565E11</v>
      </c>
      <c r="U437" s="53" t="s">
        <v>61</v>
      </c>
      <c r="V437" s="113"/>
      <c r="W437" s="113"/>
      <c r="X437" s="113"/>
      <c r="Y437" s="54">
        <v>5.0</v>
      </c>
      <c r="Z437" s="28"/>
      <c r="AA437" s="28"/>
      <c r="AB437" s="28"/>
      <c r="AC437" s="28"/>
      <c r="AD437" s="28"/>
      <c r="AE437" s="28"/>
      <c r="AF437" s="29"/>
      <c r="AG437" s="29"/>
      <c r="AH437" s="30"/>
      <c r="AI437" s="31"/>
      <c r="AJ437" s="28"/>
      <c r="AK437" s="32"/>
      <c r="AL437" s="32"/>
      <c r="AM437" s="32"/>
      <c r="AN437" s="32"/>
      <c r="AO437" s="28"/>
      <c r="AP437" s="29"/>
    </row>
    <row r="438">
      <c r="A438" s="53" t="s">
        <v>1880</v>
      </c>
      <c r="B438" s="53" t="s">
        <v>1881</v>
      </c>
      <c r="C438" s="53" t="s">
        <v>1202</v>
      </c>
      <c r="D438" s="53" t="s">
        <v>1203</v>
      </c>
      <c r="E438" s="53" t="s">
        <v>1204</v>
      </c>
      <c r="F438" s="53" t="s">
        <v>47</v>
      </c>
      <c r="G438" s="53" t="s">
        <v>1205</v>
      </c>
      <c r="H438" s="53" t="s">
        <v>1206</v>
      </c>
      <c r="I438" s="53" t="s">
        <v>50</v>
      </c>
      <c r="J438" s="53" t="s">
        <v>51</v>
      </c>
      <c r="K438" s="73" t="s">
        <v>52</v>
      </c>
      <c r="L438" s="53" t="s">
        <v>53</v>
      </c>
      <c r="M438" s="53" t="s">
        <v>54</v>
      </c>
      <c r="N438" s="53" t="s">
        <v>55</v>
      </c>
      <c r="O438" s="53" t="s">
        <v>70</v>
      </c>
      <c r="P438" s="20" t="s">
        <v>57</v>
      </c>
      <c r="Q438" s="21" t="s">
        <v>72</v>
      </c>
      <c r="R438" s="20" t="s">
        <v>173</v>
      </c>
      <c r="S438" s="20" t="s">
        <v>1882</v>
      </c>
      <c r="T438" s="22">
        <v>3.105690968E9</v>
      </c>
      <c r="U438" s="53" t="s">
        <v>61</v>
      </c>
      <c r="V438" s="113"/>
      <c r="W438" s="113"/>
      <c r="X438" s="113"/>
      <c r="Y438" s="54">
        <v>5.0</v>
      </c>
      <c r="Z438" s="28"/>
      <c r="AA438" s="28"/>
      <c r="AB438" s="28"/>
      <c r="AC438" s="28"/>
      <c r="AD438" s="28"/>
      <c r="AE438" s="28"/>
      <c r="AF438" s="29"/>
      <c r="AG438" s="29"/>
      <c r="AH438" s="30"/>
      <c r="AI438" s="31"/>
      <c r="AJ438" s="28"/>
      <c r="AK438" s="32"/>
      <c r="AL438" s="32"/>
      <c r="AM438" s="32"/>
      <c r="AN438" s="32"/>
      <c r="AO438" s="28"/>
      <c r="AP438" s="29"/>
    </row>
    <row r="439">
      <c r="A439" s="53" t="s">
        <v>1883</v>
      </c>
      <c r="B439" s="53" t="s">
        <v>1884</v>
      </c>
      <c r="C439" s="53" t="s">
        <v>1202</v>
      </c>
      <c r="D439" s="53" t="s">
        <v>1203</v>
      </c>
      <c r="E439" s="53" t="s">
        <v>1204</v>
      </c>
      <c r="F439" s="53" t="s">
        <v>47</v>
      </c>
      <c r="G439" s="53" t="s">
        <v>1205</v>
      </c>
      <c r="H439" s="53" t="s">
        <v>1206</v>
      </c>
      <c r="I439" s="53" t="s">
        <v>50</v>
      </c>
      <c r="J439" s="53" t="s">
        <v>51</v>
      </c>
      <c r="K439" s="73" t="s">
        <v>52</v>
      </c>
      <c r="L439" s="53" t="s">
        <v>53</v>
      </c>
      <c r="M439" s="53" t="s">
        <v>54</v>
      </c>
      <c r="N439" s="53" t="s">
        <v>55</v>
      </c>
      <c r="O439" s="53" t="s">
        <v>70</v>
      </c>
      <c r="P439" s="20" t="s">
        <v>110</v>
      </c>
      <c r="Q439" s="21" t="s">
        <v>58</v>
      </c>
      <c r="R439" s="20" t="s">
        <v>142</v>
      </c>
      <c r="S439" s="20" t="s">
        <v>1885</v>
      </c>
      <c r="T439" s="22">
        <v>3.232473532E9</v>
      </c>
      <c r="U439" s="53" t="s">
        <v>61</v>
      </c>
      <c r="V439" s="113"/>
      <c r="W439" s="113"/>
      <c r="X439" s="113"/>
      <c r="Y439" s="54">
        <v>5.0</v>
      </c>
      <c r="Z439" s="28"/>
      <c r="AA439" s="28"/>
      <c r="AB439" s="28"/>
      <c r="AC439" s="28"/>
      <c r="AD439" s="28"/>
      <c r="AE439" s="28"/>
      <c r="AF439" s="29"/>
      <c r="AG439" s="29"/>
      <c r="AH439" s="30"/>
      <c r="AI439" s="31"/>
      <c r="AJ439" s="28"/>
      <c r="AK439" s="32"/>
      <c r="AL439" s="32"/>
      <c r="AM439" s="32"/>
      <c r="AN439" s="32"/>
      <c r="AO439" s="28"/>
      <c r="AP439" s="29"/>
    </row>
    <row r="440">
      <c r="A440" s="53" t="s">
        <v>1886</v>
      </c>
      <c r="B440" s="53" t="s">
        <v>1887</v>
      </c>
      <c r="C440" s="53" t="s">
        <v>1202</v>
      </c>
      <c r="D440" s="53" t="s">
        <v>1203</v>
      </c>
      <c r="E440" s="53" t="s">
        <v>1204</v>
      </c>
      <c r="F440" s="53" t="s">
        <v>47</v>
      </c>
      <c r="G440" s="53" t="s">
        <v>1205</v>
      </c>
      <c r="H440" s="53" t="s">
        <v>1206</v>
      </c>
      <c r="I440" s="53" t="s">
        <v>50</v>
      </c>
      <c r="J440" s="53" t="s">
        <v>51</v>
      </c>
      <c r="K440" s="73" t="s">
        <v>52</v>
      </c>
      <c r="L440" s="53" t="s">
        <v>53</v>
      </c>
      <c r="M440" s="53" t="s">
        <v>69</v>
      </c>
      <c r="N440" s="53" t="s">
        <v>55</v>
      </c>
      <c r="O440" s="53" t="s">
        <v>70</v>
      </c>
      <c r="P440" s="20" t="s">
        <v>282</v>
      </c>
      <c r="Q440" s="21" t="s">
        <v>111</v>
      </c>
      <c r="R440" s="20" t="s">
        <v>173</v>
      </c>
      <c r="S440" s="20" t="s">
        <v>1888</v>
      </c>
      <c r="T440" s="22">
        <v>5.73226511879E11</v>
      </c>
      <c r="U440" s="53" t="s">
        <v>75</v>
      </c>
      <c r="V440" s="113"/>
      <c r="W440" s="113"/>
      <c r="X440" s="113"/>
      <c r="Y440" s="54">
        <v>5.0</v>
      </c>
      <c r="Z440" s="28"/>
      <c r="AA440" s="28"/>
      <c r="AB440" s="28"/>
      <c r="AC440" s="28"/>
      <c r="AD440" s="28"/>
      <c r="AE440" s="28"/>
      <c r="AF440" s="29"/>
      <c r="AG440" s="29"/>
      <c r="AH440" s="30"/>
      <c r="AI440" s="31"/>
      <c r="AJ440" s="28"/>
      <c r="AK440" s="32"/>
      <c r="AL440" s="32"/>
      <c r="AM440" s="32"/>
      <c r="AN440" s="32"/>
      <c r="AO440" s="28"/>
      <c r="AP440" s="29"/>
    </row>
    <row r="441">
      <c r="A441" s="53" t="s">
        <v>1889</v>
      </c>
      <c r="B441" s="53" t="s">
        <v>1890</v>
      </c>
      <c r="C441" s="53" t="s">
        <v>1202</v>
      </c>
      <c r="D441" s="53" t="s">
        <v>1203</v>
      </c>
      <c r="E441" s="53" t="s">
        <v>1204</v>
      </c>
      <c r="F441" s="53" t="s">
        <v>47</v>
      </c>
      <c r="G441" s="53" t="s">
        <v>1205</v>
      </c>
      <c r="H441" s="53" t="s">
        <v>1206</v>
      </c>
      <c r="I441" s="53" t="s">
        <v>50</v>
      </c>
      <c r="J441" s="53" t="s">
        <v>51</v>
      </c>
      <c r="K441" s="73" t="s">
        <v>52</v>
      </c>
      <c r="L441" s="53" t="s">
        <v>53</v>
      </c>
      <c r="M441" s="53" t="s">
        <v>69</v>
      </c>
      <c r="N441" s="53" t="s">
        <v>137</v>
      </c>
      <c r="O441" s="53" t="s">
        <v>70</v>
      </c>
      <c r="P441" s="20" t="s">
        <v>57</v>
      </c>
      <c r="Q441" s="21" t="s">
        <v>147</v>
      </c>
      <c r="R441" s="20" t="s">
        <v>168</v>
      </c>
      <c r="S441" s="20" t="s">
        <v>1891</v>
      </c>
      <c r="T441" s="22">
        <v>5.73106082479E11</v>
      </c>
      <c r="U441" s="53" t="s">
        <v>81</v>
      </c>
      <c r="V441" s="113"/>
      <c r="W441" s="113"/>
      <c r="X441" s="113"/>
      <c r="Y441" s="54">
        <v>5.0</v>
      </c>
      <c r="Z441" s="28"/>
      <c r="AA441" s="28"/>
      <c r="AB441" s="28"/>
      <c r="AC441" s="28"/>
      <c r="AD441" s="28"/>
      <c r="AE441" s="28"/>
      <c r="AF441" s="29"/>
      <c r="AG441" s="29"/>
      <c r="AH441" s="30"/>
      <c r="AI441" s="31"/>
      <c r="AJ441" s="28"/>
      <c r="AK441" s="32"/>
      <c r="AL441" s="32"/>
      <c r="AM441" s="32"/>
      <c r="AN441" s="32"/>
      <c r="AO441" s="28"/>
      <c r="AP441" s="29"/>
    </row>
    <row r="442">
      <c r="A442" s="53" t="s">
        <v>1892</v>
      </c>
      <c r="B442" s="53" t="s">
        <v>1893</v>
      </c>
      <c r="C442" s="53" t="s">
        <v>1202</v>
      </c>
      <c r="D442" s="53" t="s">
        <v>1203</v>
      </c>
      <c r="E442" s="53" t="s">
        <v>1204</v>
      </c>
      <c r="F442" s="53" t="s">
        <v>47</v>
      </c>
      <c r="G442" s="53" t="s">
        <v>1205</v>
      </c>
      <c r="H442" s="53" t="s">
        <v>1206</v>
      </c>
      <c r="I442" s="53" t="s">
        <v>50</v>
      </c>
      <c r="J442" s="53" t="s">
        <v>51</v>
      </c>
      <c r="K442" s="73" t="s">
        <v>52</v>
      </c>
      <c r="L442" s="53" t="s">
        <v>53</v>
      </c>
      <c r="M442" s="53" t="s">
        <v>69</v>
      </c>
      <c r="N442" s="53" t="s">
        <v>137</v>
      </c>
      <c r="O442" s="53" t="s">
        <v>70</v>
      </c>
      <c r="P442" s="20" t="s">
        <v>1894</v>
      </c>
      <c r="Q442" s="21" t="s">
        <v>94</v>
      </c>
      <c r="R442" s="20" t="s">
        <v>332</v>
      </c>
      <c r="S442" s="20" t="s">
        <v>1895</v>
      </c>
      <c r="T442" s="22">
        <v>5.73183299343E11</v>
      </c>
      <c r="U442" s="53" t="s">
        <v>61</v>
      </c>
      <c r="V442" s="113"/>
      <c r="W442" s="113"/>
      <c r="X442" s="113"/>
      <c r="Y442" s="54">
        <v>5.0</v>
      </c>
      <c r="Z442" s="28"/>
      <c r="AA442" s="28"/>
      <c r="AB442" s="28"/>
      <c r="AC442" s="28"/>
      <c r="AD442" s="28"/>
      <c r="AE442" s="28"/>
      <c r="AF442" s="29"/>
      <c r="AG442" s="29"/>
      <c r="AH442" s="30"/>
      <c r="AI442" s="31"/>
      <c r="AJ442" s="28"/>
      <c r="AK442" s="32"/>
      <c r="AL442" s="32"/>
      <c r="AM442" s="32"/>
      <c r="AN442" s="32"/>
      <c r="AO442" s="28"/>
      <c r="AP442" s="29"/>
    </row>
    <row r="443">
      <c r="A443" s="53" t="s">
        <v>1896</v>
      </c>
      <c r="B443" s="53" t="s">
        <v>1897</v>
      </c>
      <c r="C443" s="53" t="s">
        <v>1202</v>
      </c>
      <c r="D443" s="53" t="s">
        <v>1203</v>
      </c>
      <c r="E443" s="53" t="s">
        <v>1204</v>
      </c>
      <c r="F443" s="53" t="s">
        <v>47</v>
      </c>
      <c r="G443" s="53" t="s">
        <v>1205</v>
      </c>
      <c r="H443" s="53" t="s">
        <v>1206</v>
      </c>
      <c r="I443" s="53" t="s">
        <v>50</v>
      </c>
      <c r="J443" s="53" t="s">
        <v>51</v>
      </c>
      <c r="K443" s="73" t="s">
        <v>52</v>
      </c>
      <c r="L443" s="53" t="s">
        <v>53</v>
      </c>
      <c r="M443" s="53" t="s">
        <v>69</v>
      </c>
      <c r="N443" s="53" t="s">
        <v>137</v>
      </c>
      <c r="O443" s="53" t="s">
        <v>70</v>
      </c>
      <c r="P443" s="20" t="s">
        <v>71</v>
      </c>
      <c r="Q443" s="21" t="s">
        <v>111</v>
      </c>
      <c r="R443" s="20" t="s">
        <v>228</v>
      </c>
      <c r="S443" s="20" t="s">
        <v>1898</v>
      </c>
      <c r="T443" s="22">
        <v>5.73183082974E11</v>
      </c>
      <c r="U443" s="53" t="s">
        <v>61</v>
      </c>
      <c r="V443" s="113"/>
      <c r="W443" s="113"/>
      <c r="X443" s="113"/>
      <c r="Y443" s="54">
        <v>5.0</v>
      </c>
      <c r="Z443" s="28"/>
      <c r="AA443" s="28"/>
      <c r="AB443" s="28"/>
      <c r="AC443" s="28"/>
      <c r="AD443" s="28"/>
      <c r="AE443" s="28"/>
      <c r="AF443" s="29"/>
      <c r="AG443" s="29"/>
      <c r="AH443" s="30"/>
      <c r="AI443" s="31"/>
      <c r="AJ443" s="28"/>
      <c r="AK443" s="32"/>
      <c r="AL443" s="32"/>
      <c r="AM443" s="32"/>
      <c r="AN443" s="32"/>
      <c r="AO443" s="28"/>
      <c r="AP443" s="29"/>
    </row>
    <row r="444">
      <c r="A444" s="53" t="s">
        <v>1899</v>
      </c>
      <c r="B444" s="53" t="s">
        <v>1900</v>
      </c>
      <c r="C444" s="53" t="s">
        <v>1202</v>
      </c>
      <c r="D444" s="53" t="s">
        <v>1203</v>
      </c>
      <c r="E444" s="53" t="s">
        <v>1204</v>
      </c>
      <c r="F444" s="53" t="s">
        <v>47</v>
      </c>
      <c r="G444" s="53" t="s">
        <v>1205</v>
      </c>
      <c r="H444" s="53" t="s">
        <v>1206</v>
      </c>
      <c r="I444" s="53" t="s">
        <v>50</v>
      </c>
      <c r="J444" s="53" t="s">
        <v>51</v>
      </c>
      <c r="K444" s="73" t="s">
        <v>52</v>
      </c>
      <c r="L444" s="53" t="s">
        <v>53</v>
      </c>
      <c r="M444" s="53" t="s">
        <v>69</v>
      </c>
      <c r="N444" s="53" t="s">
        <v>85</v>
      </c>
      <c r="O444" s="53" t="s">
        <v>56</v>
      </c>
      <c r="P444" s="8" t="s">
        <v>1901</v>
      </c>
      <c r="Q444" s="9" t="s">
        <v>111</v>
      </c>
      <c r="R444" s="8" t="s">
        <v>1902</v>
      </c>
      <c r="S444" s="8" t="s">
        <v>1903</v>
      </c>
      <c r="T444" s="10">
        <v>5.73213716124E11</v>
      </c>
      <c r="U444" s="53" t="s">
        <v>75</v>
      </c>
      <c r="V444" s="113"/>
      <c r="W444" s="113"/>
      <c r="X444" s="113"/>
      <c r="Y444" s="54" t="s">
        <v>62</v>
      </c>
      <c r="Z444" s="28"/>
      <c r="AA444" s="28"/>
      <c r="AB444" s="28"/>
      <c r="AC444" s="28"/>
      <c r="AD444" s="28"/>
      <c r="AE444" s="28"/>
      <c r="AF444" s="29"/>
      <c r="AG444" s="29"/>
      <c r="AH444" s="30"/>
      <c r="AI444" s="31"/>
      <c r="AJ444" s="28"/>
      <c r="AK444" s="32"/>
      <c r="AL444" s="32"/>
      <c r="AM444" s="32"/>
      <c r="AN444" s="32"/>
      <c r="AO444" s="28"/>
      <c r="AP444" s="29"/>
    </row>
    <row r="445">
      <c r="A445" s="53" t="s">
        <v>1904</v>
      </c>
      <c r="B445" s="53" t="s">
        <v>1905</v>
      </c>
      <c r="C445" s="53" t="s">
        <v>1202</v>
      </c>
      <c r="D445" s="53" t="s">
        <v>1203</v>
      </c>
      <c r="E445" s="53" t="s">
        <v>1204</v>
      </c>
      <c r="F445" s="53" t="s">
        <v>47</v>
      </c>
      <c r="G445" s="53" t="s">
        <v>1205</v>
      </c>
      <c r="H445" s="53" t="s">
        <v>1206</v>
      </c>
      <c r="I445" s="53" t="s">
        <v>50</v>
      </c>
      <c r="J445" s="53" t="s">
        <v>51</v>
      </c>
      <c r="K445" s="73" t="s">
        <v>52</v>
      </c>
      <c r="L445" s="53" t="s">
        <v>84</v>
      </c>
      <c r="M445" s="53" t="s">
        <v>69</v>
      </c>
      <c r="N445" s="53" t="s">
        <v>85</v>
      </c>
      <c r="O445" s="53" t="s">
        <v>70</v>
      </c>
      <c r="P445" s="20" t="s">
        <v>1906</v>
      </c>
      <c r="Q445" s="21" t="s">
        <v>58</v>
      </c>
      <c r="R445" s="21" t="s">
        <v>183</v>
      </c>
      <c r="S445" s="20" t="s">
        <v>1907</v>
      </c>
      <c r="T445" s="22">
        <v>5.73014303432E11</v>
      </c>
      <c r="U445" s="53" t="s">
        <v>75</v>
      </c>
      <c r="V445" s="113"/>
      <c r="W445" s="113"/>
      <c r="X445" s="113"/>
      <c r="Y445" s="54">
        <v>5.0</v>
      </c>
      <c r="Z445" s="28"/>
      <c r="AA445" s="28"/>
      <c r="AB445" s="28"/>
      <c r="AC445" s="28"/>
      <c r="AD445" s="28"/>
      <c r="AE445" s="28"/>
      <c r="AF445" s="29"/>
      <c r="AG445" s="29"/>
      <c r="AH445" s="30"/>
      <c r="AI445" s="31"/>
      <c r="AJ445" s="28"/>
      <c r="AK445" s="32"/>
      <c r="AL445" s="32"/>
      <c r="AM445" s="32"/>
      <c r="AN445" s="32"/>
      <c r="AO445" s="28"/>
      <c r="AP445" s="29"/>
    </row>
    <row r="446">
      <c r="A446" s="53" t="s">
        <v>1908</v>
      </c>
      <c r="B446" s="53" t="s">
        <v>1909</v>
      </c>
      <c r="C446" s="53" t="s">
        <v>1202</v>
      </c>
      <c r="D446" s="53" t="s">
        <v>1203</v>
      </c>
      <c r="E446" s="53" t="s">
        <v>1204</v>
      </c>
      <c r="F446" s="53" t="s">
        <v>47</v>
      </c>
      <c r="G446" s="53" t="s">
        <v>1205</v>
      </c>
      <c r="H446" s="53" t="s">
        <v>1206</v>
      </c>
      <c r="I446" s="53" t="s">
        <v>50</v>
      </c>
      <c r="J446" s="53" t="s">
        <v>51</v>
      </c>
      <c r="K446" s="73" t="s">
        <v>52</v>
      </c>
      <c r="L446" s="53" t="s">
        <v>53</v>
      </c>
      <c r="M446" s="53" t="s">
        <v>54</v>
      </c>
      <c r="N446" s="53" t="s">
        <v>55</v>
      </c>
      <c r="O446" s="53" t="s">
        <v>70</v>
      </c>
      <c r="P446" s="20" t="s">
        <v>182</v>
      </c>
      <c r="Q446" s="21" t="s">
        <v>94</v>
      </c>
      <c r="R446" s="20" t="s">
        <v>730</v>
      </c>
      <c r="S446" s="20" t="s">
        <v>1910</v>
      </c>
      <c r="T446" s="22">
        <v>5.7301386486E11</v>
      </c>
      <c r="U446" s="53" t="s">
        <v>61</v>
      </c>
      <c r="V446" s="113"/>
      <c r="W446" s="113"/>
      <c r="X446" s="113"/>
      <c r="Y446" s="54">
        <v>5.0</v>
      </c>
      <c r="Z446" s="28"/>
      <c r="AA446" s="28"/>
      <c r="AB446" s="28"/>
      <c r="AC446" s="28"/>
      <c r="AD446" s="28"/>
      <c r="AE446" s="28"/>
      <c r="AF446" s="29"/>
      <c r="AG446" s="29"/>
      <c r="AH446" s="30"/>
      <c r="AI446" s="31"/>
      <c r="AJ446" s="28"/>
      <c r="AK446" s="32"/>
      <c r="AL446" s="32"/>
      <c r="AM446" s="32"/>
      <c r="AN446" s="32"/>
      <c r="AO446" s="28"/>
      <c r="AP446" s="29"/>
    </row>
    <row r="447">
      <c r="A447" s="53" t="s">
        <v>1911</v>
      </c>
      <c r="B447" s="53" t="s">
        <v>1912</v>
      </c>
      <c r="C447" s="53" t="s">
        <v>1202</v>
      </c>
      <c r="D447" s="53" t="s">
        <v>1203</v>
      </c>
      <c r="E447" s="53" t="s">
        <v>1204</v>
      </c>
      <c r="F447" s="53" t="s">
        <v>47</v>
      </c>
      <c r="G447" s="53" t="s">
        <v>1205</v>
      </c>
      <c r="H447" s="53" t="s">
        <v>1206</v>
      </c>
      <c r="I447" s="53" t="s">
        <v>50</v>
      </c>
      <c r="J447" s="53" t="s">
        <v>51</v>
      </c>
      <c r="K447" s="73" t="s">
        <v>52</v>
      </c>
      <c r="L447" s="53" t="s">
        <v>53</v>
      </c>
      <c r="M447" s="53" t="s">
        <v>54</v>
      </c>
      <c r="N447" s="53" t="s">
        <v>55</v>
      </c>
      <c r="O447" s="53" t="s">
        <v>70</v>
      </c>
      <c r="P447" s="20" t="s">
        <v>232</v>
      </c>
      <c r="Q447" s="21" t="s">
        <v>72</v>
      </c>
      <c r="R447" s="20" t="s">
        <v>272</v>
      </c>
      <c r="S447" s="20" t="s">
        <v>1913</v>
      </c>
      <c r="T447" s="22">
        <v>3.187265117E9</v>
      </c>
      <c r="U447" s="53" t="s">
        <v>75</v>
      </c>
      <c r="V447" s="113"/>
      <c r="W447" s="113"/>
      <c r="X447" s="113"/>
      <c r="Y447" s="54">
        <v>5.0</v>
      </c>
      <c r="Z447" s="28"/>
      <c r="AA447" s="28"/>
      <c r="AB447" s="28"/>
      <c r="AC447" s="28"/>
      <c r="AD447" s="28"/>
      <c r="AE447" s="28"/>
      <c r="AF447" s="29"/>
      <c r="AG447" s="29"/>
      <c r="AH447" s="30"/>
      <c r="AI447" s="31"/>
      <c r="AJ447" s="28"/>
      <c r="AK447" s="32"/>
      <c r="AL447" s="32"/>
      <c r="AM447" s="32"/>
      <c r="AN447" s="32"/>
      <c r="AO447" s="28"/>
      <c r="AP447" s="29"/>
    </row>
    <row r="448">
      <c r="A448" s="53" t="s">
        <v>1914</v>
      </c>
      <c r="B448" s="53" t="s">
        <v>1915</v>
      </c>
      <c r="C448" s="53" t="s">
        <v>1202</v>
      </c>
      <c r="D448" s="53" t="s">
        <v>1203</v>
      </c>
      <c r="E448" s="53" t="s">
        <v>1204</v>
      </c>
      <c r="F448" s="53" t="s">
        <v>47</v>
      </c>
      <c r="G448" s="53" t="s">
        <v>1205</v>
      </c>
      <c r="H448" s="53" t="s">
        <v>1206</v>
      </c>
      <c r="I448" s="53" t="s">
        <v>50</v>
      </c>
      <c r="J448" s="53" t="s">
        <v>51</v>
      </c>
      <c r="K448" s="73" t="s">
        <v>52</v>
      </c>
      <c r="L448" s="53" t="s">
        <v>84</v>
      </c>
      <c r="M448" s="53" t="s">
        <v>54</v>
      </c>
      <c r="N448" s="53" t="s">
        <v>85</v>
      </c>
      <c r="O448" s="53" t="s">
        <v>70</v>
      </c>
      <c r="P448" s="20" t="s">
        <v>1916</v>
      </c>
      <c r="Q448" s="21" t="s">
        <v>111</v>
      </c>
      <c r="R448" s="20" t="s">
        <v>1917</v>
      </c>
      <c r="S448" s="20" t="s">
        <v>1918</v>
      </c>
      <c r="T448" s="22">
        <v>5.7322598166E11</v>
      </c>
      <c r="U448" s="53" t="s">
        <v>75</v>
      </c>
      <c r="V448" s="113"/>
      <c r="W448" s="113"/>
      <c r="X448" s="113"/>
      <c r="Y448" s="54">
        <v>5.0</v>
      </c>
      <c r="Z448" s="28"/>
      <c r="AA448" s="28"/>
      <c r="AB448" s="28"/>
      <c r="AC448" s="28"/>
      <c r="AD448" s="28"/>
      <c r="AE448" s="28"/>
      <c r="AF448" s="29"/>
      <c r="AG448" s="29"/>
      <c r="AH448" s="30"/>
      <c r="AI448" s="31"/>
      <c r="AJ448" s="28"/>
      <c r="AK448" s="32"/>
      <c r="AL448" s="32"/>
      <c r="AM448" s="32"/>
      <c r="AN448" s="32"/>
      <c r="AO448" s="28"/>
      <c r="AP448" s="29"/>
    </row>
    <row r="449">
      <c r="A449" s="53" t="s">
        <v>1919</v>
      </c>
      <c r="B449" s="53" t="s">
        <v>1920</v>
      </c>
      <c r="C449" s="53" t="s">
        <v>1202</v>
      </c>
      <c r="D449" s="53" t="s">
        <v>1203</v>
      </c>
      <c r="E449" s="53" t="s">
        <v>1204</v>
      </c>
      <c r="F449" s="53" t="s">
        <v>47</v>
      </c>
      <c r="G449" s="53" t="s">
        <v>1205</v>
      </c>
      <c r="H449" s="53" t="s">
        <v>1206</v>
      </c>
      <c r="I449" s="53" t="s">
        <v>50</v>
      </c>
      <c r="J449" s="53" t="s">
        <v>51</v>
      </c>
      <c r="K449" s="73" t="s">
        <v>52</v>
      </c>
      <c r="L449" s="53" t="s">
        <v>84</v>
      </c>
      <c r="M449" s="53" t="s">
        <v>54</v>
      </c>
      <c r="N449" s="53" t="s">
        <v>55</v>
      </c>
      <c r="O449" s="53" t="s">
        <v>70</v>
      </c>
      <c r="P449" s="20" t="s">
        <v>1921</v>
      </c>
      <c r="Q449" s="21" t="s">
        <v>111</v>
      </c>
      <c r="R449" s="20" t="s">
        <v>1431</v>
      </c>
      <c r="S449" s="20" t="s">
        <v>1922</v>
      </c>
      <c r="T449" s="22">
        <v>5.73142331359E11</v>
      </c>
      <c r="U449" s="53" t="s">
        <v>75</v>
      </c>
      <c r="V449" s="113"/>
      <c r="W449" s="113"/>
      <c r="X449" s="113"/>
      <c r="Y449" s="54">
        <v>5.0</v>
      </c>
      <c r="Z449" s="28"/>
      <c r="AA449" s="28"/>
      <c r="AB449" s="28"/>
      <c r="AC449" s="28"/>
      <c r="AD449" s="28"/>
      <c r="AE449" s="28"/>
      <c r="AF449" s="29"/>
      <c r="AG449" s="29"/>
      <c r="AH449" s="30"/>
      <c r="AI449" s="31"/>
      <c r="AJ449" s="28"/>
      <c r="AK449" s="32"/>
      <c r="AL449" s="32"/>
      <c r="AM449" s="32"/>
      <c r="AN449" s="32"/>
      <c r="AO449" s="28"/>
      <c r="AP449" s="29"/>
    </row>
    <row r="450">
      <c r="A450" s="53" t="s">
        <v>1923</v>
      </c>
      <c r="B450" s="53" t="s">
        <v>1924</v>
      </c>
      <c r="C450" s="53" t="s">
        <v>1202</v>
      </c>
      <c r="D450" s="53" t="s">
        <v>1203</v>
      </c>
      <c r="E450" s="53" t="s">
        <v>1204</v>
      </c>
      <c r="F450" s="53" t="s">
        <v>47</v>
      </c>
      <c r="G450" s="53" t="s">
        <v>1205</v>
      </c>
      <c r="H450" s="53" t="s">
        <v>1206</v>
      </c>
      <c r="I450" s="53" t="s">
        <v>50</v>
      </c>
      <c r="J450" s="53" t="s">
        <v>51</v>
      </c>
      <c r="K450" s="73" t="s">
        <v>52</v>
      </c>
      <c r="L450" s="53" t="s">
        <v>53</v>
      </c>
      <c r="M450" s="53" t="s">
        <v>69</v>
      </c>
      <c r="N450" s="53" t="s">
        <v>137</v>
      </c>
      <c r="O450" s="53" t="s">
        <v>70</v>
      </c>
      <c r="P450" s="20" t="s">
        <v>211</v>
      </c>
      <c r="Q450" s="21" t="s">
        <v>111</v>
      </c>
      <c r="R450" s="20" t="s">
        <v>1514</v>
      </c>
      <c r="S450" s="20" t="s">
        <v>1925</v>
      </c>
      <c r="T450" s="22">
        <v>5.73126719302E11</v>
      </c>
      <c r="U450" s="53" t="s">
        <v>75</v>
      </c>
      <c r="V450" s="113"/>
      <c r="W450" s="113"/>
      <c r="X450" s="113"/>
      <c r="Y450" s="54">
        <v>5.0</v>
      </c>
      <c r="Z450" s="28"/>
      <c r="AA450" s="28"/>
      <c r="AB450" s="28"/>
      <c r="AC450" s="28"/>
      <c r="AD450" s="28"/>
      <c r="AE450" s="28"/>
      <c r="AF450" s="29"/>
      <c r="AG450" s="29"/>
      <c r="AH450" s="30"/>
      <c r="AI450" s="31"/>
      <c r="AJ450" s="28"/>
      <c r="AK450" s="32"/>
      <c r="AL450" s="32"/>
      <c r="AM450" s="32"/>
      <c r="AN450" s="32"/>
      <c r="AO450" s="28"/>
      <c r="AP450" s="29"/>
    </row>
    <row r="451">
      <c r="A451" s="53" t="s">
        <v>1926</v>
      </c>
      <c r="B451" s="53" t="s">
        <v>1927</v>
      </c>
      <c r="C451" s="53" t="s">
        <v>1202</v>
      </c>
      <c r="D451" s="53" t="s">
        <v>1203</v>
      </c>
      <c r="E451" s="53" t="s">
        <v>1204</v>
      </c>
      <c r="F451" s="53" t="s">
        <v>47</v>
      </c>
      <c r="G451" s="53" t="s">
        <v>1205</v>
      </c>
      <c r="H451" s="53" t="s">
        <v>1206</v>
      </c>
      <c r="I451" s="53" t="s">
        <v>50</v>
      </c>
      <c r="J451" s="53" t="s">
        <v>51</v>
      </c>
      <c r="K451" s="73" t="s">
        <v>52</v>
      </c>
      <c r="L451" s="53" t="s">
        <v>53</v>
      </c>
      <c r="M451" s="53" t="s">
        <v>69</v>
      </c>
      <c r="N451" s="53" t="s">
        <v>137</v>
      </c>
      <c r="O451" s="53" t="s">
        <v>70</v>
      </c>
      <c r="P451" s="20" t="s">
        <v>104</v>
      </c>
      <c r="Q451" s="21" t="s">
        <v>105</v>
      </c>
      <c r="R451" s="20" t="s">
        <v>117</v>
      </c>
      <c r="S451" s="20" t="s">
        <v>1928</v>
      </c>
      <c r="T451" s="22">
        <v>3.18866479E9</v>
      </c>
      <c r="U451" s="53" t="s">
        <v>75</v>
      </c>
      <c r="V451" s="113"/>
      <c r="W451" s="113"/>
      <c r="X451" s="113"/>
      <c r="Y451" s="54">
        <v>5.0</v>
      </c>
      <c r="Z451" s="13"/>
      <c r="AA451" s="13"/>
      <c r="AB451" s="13"/>
      <c r="AC451" s="13"/>
      <c r="AD451" s="13"/>
      <c r="AE451" s="13"/>
      <c r="AF451" s="14"/>
      <c r="AG451" s="14"/>
      <c r="AH451" s="15"/>
      <c r="AI451" s="16"/>
      <c r="AJ451" s="13"/>
      <c r="AK451" s="17"/>
      <c r="AL451" s="17"/>
      <c r="AM451" s="17"/>
      <c r="AN451" s="17"/>
      <c r="AO451" s="13"/>
      <c r="AP451" s="14"/>
    </row>
    <row r="452">
      <c r="A452" s="53" t="s">
        <v>1929</v>
      </c>
      <c r="B452" s="53" t="s">
        <v>1930</v>
      </c>
      <c r="C452" s="53" t="s">
        <v>1202</v>
      </c>
      <c r="D452" s="53" t="s">
        <v>1203</v>
      </c>
      <c r="E452" s="53" t="s">
        <v>1204</v>
      </c>
      <c r="F452" s="53" t="s">
        <v>47</v>
      </c>
      <c r="G452" s="53" t="s">
        <v>1205</v>
      </c>
      <c r="H452" s="53" t="s">
        <v>1206</v>
      </c>
      <c r="I452" s="53" t="s">
        <v>50</v>
      </c>
      <c r="J452" s="53" t="s">
        <v>51</v>
      </c>
      <c r="K452" s="73" t="s">
        <v>52</v>
      </c>
      <c r="L452" s="53" t="s">
        <v>84</v>
      </c>
      <c r="M452" s="53" t="s">
        <v>69</v>
      </c>
      <c r="N452" s="53" t="s">
        <v>55</v>
      </c>
      <c r="O452" s="53" t="s">
        <v>70</v>
      </c>
      <c r="P452" s="20" t="s">
        <v>57</v>
      </c>
      <c r="Q452" s="21" t="s">
        <v>105</v>
      </c>
      <c r="R452" s="20" t="s">
        <v>1931</v>
      </c>
      <c r="S452" s="20" t="s">
        <v>1932</v>
      </c>
      <c r="T452" s="22">
        <v>5.73006115244E11</v>
      </c>
      <c r="U452" s="53" t="s">
        <v>75</v>
      </c>
      <c r="V452" s="113"/>
      <c r="W452" s="113"/>
      <c r="X452" s="113"/>
      <c r="Y452" s="54">
        <v>5.0</v>
      </c>
      <c r="Z452" s="13"/>
      <c r="AA452" s="13"/>
      <c r="AB452" s="13"/>
      <c r="AC452" s="13"/>
      <c r="AD452" s="13"/>
      <c r="AE452" s="13"/>
      <c r="AF452" s="14"/>
      <c r="AG452" s="14"/>
      <c r="AH452" s="15"/>
      <c r="AI452" s="16"/>
      <c r="AJ452" s="13"/>
      <c r="AK452" s="17"/>
      <c r="AL452" s="17"/>
      <c r="AM452" s="17"/>
      <c r="AN452" s="17"/>
      <c r="AO452" s="13"/>
      <c r="AP452" s="14"/>
    </row>
    <row r="453">
      <c r="A453" s="53" t="s">
        <v>1933</v>
      </c>
      <c r="B453" s="53" t="s">
        <v>1934</v>
      </c>
      <c r="C453" s="53" t="s">
        <v>1202</v>
      </c>
      <c r="D453" s="53" t="s">
        <v>1203</v>
      </c>
      <c r="E453" s="53" t="s">
        <v>1204</v>
      </c>
      <c r="F453" s="53" t="s">
        <v>47</v>
      </c>
      <c r="G453" s="53" t="s">
        <v>1205</v>
      </c>
      <c r="H453" s="53" t="s">
        <v>1206</v>
      </c>
      <c r="I453" s="53" t="s">
        <v>50</v>
      </c>
      <c r="J453" s="53" t="s">
        <v>51</v>
      </c>
      <c r="K453" s="73" t="s">
        <v>52</v>
      </c>
      <c r="L453" s="53" t="s">
        <v>53</v>
      </c>
      <c r="M453" s="53" t="s">
        <v>69</v>
      </c>
      <c r="N453" s="53" t="s">
        <v>55</v>
      </c>
      <c r="O453" s="53" t="s">
        <v>70</v>
      </c>
      <c r="P453" s="20" t="s">
        <v>141</v>
      </c>
      <c r="Q453" s="21" t="s">
        <v>72</v>
      </c>
      <c r="R453" s="20" t="s">
        <v>173</v>
      </c>
      <c r="S453" s="20" t="s">
        <v>1935</v>
      </c>
      <c r="T453" s="22">
        <v>5.73204726112E11</v>
      </c>
      <c r="U453" s="53" t="s">
        <v>61</v>
      </c>
      <c r="V453" s="113"/>
      <c r="W453" s="113"/>
      <c r="X453" s="113"/>
      <c r="Y453" s="54">
        <v>5.0</v>
      </c>
      <c r="Z453" s="13"/>
      <c r="AA453" s="13"/>
      <c r="AB453" s="13"/>
      <c r="AC453" s="13"/>
      <c r="AD453" s="13"/>
      <c r="AE453" s="13"/>
      <c r="AF453" s="14"/>
      <c r="AG453" s="14"/>
      <c r="AH453" s="15"/>
      <c r="AI453" s="16"/>
      <c r="AJ453" s="13"/>
      <c r="AK453" s="17"/>
      <c r="AL453" s="17"/>
      <c r="AM453" s="17"/>
      <c r="AN453" s="17"/>
      <c r="AO453" s="13"/>
      <c r="AP453" s="14"/>
    </row>
    <row r="454">
      <c r="A454" s="53" t="s">
        <v>1936</v>
      </c>
      <c r="B454" s="53" t="s">
        <v>1937</v>
      </c>
      <c r="C454" s="53" t="s">
        <v>1202</v>
      </c>
      <c r="D454" s="53" t="s">
        <v>1203</v>
      </c>
      <c r="E454" s="53" t="s">
        <v>1204</v>
      </c>
      <c r="F454" s="53" t="s">
        <v>47</v>
      </c>
      <c r="G454" s="53" t="s">
        <v>1205</v>
      </c>
      <c r="H454" s="53" t="s">
        <v>1206</v>
      </c>
      <c r="I454" s="53" t="s">
        <v>50</v>
      </c>
      <c r="J454" s="53" t="s">
        <v>51</v>
      </c>
      <c r="K454" s="73" t="s">
        <v>52</v>
      </c>
      <c r="L454" s="53" t="s">
        <v>53</v>
      </c>
      <c r="M454" s="53" t="s">
        <v>54</v>
      </c>
      <c r="N454" s="53" t="s">
        <v>55</v>
      </c>
      <c r="O454" s="53" t="s">
        <v>70</v>
      </c>
      <c r="P454" s="20" t="s">
        <v>141</v>
      </c>
      <c r="Q454" s="21" t="s">
        <v>111</v>
      </c>
      <c r="R454" s="20" t="s">
        <v>73</v>
      </c>
      <c r="S454" s="20" t="s">
        <v>1938</v>
      </c>
      <c r="T454" s="22">
        <v>5.73172130579E11</v>
      </c>
      <c r="U454" s="53" t="s">
        <v>75</v>
      </c>
      <c r="V454" s="113"/>
      <c r="W454" s="113"/>
      <c r="X454" s="113"/>
      <c r="Y454" s="54">
        <v>5.0</v>
      </c>
      <c r="Z454" s="13"/>
      <c r="AA454" s="13"/>
      <c r="AB454" s="13"/>
      <c r="AC454" s="13"/>
      <c r="AD454" s="13"/>
      <c r="AE454" s="13"/>
      <c r="AF454" s="14"/>
      <c r="AG454" s="14"/>
      <c r="AH454" s="15"/>
      <c r="AI454" s="16"/>
      <c r="AJ454" s="13"/>
      <c r="AK454" s="17"/>
      <c r="AL454" s="17"/>
      <c r="AM454" s="17"/>
      <c r="AN454" s="17"/>
      <c r="AO454" s="13"/>
      <c r="AP454" s="14"/>
    </row>
    <row r="455">
      <c r="A455" s="53" t="s">
        <v>1939</v>
      </c>
      <c r="B455" s="53" t="s">
        <v>1940</v>
      </c>
      <c r="C455" s="53" t="s">
        <v>1202</v>
      </c>
      <c r="D455" s="53" t="s">
        <v>1203</v>
      </c>
      <c r="E455" s="53" t="s">
        <v>1204</v>
      </c>
      <c r="F455" s="53" t="s">
        <v>47</v>
      </c>
      <c r="G455" s="53" t="s">
        <v>1205</v>
      </c>
      <c r="H455" s="53" t="s">
        <v>1206</v>
      </c>
      <c r="I455" s="53" t="s">
        <v>50</v>
      </c>
      <c r="J455" s="53" t="s">
        <v>51</v>
      </c>
      <c r="K455" s="73" t="s">
        <v>52</v>
      </c>
      <c r="L455" s="53" t="s">
        <v>53</v>
      </c>
      <c r="M455" s="53" t="s">
        <v>69</v>
      </c>
      <c r="N455" s="53" t="s">
        <v>55</v>
      </c>
      <c r="O455" s="53" t="s">
        <v>70</v>
      </c>
      <c r="P455" s="20" t="s">
        <v>936</v>
      </c>
      <c r="Q455" s="21" t="s">
        <v>111</v>
      </c>
      <c r="R455" s="20" t="s">
        <v>173</v>
      </c>
      <c r="S455" s="20" t="s">
        <v>1941</v>
      </c>
      <c r="T455" s="22">
        <v>5.7304670746E11</v>
      </c>
      <c r="U455" s="53" t="s">
        <v>75</v>
      </c>
      <c r="V455" s="113"/>
      <c r="W455" s="113"/>
      <c r="X455" s="113"/>
      <c r="Y455" s="54">
        <v>5.0</v>
      </c>
      <c r="Z455" s="13"/>
      <c r="AA455" s="13"/>
      <c r="AB455" s="13"/>
      <c r="AC455" s="13"/>
      <c r="AD455" s="13"/>
      <c r="AE455" s="13"/>
      <c r="AF455" s="14"/>
      <c r="AG455" s="14"/>
      <c r="AH455" s="15"/>
      <c r="AI455" s="16"/>
      <c r="AJ455" s="13"/>
      <c r="AK455" s="17"/>
      <c r="AL455" s="17"/>
      <c r="AM455" s="17"/>
      <c r="AN455" s="17"/>
      <c r="AO455" s="13"/>
      <c r="AP455" s="14"/>
    </row>
    <row r="456">
      <c r="A456" s="53" t="s">
        <v>1942</v>
      </c>
      <c r="B456" s="53" t="s">
        <v>1943</v>
      </c>
      <c r="C456" s="53" t="s">
        <v>1202</v>
      </c>
      <c r="D456" s="53" t="s">
        <v>1203</v>
      </c>
      <c r="E456" s="53" t="s">
        <v>1204</v>
      </c>
      <c r="F456" s="53" t="s">
        <v>47</v>
      </c>
      <c r="G456" s="53" t="s">
        <v>1205</v>
      </c>
      <c r="H456" s="53" t="s">
        <v>1206</v>
      </c>
      <c r="I456" s="53" t="s">
        <v>50</v>
      </c>
      <c r="J456" s="53" t="s">
        <v>51</v>
      </c>
      <c r="K456" s="73" t="s">
        <v>52</v>
      </c>
      <c r="L456" s="53" t="s">
        <v>53</v>
      </c>
      <c r="M456" s="53" t="s">
        <v>69</v>
      </c>
      <c r="N456" s="53" t="s">
        <v>55</v>
      </c>
      <c r="O456" s="53" t="s">
        <v>70</v>
      </c>
      <c r="P456" s="20" t="s">
        <v>141</v>
      </c>
      <c r="Q456" s="21" t="s">
        <v>111</v>
      </c>
      <c r="R456" s="20" t="s">
        <v>914</v>
      </c>
      <c r="S456" s="20" t="s">
        <v>1944</v>
      </c>
      <c r="T456" s="22">
        <v>5.73506256538E11</v>
      </c>
      <c r="U456" s="53" t="s">
        <v>61</v>
      </c>
      <c r="V456" s="113"/>
      <c r="W456" s="113"/>
      <c r="X456" s="113"/>
      <c r="Y456" s="54">
        <v>5.0</v>
      </c>
      <c r="Z456" s="13"/>
      <c r="AA456" s="13"/>
      <c r="AB456" s="13"/>
      <c r="AC456" s="13"/>
      <c r="AD456" s="13"/>
      <c r="AE456" s="13"/>
      <c r="AF456" s="14"/>
      <c r="AG456" s="14"/>
      <c r="AH456" s="15"/>
      <c r="AI456" s="16"/>
      <c r="AJ456" s="13"/>
      <c r="AK456" s="17"/>
      <c r="AL456" s="17"/>
      <c r="AM456" s="17"/>
      <c r="AN456" s="17"/>
      <c r="AO456" s="13"/>
      <c r="AP456" s="14"/>
    </row>
    <row r="457">
      <c r="A457" s="53" t="s">
        <v>1945</v>
      </c>
      <c r="B457" s="53" t="s">
        <v>1946</v>
      </c>
      <c r="C457" s="53" t="s">
        <v>1202</v>
      </c>
      <c r="D457" s="53" t="s">
        <v>1203</v>
      </c>
      <c r="E457" s="53" t="s">
        <v>1204</v>
      </c>
      <c r="F457" s="53" t="s">
        <v>47</v>
      </c>
      <c r="G457" s="53" t="s">
        <v>1205</v>
      </c>
      <c r="H457" s="53" t="s">
        <v>1206</v>
      </c>
      <c r="I457" s="53" t="s">
        <v>50</v>
      </c>
      <c r="J457" s="53" t="s">
        <v>51</v>
      </c>
      <c r="K457" s="73" t="s">
        <v>52</v>
      </c>
      <c r="L457" s="53" t="s">
        <v>53</v>
      </c>
      <c r="M457" s="53" t="s">
        <v>54</v>
      </c>
      <c r="N457" s="53" t="s">
        <v>55</v>
      </c>
      <c r="O457" s="53" t="s">
        <v>70</v>
      </c>
      <c r="P457" s="20" t="s">
        <v>182</v>
      </c>
      <c r="Q457" s="21" t="s">
        <v>111</v>
      </c>
      <c r="R457" s="20" t="s">
        <v>189</v>
      </c>
      <c r="S457" s="20" t="s">
        <v>1947</v>
      </c>
      <c r="T457" s="22">
        <v>5.73246484044E11</v>
      </c>
      <c r="U457" s="53" t="s">
        <v>61</v>
      </c>
      <c r="V457" s="113"/>
      <c r="W457" s="113"/>
      <c r="X457" s="113"/>
      <c r="Y457" s="54">
        <v>5.0</v>
      </c>
      <c r="Z457" s="13"/>
      <c r="AA457" s="13"/>
      <c r="AB457" s="13"/>
      <c r="AC457" s="13"/>
      <c r="AD457" s="13"/>
      <c r="AE457" s="13"/>
      <c r="AF457" s="14"/>
      <c r="AG457" s="14"/>
      <c r="AH457" s="15"/>
      <c r="AI457" s="16"/>
      <c r="AJ457" s="13"/>
      <c r="AK457" s="17"/>
      <c r="AL457" s="17"/>
      <c r="AM457" s="17"/>
      <c r="AN457" s="17"/>
      <c r="AO457" s="13"/>
      <c r="AP457" s="14"/>
    </row>
    <row r="458">
      <c r="A458" s="53" t="s">
        <v>1948</v>
      </c>
      <c r="B458" s="53" t="s">
        <v>1949</v>
      </c>
      <c r="C458" s="53" t="s">
        <v>1202</v>
      </c>
      <c r="D458" s="53" t="s">
        <v>1203</v>
      </c>
      <c r="E458" s="53" t="s">
        <v>1204</v>
      </c>
      <c r="F458" s="53" t="s">
        <v>47</v>
      </c>
      <c r="G458" s="53" t="s">
        <v>1205</v>
      </c>
      <c r="H458" s="53" t="s">
        <v>1206</v>
      </c>
      <c r="I458" s="53" t="s">
        <v>50</v>
      </c>
      <c r="J458" s="53" t="s">
        <v>51</v>
      </c>
      <c r="K458" s="73" t="s">
        <v>52</v>
      </c>
      <c r="L458" s="53" t="s">
        <v>53</v>
      </c>
      <c r="M458" s="53" t="s">
        <v>54</v>
      </c>
      <c r="N458" s="53" t="s">
        <v>137</v>
      </c>
      <c r="O458" s="53" t="s">
        <v>70</v>
      </c>
      <c r="T458" s="114"/>
      <c r="U458" s="53" t="s">
        <v>75</v>
      </c>
      <c r="V458" s="113"/>
      <c r="W458" s="113"/>
      <c r="X458" s="113"/>
      <c r="Y458" s="54">
        <v>5.0</v>
      </c>
      <c r="Z458" s="13"/>
      <c r="AA458" s="13"/>
      <c r="AB458" s="13"/>
      <c r="AC458" s="13"/>
      <c r="AD458" s="13"/>
      <c r="AE458" s="13"/>
      <c r="AF458" s="14"/>
      <c r="AG458" s="14"/>
      <c r="AH458" s="15"/>
      <c r="AI458" s="16"/>
      <c r="AJ458" s="13"/>
      <c r="AK458" s="17"/>
      <c r="AL458" s="17"/>
      <c r="AM458" s="17"/>
      <c r="AN458" s="17"/>
      <c r="AO458" s="13"/>
      <c r="AP458" s="14"/>
    </row>
    <row r="459">
      <c r="A459" s="53" t="s">
        <v>1950</v>
      </c>
      <c r="B459" s="53" t="s">
        <v>1951</v>
      </c>
      <c r="C459" s="53" t="s">
        <v>1202</v>
      </c>
      <c r="D459" s="53" t="s">
        <v>1203</v>
      </c>
      <c r="E459" s="53" t="s">
        <v>1204</v>
      </c>
      <c r="F459" s="53" t="s">
        <v>47</v>
      </c>
      <c r="G459" s="53" t="s">
        <v>1205</v>
      </c>
      <c r="H459" s="53" t="s">
        <v>1206</v>
      </c>
      <c r="I459" s="53" t="s">
        <v>50</v>
      </c>
      <c r="J459" s="53" t="s">
        <v>51</v>
      </c>
      <c r="K459" s="73" t="s">
        <v>52</v>
      </c>
      <c r="L459" s="53" t="s">
        <v>53</v>
      </c>
      <c r="M459" s="53" t="s">
        <v>69</v>
      </c>
      <c r="N459" s="53" t="s">
        <v>55</v>
      </c>
      <c r="O459" s="53" t="s">
        <v>70</v>
      </c>
      <c r="P459" s="25" t="s">
        <v>706</v>
      </c>
      <c r="Q459" s="26" t="s">
        <v>72</v>
      </c>
      <c r="R459" s="25" t="s">
        <v>184</v>
      </c>
      <c r="S459" s="25" t="s">
        <v>1952</v>
      </c>
      <c r="T459" s="27">
        <v>5.73147791617E11</v>
      </c>
      <c r="U459" s="53" t="s">
        <v>61</v>
      </c>
      <c r="V459" s="113"/>
      <c r="W459" s="113"/>
      <c r="X459" s="113"/>
      <c r="Y459" s="54">
        <v>5.0</v>
      </c>
      <c r="Z459" s="13"/>
      <c r="AA459" s="13"/>
      <c r="AB459" s="13"/>
      <c r="AC459" s="13"/>
      <c r="AD459" s="13"/>
      <c r="AE459" s="13"/>
      <c r="AF459" s="14"/>
      <c r="AG459" s="14"/>
      <c r="AH459" s="15"/>
      <c r="AI459" s="16"/>
      <c r="AJ459" s="13"/>
      <c r="AK459" s="17"/>
      <c r="AL459" s="17"/>
      <c r="AM459" s="17"/>
      <c r="AN459" s="17"/>
      <c r="AO459" s="13"/>
      <c r="AP459" s="14"/>
    </row>
    <row r="460">
      <c r="A460" s="53" t="s">
        <v>1953</v>
      </c>
      <c r="B460" s="53" t="s">
        <v>1954</v>
      </c>
      <c r="C460" s="53" t="s">
        <v>1202</v>
      </c>
      <c r="D460" s="53" t="s">
        <v>1203</v>
      </c>
      <c r="E460" s="53" t="s">
        <v>1204</v>
      </c>
      <c r="F460" s="53" t="s">
        <v>47</v>
      </c>
      <c r="G460" s="53" t="s">
        <v>1205</v>
      </c>
      <c r="H460" s="53" t="s">
        <v>1206</v>
      </c>
      <c r="I460" s="53" t="s">
        <v>50</v>
      </c>
      <c r="J460" s="53" t="s">
        <v>51</v>
      </c>
      <c r="K460" s="73" t="s">
        <v>52</v>
      </c>
      <c r="L460" s="53" t="s">
        <v>53</v>
      </c>
      <c r="M460" s="53" t="s">
        <v>54</v>
      </c>
      <c r="N460" s="53" t="s">
        <v>55</v>
      </c>
      <c r="O460" s="53" t="s">
        <v>70</v>
      </c>
      <c r="P460" s="25" t="s">
        <v>211</v>
      </c>
      <c r="Q460" s="26" t="s">
        <v>183</v>
      </c>
      <c r="R460" s="25" t="s">
        <v>1955</v>
      </c>
      <c r="S460" s="25" t="s">
        <v>1956</v>
      </c>
      <c r="T460" s="27">
        <v>5.73016180766E11</v>
      </c>
      <c r="U460" s="53" t="s">
        <v>61</v>
      </c>
      <c r="V460" s="113"/>
      <c r="W460" s="113"/>
      <c r="X460" s="113"/>
      <c r="Y460" s="54">
        <v>5.0</v>
      </c>
      <c r="Z460" s="13"/>
      <c r="AA460" s="13"/>
      <c r="AB460" s="13"/>
      <c r="AC460" s="13"/>
      <c r="AD460" s="13"/>
      <c r="AE460" s="13"/>
      <c r="AF460" s="14"/>
      <c r="AG460" s="14"/>
      <c r="AH460" s="15"/>
      <c r="AI460" s="16"/>
      <c r="AJ460" s="13"/>
      <c r="AK460" s="17"/>
      <c r="AL460" s="17"/>
      <c r="AM460" s="17"/>
      <c r="AN460" s="17"/>
      <c r="AO460" s="13"/>
      <c r="AP460" s="14"/>
    </row>
    <row r="461">
      <c r="A461" s="53" t="s">
        <v>1957</v>
      </c>
      <c r="B461" s="53" t="s">
        <v>1958</v>
      </c>
      <c r="C461" s="53" t="s">
        <v>1202</v>
      </c>
      <c r="D461" s="53" t="s">
        <v>1203</v>
      </c>
      <c r="E461" s="53" t="s">
        <v>1204</v>
      </c>
      <c r="F461" s="53" t="s">
        <v>47</v>
      </c>
      <c r="G461" s="53" t="s">
        <v>1205</v>
      </c>
      <c r="H461" s="53" t="s">
        <v>1206</v>
      </c>
      <c r="I461" s="53" t="s">
        <v>50</v>
      </c>
      <c r="J461" s="53" t="s">
        <v>51</v>
      </c>
      <c r="K461" s="73" t="s">
        <v>52</v>
      </c>
      <c r="L461" s="53" t="s">
        <v>53</v>
      </c>
      <c r="M461" s="53" t="s">
        <v>54</v>
      </c>
      <c r="N461" s="53" t="s">
        <v>85</v>
      </c>
      <c r="O461" s="53" t="s">
        <v>70</v>
      </c>
      <c r="P461" s="25" t="s">
        <v>1959</v>
      </c>
      <c r="Q461" s="26" t="s">
        <v>122</v>
      </c>
      <c r="R461" s="25" t="s">
        <v>207</v>
      </c>
      <c r="S461" s="25" t="s">
        <v>1960</v>
      </c>
      <c r="T461" s="27">
        <v>5.73115750049E11</v>
      </c>
      <c r="U461" s="53" t="s">
        <v>75</v>
      </c>
      <c r="V461" s="113"/>
      <c r="W461" s="113"/>
      <c r="X461" s="113"/>
      <c r="Y461" s="54">
        <v>5.0</v>
      </c>
      <c r="Z461" s="13"/>
      <c r="AA461" s="13"/>
      <c r="AB461" s="13"/>
      <c r="AC461" s="13"/>
      <c r="AD461" s="13"/>
      <c r="AE461" s="13"/>
      <c r="AF461" s="14"/>
      <c r="AG461" s="14"/>
      <c r="AH461" s="15"/>
      <c r="AI461" s="16"/>
      <c r="AJ461" s="13"/>
      <c r="AK461" s="17"/>
      <c r="AL461" s="17"/>
      <c r="AM461" s="17"/>
      <c r="AN461" s="17"/>
      <c r="AO461" s="13"/>
      <c r="AP461" s="14"/>
    </row>
    <row r="462">
      <c r="A462" s="53" t="s">
        <v>1961</v>
      </c>
      <c r="B462" s="53" t="s">
        <v>1962</v>
      </c>
      <c r="C462" s="53" t="s">
        <v>1202</v>
      </c>
      <c r="D462" s="53" t="s">
        <v>1203</v>
      </c>
      <c r="E462" s="53" t="s">
        <v>1204</v>
      </c>
      <c r="F462" s="53" t="s">
        <v>47</v>
      </c>
      <c r="G462" s="53" t="s">
        <v>1205</v>
      </c>
      <c r="H462" s="53" t="s">
        <v>1206</v>
      </c>
      <c r="I462" s="53" t="s">
        <v>50</v>
      </c>
      <c r="J462" s="53" t="s">
        <v>51</v>
      </c>
      <c r="K462" s="73" t="s">
        <v>52</v>
      </c>
      <c r="L462" s="53" t="s">
        <v>53</v>
      </c>
      <c r="M462" s="53" t="s">
        <v>69</v>
      </c>
      <c r="N462" s="53" t="s">
        <v>137</v>
      </c>
      <c r="O462" s="53" t="s">
        <v>70</v>
      </c>
      <c r="P462" s="25" t="s">
        <v>445</v>
      </c>
      <c r="Q462" s="26" t="s">
        <v>111</v>
      </c>
      <c r="R462" s="25" t="s">
        <v>189</v>
      </c>
      <c r="S462" s="25" t="s">
        <v>1963</v>
      </c>
      <c r="T462" s="27">
        <v>5.73136769914E11</v>
      </c>
      <c r="U462" s="53" t="s">
        <v>75</v>
      </c>
      <c r="V462" s="113"/>
      <c r="W462" s="113"/>
      <c r="X462" s="113"/>
      <c r="Y462" s="54">
        <v>5.0</v>
      </c>
      <c r="Z462" s="13"/>
      <c r="AA462" s="13"/>
      <c r="AB462" s="13"/>
      <c r="AC462" s="13"/>
      <c r="AD462" s="13"/>
      <c r="AE462" s="13"/>
      <c r="AF462" s="14"/>
      <c r="AG462" s="14"/>
      <c r="AH462" s="15"/>
      <c r="AI462" s="16"/>
      <c r="AJ462" s="13"/>
      <c r="AK462" s="17"/>
      <c r="AL462" s="17"/>
      <c r="AM462" s="17"/>
      <c r="AN462" s="17"/>
      <c r="AO462" s="13"/>
      <c r="AP462" s="14"/>
    </row>
    <row r="463">
      <c r="A463" s="53" t="s">
        <v>1964</v>
      </c>
      <c r="B463" s="53" t="s">
        <v>1965</v>
      </c>
      <c r="C463" s="53" t="s">
        <v>1202</v>
      </c>
      <c r="D463" s="53" t="s">
        <v>1203</v>
      </c>
      <c r="E463" s="53" t="s">
        <v>1204</v>
      </c>
      <c r="F463" s="53" t="s">
        <v>47</v>
      </c>
      <c r="G463" s="53" t="s">
        <v>1205</v>
      </c>
      <c r="H463" s="53" t="s">
        <v>1206</v>
      </c>
      <c r="I463" s="53" t="s">
        <v>50</v>
      </c>
      <c r="J463" s="53" t="s">
        <v>51</v>
      </c>
      <c r="K463" s="73" t="s">
        <v>52</v>
      </c>
      <c r="L463" s="53" t="s">
        <v>53</v>
      </c>
      <c r="M463" s="53" t="s">
        <v>69</v>
      </c>
      <c r="N463" s="53" t="s">
        <v>85</v>
      </c>
      <c r="O463" s="53" t="s">
        <v>70</v>
      </c>
      <c r="P463" s="25" t="s">
        <v>1966</v>
      </c>
      <c r="Q463" s="26" t="s">
        <v>94</v>
      </c>
      <c r="R463" s="25" t="s">
        <v>173</v>
      </c>
      <c r="S463" s="25" t="s">
        <v>1967</v>
      </c>
      <c r="T463" s="27">
        <v>5.73006194099E11</v>
      </c>
      <c r="U463" s="53" t="s">
        <v>61</v>
      </c>
      <c r="V463" s="113"/>
      <c r="W463" s="113"/>
      <c r="X463" s="113"/>
      <c r="Y463" s="54">
        <v>5.0</v>
      </c>
      <c r="Z463" s="13"/>
      <c r="AA463" s="13"/>
      <c r="AB463" s="13"/>
      <c r="AC463" s="13"/>
      <c r="AD463" s="13"/>
      <c r="AE463" s="13"/>
      <c r="AF463" s="14"/>
      <c r="AG463" s="14"/>
      <c r="AH463" s="15"/>
      <c r="AI463" s="16"/>
      <c r="AJ463" s="13"/>
      <c r="AK463" s="17"/>
      <c r="AL463" s="17"/>
      <c r="AM463" s="17"/>
      <c r="AN463" s="17"/>
      <c r="AO463" s="13"/>
      <c r="AP463" s="14"/>
    </row>
    <row r="464">
      <c r="A464" s="53" t="s">
        <v>1968</v>
      </c>
      <c r="B464" s="53" t="s">
        <v>1969</v>
      </c>
      <c r="C464" s="53" t="s">
        <v>1202</v>
      </c>
      <c r="D464" s="53" t="s">
        <v>1203</v>
      </c>
      <c r="E464" s="53" t="s">
        <v>1204</v>
      </c>
      <c r="F464" s="53" t="s">
        <v>47</v>
      </c>
      <c r="G464" s="53" t="s">
        <v>1205</v>
      </c>
      <c r="H464" s="53" t="s">
        <v>1206</v>
      </c>
      <c r="I464" s="53" t="s">
        <v>50</v>
      </c>
      <c r="J464" s="53" t="s">
        <v>51</v>
      </c>
      <c r="K464" s="73" t="s">
        <v>52</v>
      </c>
      <c r="L464" s="53" t="s">
        <v>53</v>
      </c>
      <c r="M464" s="53" t="s">
        <v>54</v>
      </c>
      <c r="N464" s="53" t="s">
        <v>137</v>
      </c>
      <c r="O464" s="53" t="s">
        <v>70</v>
      </c>
      <c r="P464" s="25" t="s">
        <v>706</v>
      </c>
      <c r="Q464" s="26" t="s">
        <v>58</v>
      </c>
      <c r="R464" s="25" t="s">
        <v>79</v>
      </c>
      <c r="S464" s="25" t="s">
        <v>1970</v>
      </c>
      <c r="T464" s="27">
        <v>5.73162392137E11</v>
      </c>
      <c r="U464" s="53" t="s">
        <v>61</v>
      </c>
      <c r="V464" s="113"/>
      <c r="W464" s="113"/>
      <c r="X464" s="113"/>
      <c r="Y464" s="54">
        <v>5.0</v>
      </c>
      <c r="Z464" s="34"/>
      <c r="AA464" s="34"/>
      <c r="AB464" s="34"/>
      <c r="AC464" s="34"/>
      <c r="AD464" s="34"/>
      <c r="AE464" s="34"/>
      <c r="AF464" s="35"/>
      <c r="AG464" s="35"/>
      <c r="AH464" s="36"/>
      <c r="AI464" s="37"/>
      <c r="AJ464" s="34"/>
      <c r="AK464" s="38"/>
      <c r="AL464" s="38"/>
      <c r="AM464" s="38"/>
      <c r="AN464" s="38"/>
      <c r="AO464" s="34"/>
      <c r="AP464" s="35"/>
    </row>
    <row r="465">
      <c r="A465" s="53" t="s">
        <v>1971</v>
      </c>
      <c r="B465" s="53" t="s">
        <v>1972</v>
      </c>
      <c r="C465" s="53" t="s">
        <v>1202</v>
      </c>
      <c r="D465" s="53" t="s">
        <v>1203</v>
      </c>
      <c r="E465" s="53" t="s">
        <v>1204</v>
      </c>
      <c r="F465" s="53" t="s">
        <v>47</v>
      </c>
      <c r="G465" s="53" t="s">
        <v>1205</v>
      </c>
      <c r="H465" s="53" t="s">
        <v>1206</v>
      </c>
      <c r="I465" s="53" t="s">
        <v>50</v>
      </c>
      <c r="J465" s="53" t="s">
        <v>51</v>
      </c>
      <c r="K465" s="73" t="s">
        <v>52</v>
      </c>
      <c r="L465" s="53" t="s">
        <v>53</v>
      </c>
      <c r="M465" s="53" t="s">
        <v>54</v>
      </c>
      <c r="N465" s="53" t="s">
        <v>137</v>
      </c>
      <c r="O465" s="53" t="s">
        <v>70</v>
      </c>
      <c r="P465" s="25" t="s">
        <v>167</v>
      </c>
      <c r="Q465" s="26" t="s">
        <v>487</v>
      </c>
      <c r="R465" s="26" t="s">
        <v>72</v>
      </c>
      <c r="S465" s="25" t="s">
        <v>1973</v>
      </c>
      <c r="T465" s="27">
        <v>5.73158685752E11</v>
      </c>
      <c r="U465" s="53" t="s">
        <v>75</v>
      </c>
      <c r="V465" s="113"/>
      <c r="W465" s="113"/>
      <c r="X465" s="113"/>
      <c r="Y465" s="54">
        <v>5.0</v>
      </c>
      <c r="Z465" s="13"/>
      <c r="AA465" s="13"/>
      <c r="AB465" s="13"/>
      <c r="AC465" s="13"/>
      <c r="AD465" s="13"/>
      <c r="AE465" s="13"/>
      <c r="AF465" s="14"/>
      <c r="AG465" s="14"/>
      <c r="AH465" s="15"/>
      <c r="AI465" s="16"/>
      <c r="AJ465" s="13"/>
      <c r="AK465" s="17"/>
      <c r="AL465" s="17"/>
      <c r="AM465" s="17"/>
      <c r="AN465" s="17"/>
      <c r="AO465" s="13"/>
      <c r="AP465" s="14"/>
    </row>
    <row r="466">
      <c r="A466" s="53" t="s">
        <v>1974</v>
      </c>
      <c r="B466" s="53" t="s">
        <v>1975</v>
      </c>
      <c r="C466" s="53" t="s">
        <v>1202</v>
      </c>
      <c r="D466" s="53" t="s">
        <v>1203</v>
      </c>
      <c r="E466" s="53" t="s">
        <v>1204</v>
      </c>
      <c r="F466" s="53" t="s">
        <v>47</v>
      </c>
      <c r="G466" s="53" t="s">
        <v>1205</v>
      </c>
      <c r="H466" s="53" t="s">
        <v>1206</v>
      </c>
      <c r="I466" s="53" t="s">
        <v>50</v>
      </c>
      <c r="J466" s="53" t="s">
        <v>51</v>
      </c>
      <c r="K466" s="73" t="s">
        <v>52</v>
      </c>
      <c r="L466" s="53" t="s">
        <v>84</v>
      </c>
      <c r="M466" s="53" t="s">
        <v>69</v>
      </c>
      <c r="N466" s="53" t="s">
        <v>85</v>
      </c>
      <c r="O466" s="53" t="s">
        <v>70</v>
      </c>
      <c r="P466" s="25" t="s">
        <v>57</v>
      </c>
      <c r="Q466" s="26" t="s">
        <v>122</v>
      </c>
      <c r="R466" s="25" t="s">
        <v>1976</v>
      </c>
      <c r="S466" s="25" t="s">
        <v>1977</v>
      </c>
      <c r="T466" s="27">
        <v>1.314810894E10</v>
      </c>
      <c r="U466" s="53" t="s">
        <v>681</v>
      </c>
      <c r="V466" s="113"/>
      <c r="W466" s="113"/>
      <c r="X466" s="113"/>
      <c r="Y466" s="54">
        <v>5.0</v>
      </c>
      <c r="Z466" s="13"/>
      <c r="AA466" s="13"/>
      <c r="AB466" s="13"/>
      <c r="AC466" s="13"/>
      <c r="AD466" s="13"/>
      <c r="AE466" s="13"/>
      <c r="AF466" s="14"/>
      <c r="AG466" s="14"/>
      <c r="AH466" s="15"/>
      <c r="AI466" s="16"/>
      <c r="AJ466" s="13"/>
      <c r="AK466" s="17"/>
      <c r="AL466" s="17"/>
      <c r="AM466" s="17"/>
      <c r="AN466" s="17"/>
      <c r="AO466" s="13"/>
      <c r="AP466" s="14"/>
    </row>
    <row r="467">
      <c r="A467" s="53" t="s">
        <v>1978</v>
      </c>
      <c r="B467" s="53" t="s">
        <v>1979</v>
      </c>
      <c r="C467" s="53" t="s">
        <v>1202</v>
      </c>
      <c r="D467" s="53" t="s">
        <v>1203</v>
      </c>
      <c r="E467" s="53" t="s">
        <v>1204</v>
      </c>
      <c r="F467" s="53" t="s">
        <v>47</v>
      </c>
      <c r="G467" s="53" t="s">
        <v>1205</v>
      </c>
      <c r="H467" s="53" t="s">
        <v>1206</v>
      </c>
      <c r="I467" s="53" t="s">
        <v>50</v>
      </c>
      <c r="J467" s="53" t="s">
        <v>51</v>
      </c>
      <c r="K467" s="73" t="s">
        <v>52</v>
      </c>
      <c r="L467" s="53" t="s">
        <v>53</v>
      </c>
      <c r="M467" s="53" t="s">
        <v>69</v>
      </c>
      <c r="N467" s="53" t="s">
        <v>55</v>
      </c>
      <c r="O467" s="53" t="s">
        <v>70</v>
      </c>
      <c r="P467" s="25" t="s">
        <v>211</v>
      </c>
      <c r="Q467" s="26" t="s">
        <v>122</v>
      </c>
      <c r="R467" s="25" t="s">
        <v>1980</v>
      </c>
      <c r="S467" s="25" t="s">
        <v>1981</v>
      </c>
      <c r="T467" s="27">
        <v>5.73183904015E11</v>
      </c>
      <c r="U467" s="53" t="s">
        <v>61</v>
      </c>
      <c r="V467" s="113"/>
      <c r="W467" s="113"/>
      <c r="X467" s="113"/>
      <c r="Y467" s="54">
        <v>5.0</v>
      </c>
      <c r="Z467" s="28"/>
      <c r="AA467" s="28"/>
      <c r="AB467" s="28"/>
      <c r="AC467" s="28"/>
      <c r="AD467" s="28"/>
      <c r="AE467" s="28"/>
      <c r="AF467" s="29"/>
      <c r="AG467" s="29"/>
      <c r="AH467" s="30"/>
      <c r="AI467" s="31"/>
      <c r="AJ467" s="28"/>
      <c r="AK467" s="32"/>
      <c r="AL467" s="32"/>
      <c r="AM467" s="32"/>
      <c r="AN467" s="32"/>
      <c r="AO467" s="28"/>
      <c r="AP467" s="29"/>
    </row>
    <row r="468">
      <c r="A468" s="53" t="s">
        <v>1982</v>
      </c>
      <c r="B468" s="53" t="s">
        <v>1983</v>
      </c>
      <c r="C468" s="53" t="s">
        <v>1202</v>
      </c>
      <c r="D468" s="53" t="s">
        <v>1203</v>
      </c>
      <c r="E468" s="53" t="s">
        <v>1204</v>
      </c>
      <c r="F468" s="53" t="s">
        <v>47</v>
      </c>
      <c r="G468" s="53" t="s">
        <v>1205</v>
      </c>
      <c r="H468" s="53" t="s">
        <v>1206</v>
      </c>
      <c r="I468" s="53" t="s">
        <v>50</v>
      </c>
      <c r="J468" s="53" t="s">
        <v>51</v>
      </c>
      <c r="K468" s="73" t="s">
        <v>52</v>
      </c>
      <c r="L468" s="53" t="s">
        <v>53</v>
      </c>
      <c r="M468" s="53" t="s">
        <v>54</v>
      </c>
      <c r="N468" s="53" t="s">
        <v>137</v>
      </c>
      <c r="O468" s="53" t="s">
        <v>70</v>
      </c>
      <c r="P468" s="25" t="s">
        <v>1984</v>
      </c>
      <c r="Q468" s="26" t="s">
        <v>122</v>
      </c>
      <c r="R468" s="25" t="s">
        <v>1985</v>
      </c>
      <c r="S468" s="25" t="s">
        <v>1986</v>
      </c>
      <c r="T468" s="27">
        <v>5.76455787E8</v>
      </c>
      <c r="U468" s="53" t="s">
        <v>75</v>
      </c>
      <c r="V468" s="113"/>
      <c r="W468" s="113"/>
      <c r="X468" s="113"/>
      <c r="Y468" s="54">
        <v>5.0</v>
      </c>
      <c r="Z468" s="28"/>
      <c r="AA468" s="28"/>
      <c r="AB468" s="28"/>
      <c r="AC468" s="28"/>
      <c r="AD468" s="28"/>
      <c r="AE468" s="28"/>
      <c r="AF468" s="29"/>
      <c r="AG468" s="29"/>
      <c r="AH468" s="30"/>
      <c r="AI468" s="31"/>
      <c r="AJ468" s="28"/>
      <c r="AK468" s="32"/>
      <c r="AL468" s="32"/>
      <c r="AM468" s="32"/>
      <c r="AN468" s="32"/>
      <c r="AO468" s="28"/>
      <c r="AP468" s="29"/>
    </row>
    <row r="469">
      <c r="A469" s="53" t="s">
        <v>1987</v>
      </c>
      <c r="B469" s="53" t="s">
        <v>1988</v>
      </c>
      <c r="C469" s="53" t="s">
        <v>1202</v>
      </c>
      <c r="D469" s="53" t="s">
        <v>1203</v>
      </c>
      <c r="E469" s="53" t="s">
        <v>1204</v>
      </c>
      <c r="F469" s="53" t="s">
        <v>47</v>
      </c>
      <c r="G469" s="53" t="s">
        <v>1205</v>
      </c>
      <c r="H469" s="53" t="s">
        <v>1206</v>
      </c>
      <c r="I469" s="53" t="s">
        <v>50</v>
      </c>
      <c r="J469" s="53" t="s">
        <v>51</v>
      </c>
      <c r="K469" s="73" t="s">
        <v>52</v>
      </c>
      <c r="L469" s="53" t="s">
        <v>53</v>
      </c>
      <c r="M469" s="53" t="s">
        <v>69</v>
      </c>
      <c r="N469" s="53" t="s">
        <v>137</v>
      </c>
      <c r="O469" s="53" t="s">
        <v>70</v>
      </c>
      <c r="P469" s="25" t="s">
        <v>1989</v>
      </c>
      <c r="Q469" s="26" t="s">
        <v>72</v>
      </c>
      <c r="R469" s="25" t="s">
        <v>1990</v>
      </c>
      <c r="S469" s="25" t="s">
        <v>1991</v>
      </c>
      <c r="T469" s="27">
        <v>5.73017427815E11</v>
      </c>
      <c r="U469" s="53" t="s">
        <v>61</v>
      </c>
      <c r="V469" s="113"/>
      <c r="W469" s="113"/>
      <c r="X469" s="113"/>
      <c r="Y469" s="54">
        <v>5.0</v>
      </c>
      <c r="Z469" s="28"/>
      <c r="AA469" s="28"/>
      <c r="AB469" s="29"/>
      <c r="AC469" s="29"/>
      <c r="AD469" s="29"/>
      <c r="AE469" s="29"/>
      <c r="AF469" s="29"/>
      <c r="AG469" s="29"/>
      <c r="AH469" s="30"/>
      <c r="AI469" s="31"/>
      <c r="AJ469" s="28"/>
      <c r="AK469" s="28"/>
      <c r="AL469" s="28"/>
      <c r="AM469" s="32"/>
      <c r="AN469" s="32"/>
      <c r="AO469" s="28"/>
      <c r="AP469" s="29"/>
    </row>
    <row r="470">
      <c r="A470" s="53" t="s">
        <v>1992</v>
      </c>
      <c r="B470" s="53" t="s">
        <v>1993</v>
      </c>
      <c r="C470" s="53" t="s">
        <v>1202</v>
      </c>
      <c r="D470" s="53" t="s">
        <v>1203</v>
      </c>
      <c r="E470" s="53" t="s">
        <v>1204</v>
      </c>
      <c r="F470" s="53" t="s">
        <v>47</v>
      </c>
      <c r="G470" s="53" t="s">
        <v>1205</v>
      </c>
      <c r="H470" s="53" t="s">
        <v>1206</v>
      </c>
      <c r="I470" s="53" t="s">
        <v>50</v>
      </c>
      <c r="J470" s="53" t="s">
        <v>51</v>
      </c>
      <c r="K470" s="73" t="s">
        <v>52</v>
      </c>
      <c r="L470" s="53" t="s">
        <v>53</v>
      </c>
      <c r="M470" s="53" t="s">
        <v>69</v>
      </c>
      <c r="N470" s="53" t="s">
        <v>85</v>
      </c>
      <c r="O470" s="53" t="s">
        <v>70</v>
      </c>
      <c r="P470" s="25" t="s">
        <v>127</v>
      </c>
      <c r="Q470" s="26" t="s">
        <v>58</v>
      </c>
      <c r="R470" s="25" t="s">
        <v>1994</v>
      </c>
      <c r="S470" s="25" t="s">
        <v>1995</v>
      </c>
      <c r="T470" s="27">
        <v>5.7321403791E11</v>
      </c>
      <c r="U470" s="53" t="s">
        <v>75</v>
      </c>
      <c r="V470" s="113"/>
      <c r="W470" s="113"/>
      <c r="X470" s="113"/>
      <c r="Y470" s="54">
        <v>5.0</v>
      </c>
      <c r="Z470" s="28"/>
      <c r="AA470" s="28"/>
      <c r="AB470" s="28"/>
      <c r="AC470" s="29"/>
      <c r="AD470" s="29"/>
      <c r="AE470" s="29"/>
      <c r="AF470" s="29"/>
      <c r="AG470" s="29"/>
      <c r="AH470" s="30"/>
      <c r="AI470" s="31"/>
      <c r="AJ470" s="28"/>
      <c r="AK470" s="28"/>
      <c r="AL470" s="32"/>
      <c r="AM470" s="32"/>
      <c r="AN470" s="32"/>
      <c r="AO470" s="28"/>
      <c r="AP470" s="29"/>
    </row>
    <row r="471">
      <c r="A471" s="53" t="s">
        <v>1996</v>
      </c>
      <c r="B471" s="53" t="s">
        <v>1997</v>
      </c>
      <c r="C471" s="53" t="s">
        <v>1202</v>
      </c>
      <c r="D471" s="53" t="s">
        <v>1203</v>
      </c>
      <c r="E471" s="53" t="s">
        <v>1204</v>
      </c>
      <c r="F471" s="53" t="s">
        <v>47</v>
      </c>
      <c r="G471" s="53" t="s">
        <v>1205</v>
      </c>
      <c r="H471" s="53" t="s">
        <v>1206</v>
      </c>
      <c r="I471" s="53" t="s">
        <v>50</v>
      </c>
      <c r="J471" s="53" t="s">
        <v>51</v>
      </c>
      <c r="K471" s="73" t="s">
        <v>52</v>
      </c>
      <c r="L471" s="53" t="s">
        <v>53</v>
      </c>
      <c r="M471" s="53" t="s">
        <v>54</v>
      </c>
      <c r="N471" s="53" t="s">
        <v>55</v>
      </c>
      <c r="O471" s="53" t="s">
        <v>86</v>
      </c>
      <c r="P471" s="8" t="s">
        <v>723</v>
      </c>
      <c r="Q471" s="9" t="s">
        <v>111</v>
      </c>
      <c r="R471" s="8" t="s">
        <v>73</v>
      </c>
      <c r="S471" s="8" t="s">
        <v>1998</v>
      </c>
      <c r="T471" s="10">
        <v>5.73008894443E11</v>
      </c>
      <c r="U471" s="53" t="s">
        <v>61</v>
      </c>
      <c r="V471" s="113"/>
      <c r="W471" s="113"/>
      <c r="X471" s="113"/>
      <c r="Y471" s="99">
        <v>45779.0</v>
      </c>
      <c r="Z471" s="28"/>
      <c r="AA471" s="28"/>
      <c r="AB471" s="28"/>
      <c r="AC471" s="28"/>
      <c r="AD471" s="28"/>
      <c r="AE471" s="28"/>
      <c r="AF471" s="29"/>
      <c r="AG471" s="29"/>
      <c r="AH471" s="30"/>
      <c r="AI471" s="31"/>
      <c r="AJ471" s="28"/>
      <c r="AK471" s="32"/>
      <c r="AL471" s="32"/>
      <c r="AM471" s="32"/>
      <c r="AN471" s="32"/>
      <c r="AO471" s="28"/>
      <c r="AP471" s="29"/>
    </row>
    <row r="472">
      <c r="A472" s="53" t="s">
        <v>1999</v>
      </c>
      <c r="B472" s="53" t="s">
        <v>2000</v>
      </c>
      <c r="C472" s="53" t="s">
        <v>1202</v>
      </c>
      <c r="D472" s="53" t="s">
        <v>1203</v>
      </c>
      <c r="E472" s="53" t="s">
        <v>1204</v>
      </c>
      <c r="F472" s="53" t="s">
        <v>47</v>
      </c>
      <c r="G472" s="53" t="s">
        <v>1205</v>
      </c>
      <c r="H472" s="53" t="s">
        <v>1206</v>
      </c>
      <c r="I472" s="53" t="s">
        <v>50</v>
      </c>
      <c r="J472" s="53" t="s">
        <v>51</v>
      </c>
      <c r="K472" s="73" t="s">
        <v>52</v>
      </c>
      <c r="L472" s="53" t="s">
        <v>53</v>
      </c>
      <c r="M472" s="53" t="s">
        <v>69</v>
      </c>
      <c r="N472" s="53" t="s">
        <v>55</v>
      </c>
      <c r="O472" s="53" t="s">
        <v>86</v>
      </c>
      <c r="P472" s="8" t="s">
        <v>132</v>
      </c>
      <c r="Q472" s="9" t="s">
        <v>58</v>
      </c>
      <c r="R472" s="8" t="s">
        <v>402</v>
      </c>
      <c r="S472" s="8" t="s">
        <v>2001</v>
      </c>
      <c r="T472" s="10">
        <v>5.73122269628E11</v>
      </c>
      <c r="U472" s="53" t="s">
        <v>61</v>
      </c>
      <c r="V472" s="113"/>
      <c r="W472" s="113"/>
      <c r="X472" s="113"/>
      <c r="Y472" s="99">
        <v>45779.0</v>
      </c>
      <c r="Z472" s="28"/>
      <c r="AA472" s="28"/>
      <c r="AB472" s="28"/>
      <c r="AC472" s="28"/>
      <c r="AD472" s="28"/>
      <c r="AE472" s="28"/>
      <c r="AF472" s="29"/>
      <c r="AG472" s="29"/>
      <c r="AH472" s="30"/>
      <c r="AI472" s="31"/>
      <c r="AJ472" s="28"/>
      <c r="AK472" s="32"/>
      <c r="AL472" s="32"/>
      <c r="AM472" s="32"/>
      <c r="AN472" s="32"/>
      <c r="AO472" s="28"/>
      <c r="AP472" s="29"/>
    </row>
    <row r="473">
      <c r="A473" s="53" t="s">
        <v>2002</v>
      </c>
      <c r="B473" s="53" t="s">
        <v>2003</v>
      </c>
      <c r="C473" s="53" t="s">
        <v>1202</v>
      </c>
      <c r="D473" s="53" t="s">
        <v>1203</v>
      </c>
      <c r="E473" s="53" t="s">
        <v>1204</v>
      </c>
      <c r="F473" s="53" t="s">
        <v>47</v>
      </c>
      <c r="G473" s="53" t="s">
        <v>1205</v>
      </c>
      <c r="H473" s="53" t="s">
        <v>1206</v>
      </c>
      <c r="I473" s="53" t="s">
        <v>50</v>
      </c>
      <c r="J473" s="53" t="s">
        <v>51</v>
      </c>
      <c r="K473" s="73" t="s">
        <v>52</v>
      </c>
      <c r="L473" s="53" t="s">
        <v>53</v>
      </c>
      <c r="M473" s="53" t="s">
        <v>69</v>
      </c>
      <c r="N473" s="53" t="s">
        <v>55</v>
      </c>
      <c r="O473" s="53" t="s">
        <v>70</v>
      </c>
      <c r="P473" s="25" t="s">
        <v>433</v>
      </c>
      <c r="Q473" s="26" t="s">
        <v>111</v>
      </c>
      <c r="R473" s="25" t="s">
        <v>148</v>
      </c>
      <c r="S473" s="25" t="s">
        <v>2004</v>
      </c>
      <c r="T473" s="27">
        <v>3.73017943707E11</v>
      </c>
      <c r="U473" s="53" t="s">
        <v>75</v>
      </c>
      <c r="V473" s="113"/>
      <c r="W473" s="113"/>
      <c r="X473" s="113"/>
      <c r="Y473" s="54">
        <v>5.0</v>
      </c>
      <c r="Z473" s="28"/>
      <c r="AA473" s="28"/>
      <c r="AB473" s="28"/>
      <c r="AC473" s="28"/>
      <c r="AD473" s="28"/>
      <c r="AE473" s="28"/>
      <c r="AF473" s="29"/>
      <c r="AG473" s="29"/>
      <c r="AH473" s="30"/>
      <c r="AI473" s="31"/>
      <c r="AJ473" s="28"/>
      <c r="AK473" s="32"/>
      <c r="AL473" s="32"/>
      <c r="AM473" s="32"/>
      <c r="AN473" s="32"/>
      <c r="AO473" s="28"/>
      <c r="AP473" s="29"/>
    </row>
    <row r="474">
      <c r="A474" s="53" t="s">
        <v>2005</v>
      </c>
      <c r="B474" s="53" t="s">
        <v>2006</v>
      </c>
      <c r="C474" s="53" t="s">
        <v>1202</v>
      </c>
      <c r="D474" s="53" t="s">
        <v>1203</v>
      </c>
      <c r="E474" s="53" t="s">
        <v>1204</v>
      </c>
      <c r="F474" s="53" t="s">
        <v>47</v>
      </c>
      <c r="G474" s="53" t="s">
        <v>1205</v>
      </c>
      <c r="H474" s="53" t="s">
        <v>1206</v>
      </c>
      <c r="I474" s="53" t="s">
        <v>50</v>
      </c>
      <c r="J474" s="53" t="s">
        <v>51</v>
      </c>
      <c r="K474" s="73" t="s">
        <v>52</v>
      </c>
      <c r="L474" s="53" t="s">
        <v>53</v>
      </c>
      <c r="M474" s="53" t="s">
        <v>54</v>
      </c>
      <c r="N474" s="53" t="s">
        <v>55</v>
      </c>
      <c r="O474" s="53" t="s">
        <v>56</v>
      </c>
      <c r="P474" s="8" t="s">
        <v>232</v>
      </c>
      <c r="Q474" s="9" t="s">
        <v>122</v>
      </c>
      <c r="R474" s="8" t="s">
        <v>2007</v>
      </c>
      <c r="S474" s="8" t="s">
        <v>2008</v>
      </c>
      <c r="T474" s="10">
        <v>5.73106814986E11</v>
      </c>
      <c r="U474" s="53" t="s">
        <v>75</v>
      </c>
      <c r="V474" s="113"/>
      <c r="W474" s="113"/>
      <c r="X474" s="113"/>
      <c r="Y474" s="54" t="s">
        <v>62</v>
      </c>
      <c r="Z474" s="28"/>
      <c r="AA474" s="28"/>
      <c r="AB474" s="28"/>
      <c r="AC474" s="28"/>
      <c r="AD474" s="28"/>
      <c r="AE474" s="28"/>
      <c r="AF474" s="29"/>
      <c r="AG474" s="29"/>
      <c r="AH474" s="30"/>
      <c r="AI474" s="31"/>
      <c r="AJ474" s="28"/>
      <c r="AK474" s="32"/>
      <c r="AL474" s="32"/>
      <c r="AM474" s="32"/>
      <c r="AN474" s="32"/>
      <c r="AO474" s="28"/>
      <c r="AP474" s="29"/>
    </row>
    <row r="475">
      <c r="A475" s="53" t="s">
        <v>2009</v>
      </c>
      <c r="B475" s="53" t="s">
        <v>2010</v>
      </c>
      <c r="C475" s="53" t="s">
        <v>1202</v>
      </c>
      <c r="D475" s="53" t="s">
        <v>1203</v>
      </c>
      <c r="E475" s="53" t="s">
        <v>1204</v>
      </c>
      <c r="F475" s="53" t="s">
        <v>47</v>
      </c>
      <c r="G475" s="53" t="s">
        <v>1205</v>
      </c>
      <c r="H475" s="53" t="s">
        <v>1206</v>
      </c>
      <c r="I475" s="53" t="s">
        <v>50</v>
      </c>
      <c r="J475" s="53" t="s">
        <v>51</v>
      </c>
      <c r="K475" s="73" t="s">
        <v>52</v>
      </c>
      <c r="L475" s="53" t="s">
        <v>53</v>
      </c>
      <c r="M475" s="53" t="s">
        <v>54</v>
      </c>
      <c r="N475" s="53" t="s">
        <v>85</v>
      </c>
      <c r="O475" s="53" t="s">
        <v>56</v>
      </c>
      <c r="P475" s="8" t="s">
        <v>2011</v>
      </c>
      <c r="Q475" s="9" t="s">
        <v>2012</v>
      </c>
      <c r="R475" s="8" t="s">
        <v>2013</v>
      </c>
      <c r="S475" s="8" t="s">
        <v>2014</v>
      </c>
      <c r="T475" s="10">
        <v>5.73124355725E11</v>
      </c>
      <c r="U475" s="53" t="s">
        <v>75</v>
      </c>
      <c r="V475" s="113"/>
      <c r="W475" s="113"/>
      <c r="X475" s="113"/>
      <c r="Y475" s="54" t="s">
        <v>62</v>
      </c>
      <c r="Z475" s="34"/>
      <c r="AA475" s="34"/>
      <c r="AB475" s="34"/>
      <c r="AC475" s="34"/>
      <c r="AD475" s="34"/>
      <c r="AE475" s="34"/>
      <c r="AF475" s="35"/>
      <c r="AG475" s="35"/>
      <c r="AH475" s="36"/>
      <c r="AI475" s="37"/>
      <c r="AJ475" s="34"/>
      <c r="AK475" s="38"/>
      <c r="AL475" s="38"/>
      <c r="AM475" s="38"/>
      <c r="AN475" s="38"/>
      <c r="AO475" s="34"/>
      <c r="AP475" s="35"/>
    </row>
    <row r="476">
      <c r="A476" s="53" t="s">
        <v>2015</v>
      </c>
      <c r="B476" s="53" t="s">
        <v>2016</v>
      </c>
      <c r="C476" s="53" t="s">
        <v>1202</v>
      </c>
      <c r="D476" s="53" t="s">
        <v>1203</v>
      </c>
      <c r="E476" s="53" t="s">
        <v>1204</v>
      </c>
      <c r="F476" s="53" t="s">
        <v>47</v>
      </c>
      <c r="G476" s="53" t="s">
        <v>1205</v>
      </c>
      <c r="H476" s="53" t="s">
        <v>1206</v>
      </c>
      <c r="I476" s="53" t="s">
        <v>50</v>
      </c>
      <c r="J476" s="53" t="s">
        <v>51</v>
      </c>
      <c r="K476" s="73" t="s">
        <v>52</v>
      </c>
      <c r="L476" s="53" t="s">
        <v>53</v>
      </c>
      <c r="M476" s="53" t="s">
        <v>69</v>
      </c>
      <c r="N476" s="53" t="s">
        <v>137</v>
      </c>
      <c r="O476" s="53" t="s">
        <v>70</v>
      </c>
      <c r="P476" s="20" t="s">
        <v>2017</v>
      </c>
      <c r="Q476" s="21" t="s">
        <v>111</v>
      </c>
      <c r="R476" s="20" t="s">
        <v>2018</v>
      </c>
      <c r="S476" s="20" t="s">
        <v>2019</v>
      </c>
      <c r="T476" s="22">
        <v>5.73105961016E11</v>
      </c>
      <c r="U476" s="53" t="s">
        <v>61</v>
      </c>
      <c r="V476" s="113"/>
      <c r="W476" s="113"/>
      <c r="X476" s="113"/>
      <c r="Y476" s="54">
        <v>5.0</v>
      </c>
      <c r="Z476" s="13"/>
      <c r="AA476" s="13"/>
      <c r="AB476" s="13"/>
      <c r="AC476" s="13"/>
      <c r="AD476" s="13"/>
      <c r="AE476" s="13"/>
      <c r="AF476" s="14"/>
      <c r="AG476" s="14"/>
      <c r="AH476" s="15"/>
      <c r="AI476" s="16"/>
      <c r="AJ476" s="13"/>
      <c r="AK476" s="17"/>
      <c r="AL476" s="17"/>
      <c r="AM476" s="17"/>
      <c r="AN476" s="17"/>
      <c r="AO476" s="13"/>
      <c r="AP476" s="14"/>
    </row>
    <row r="477">
      <c r="A477" s="53" t="s">
        <v>2020</v>
      </c>
      <c r="B477" s="53" t="s">
        <v>2021</v>
      </c>
      <c r="C477" s="53" t="s">
        <v>1202</v>
      </c>
      <c r="D477" s="53" t="s">
        <v>1203</v>
      </c>
      <c r="E477" s="53" t="s">
        <v>1204</v>
      </c>
      <c r="F477" s="53" t="s">
        <v>47</v>
      </c>
      <c r="G477" s="53" t="s">
        <v>1205</v>
      </c>
      <c r="H477" s="53" t="s">
        <v>1206</v>
      </c>
      <c r="I477" s="53" t="s">
        <v>50</v>
      </c>
      <c r="J477" s="53" t="s">
        <v>51</v>
      </c>
      <c r="K477" s="73" t="s">
        <v>52</v>
      </c>
      <c r="L477" s="53" t="s">
        <v>53</v>
      </c>
      <c r="M477" s="53" t="s">
        <v>54</v>
      </c>
      <c r="N477" s="53" t="s">
        <v>55</v>
      </c>
      <c r="O477" s="53" t="s">
        <v>70</v>
      </c>
      <c r="P477" s="20" t="s">
        <v>706</v>
      </c>
      <c r="Q477" s="21" t="s">
        <v>94</v>
      </c>
      <c r="R477" s="20" t="s">
        <v>304</v>
      </c>
      <c r="S477" s="20" t="s">
        <v>2022</v>
      </c>
      <c r="T477" s="22">
        <v>5.7322615616E11</v>
      </c>
      <c r="U477" s="53" t="s">
        <v>75</v>
      </c>
      <c r="V477" s="113"/>
      <c r="W477" s="113"/>
      <c r="X477" s="113"/>
      <c r="Y477" s="54">
        <v>5.0</v>
      </c>
      <c r="Z477" s="13"/>
      <c r="AA477" s="13"/>
      <c r="AB477" s="13"/>
      <c r="AC477" s="13"/>
      <c r="AD477" s="13"/>
      <c r="AE477" s="13"/>
      <c r="AF477" s="14"/>
      <c r="AG477" s="14"/>
      <c r="AH477" s="15"/>
      <c r="AI477" s="16"/>
      <c r="AJ477" s="13"/>
      <c r="AK477" s="17"/>
      <c r="AL477" s="17"/>
      <c r="AM477" s="17"/>
      <c r="AN477" s="17"/>
      <c r="AO477" s="13"/>
      <c r="AP477" s="14"/>
    </row>
    <row r="478">
      <c r="A478" s="53" t="s">
        <v>2023</v>
      </c>
      <c r="B478" s="53" t="s">
        <v>2024</v>
      </c>
      <c r="C478" s="53" t="s">
        <v>1202</v>
      </c>
      <c r="D478" s="53" t="s">
        <v>1203</v>
      </c>
      <c r="E478" s="53" t="s">
        <v>1204</v>
      </c>
      <c r="F478" s="53" t="s">
        <v>47</v>
      </c>
      <c r="G478" s="53" t="s">
        <v>1205</v>
      </c>
      <c r="H478" s="53" t="s">
        <v>1206</v>
      </c>
      <c r="I478" s="53" t="s">
        <v>50</v>
      </c>
      <c r="J478" s="53" t="s">
        <v>51</v>
      </c>
      <c r="K478" s="73" t="s">
        <v>52</v>
      </c>
      <c r="L478" s="53" t="s">
        <v>53</v>
      </c>
      <c r="M478" s="53" t="s">
        <v>69</v>
      </c>
      <c r="N478" s="53" t="s">
        <v>55</v>
      </c>
      <c r="O478" s="53" t="s">
        <v>70</v>
      </c>
      <c r="P478" s="20" t="s">
        <v>1555</v>
      </c>
      <c r="Q478" s="21" t="s">
        <v>105</v>
      </c>
      <c r="R478" s="20" t="s">
        <v>2025</v>
      </c>
      <c r="S478" s="20" t="s">
        <v>2026</v>
      </c>
      <c r="T478" s="22">
        <v>5.73043367341E11</v>
      </c>
      <c r="U478" s="53" t="s">
        <v>61</v>
      </c>
      <c r="V478" s="113"/>
      <c r="W478" s="113"/>
      <c r="X478" s="113"/>
      <c r="Y478" s="54">
        <v>5.0</v>
      </c>
      <c r="Z478" s="13"/>
      <c r="AA478" s="13"/>
      <c r="AB478" s="13"/>
      <c r="AC478" s="13"/>
      <c r="AD478" s="13"/>
      <c r="AE478" s="13"/>
      <c r="AF478" s="14"/>
      <c r="AG478" s="14"/>
      <c r="AH478" s="15"/>
      <c r="AI478" s="16"/>
      <c r="AJ478" s="13"/>
      <c r="AK478" s="17"/>
      <c r="AL478" s="17"/>
      <c r="AM478" s="17"/>
      <c r="AN478" s="17"/>
      <c r="AO478" s="13"/>
      <c r="AP478" s="14"/>
    </row>
    <row r="479">
      <c r="A479" s="53" t="s">
        <v>2027</v>
      </c>
      <c r="B479" s="53" t="s">
        <v>2028</v>
      </c>
      <c r="C479" s="53" t="s">
        <v>1202</v>
      </c>
      <c r="D479" s="53" t="s">
        <v>1203</v>
      </c>
      <c r="E479" s="53" t="s">
        <v>1204</v>
      </c>
      <c r="F479" s="53" t="s">
        <v>47</v>
      </c>
      <c r="G479" s="53" t="s">
        <v>1205</v>
      </c>
      <c r="H479" s="53" t="s">
        <v>1206</v>
      </c>
      <c r="I479" s="53" t="s">
        <v>50</v>
      </c>
      <c r="J479" s="53" t="s">
        <v>51</v>
      </c>
      <c r="K479" s="73" t="s">
        <v>52</v>
      </c>
      <c r="L479" s="53" t="s">
        <v>53</v>
      </c>
      <c r="M479" s="53" t="s">
        <v>69</v>
      </c>
      <c r="N479" s="53" t="s">
        <v>55</v>
      </c>
      <c r="O479" s="53" t="s">
        <v>70</v>
      </c>
      <c r="P479" s="20" t="s">
        <v>182</v>
      </c>
      <c r="Q479" s="21" t="s">
        <v>111</v>
      </c>
      <c r="R479" s="20" t="s">
        <v>2029</v>
      </c>
      <c r="S479" s="20" t="s">
        <v>2030</v>
      </c>
      <c r="T479" s="22">
        <v>3.12887237E9</v>
      </c>
      <c r="U479" s="53" t="s">
        <v>61</v>
      </c>
      <c r="V479" s="113"/>
      <c r="W479" s="113"/>
      <c r="X479" s="113"/>
      <c r="Y479" s="54">
        <v>5.0</v>
      </c>
      <c r="Z479" s="28"/>
      <c r="AA479" s="28"/>
      <c r="AB479" s="28"/>
      <c r="AC479" s="28"/>
      <c r="AD479" s="28"/>
      <c r="AE479" s="29"/>
      <c r="AF479" s="29"/>
      <c r="AG479" s="29"/>
      <c r="AH479" s="30"/>
      <c r="AI479" s="31"/>
      <c r="AJ479" s="28"/>
      <c r="AK479" s="32"/>
      <c r="AL479" s="32"/>
      <c r="AM479" s="32"/>
      <c r="AN479" s="32"/>
      <c r="AO479" s="28"/>
      <c r="AP479" s="29"/>
    </row>
    <row r="480">
      <c r="A480" s="53" t="s">
        <v>2031</v>
      </c>
      <c r="B480" s="53" t="s">
        <v>2032</v>
      </c>
      <c r="C480" s="53" t="s">
        <v>1202</v>
      </c>
      <c r="D480" s="53" t="s">
        <v>1203</v>
      </c>
      <c r="E480" s="53" t="s">
        <v>1204</v>
      </c>
      <c r="F480" s="53" t="s">
        <v>47</v>
      </c>
      <c r="G480" s="53" t="s">
        <v>1205</v>
      </c>
      <c r="H480" s="53" t="s">
        <v>1206</v>
      </c>
      <c r="I480" s="53" t="s">
        <v>50</v>
      </c>
      <c r="J480" s="53" t="s">
        <v>51</v>
      </c>
      <c r="K480" s="73" t="s">
        <v>52</v>
      </c>
      <c r="L480" s="53" t="s">
        <v>53</v>
      </c>
      <c r="M480" s="53" t="s">
        <v>69</v>
      </c>
      <c r="N480" s="53" t="s">
        <v>137</v>
      </c>
      <c r="O480" s="53" t="s">
        <v>70</v>
      </c>
      <c r="P480" s="20" t="s">
        <v>770</v>
      </c>
      <c r="Q480" s="21" t="s">
        <v>111</v>
      </c>
      <c r="R480" s="20" t="s">
        <v>189</v>
      </c>
      <c r="S480" s="20" t="s">
        <v>2033</v>
      </c>
      <c r="T480" s="22">
        <v>5.73235848246E11</v>
      </c>
      <c r="U480" s="53" t="s">
        <v>75</v>
      </c>
      <c r="V480" s="113"/>
      <c r="W480" s="113"/>
      <c r="X480" s="113"/>
      <c r="Y480" s="54">
        <v>5.0</v>
      </c>
      <c r="Z480" s="28"/>
      <c r="AA480" s="28"/>
      <c r="AB480" s="28"/>
      <c r="AC480" s="28"/>
      <c r="AD480" s="28"/>
      <c r="AE480" s="28"/>
      <c r="AF480" s="29"/>
      <c r="AG480" s="29"/>
      <c r="AH480" s="30"/>
      <c r="AI480" s="31"/>
      <c r="AJ480" s="28"/>
      <c r="AK480" s="32"/>
      <c r="AL480" s="32"/>
      <c r="AM480" s="32"/>
      <c r="AN480" s="32"/>
      <c r="AO480" s="28"/>
      <c r="AP480" s="29"/>
    </row>
    <row r="481">
      <c r="A481" s="53" t="s">
        <v>2034</v>
      </c>
      <c r="B481" s="53" t="s">
        <v>2035</v>
      </c>
      <c r="C481" s="53" t="s">
        <v>1202</v>
      </c>
      <c r="D481" s="53" t="s">
        <v>1203</v>
      </c>
      <c r="E481" s="53" t="s">
        <v>1204</v>
      </c>
      <c r="F481" s="53" t="s">
        <v>47</v>
      </c>
      <c r="G481" s="53" t="s">
        <v>1205</v>
      </c>
      <c r="H481" s="53" t="s">
        <v>1206</v>
      </c>
      <c r="I481" s="53" t="s">
        <v>50</v>
      </c>
      <c r="J481" s="53" t="s">
        <v>51</v>
      </c>
      <c r="K481" s="73" t="s">
        <v>52</v>
      </c>
      <c r="L481" s="53" t="s">
        <v>53</v>
      </c>
      <c r="M481" s="53" t="s">
        <v>54</v>
      </c>
      <c r="N481" s="53" t="s">
        <v>55</v>
      </c>
      <c r="O481" s="53" t="s">
        <v>70</v>
      </c>
      <c r="P481" s="20" t="s">
        <v>211</v>
      </c>
      <c r="Q481" s="21" t="s">
        <v>94</v>
      </c>
      <c r="R481" s="20" t="s">
        <v>2036</v>
      </c>
      <c r="S481" s="20" t="s">
        <v>2037</v>
      </c>
      <c r="T481" s="22">
        <v>5.73104203497E11</v>
      </c>
      <c r="U481" s="53" t="s">
        <v>61</v>
      </c>
      <c r="V481" s="113"/>
      <c r="W481" s="113"/>
      <c r="X481" s="113"/>
      <c r="Y481" s="54">
        <v>5.0</v>
      </c>
      <c r="Z481" s="28"/>
      <c r="AA481" s="28"/>
      <c r="AB481" s="28"/>
      <c r="AC481" s="28"/>
      <c r="AD481" s="28"/>
      <c r="AE481" s="28"/>
      <c r="AF481" s="29"/>
      <c r="AG481" s="29"/>
      <c r="AH481" s="30"/>
      <c r="AI481" s="31"/>
      <c r="AJ481" s="28"/>
      <c r="AK481" s="32"/>
      <c r="AL481" s="32"/>
      <c r="AM481" s="32"/>
      <c r="AN481" s="32"/>
      <c r="AO481" s="28"/>
      <c r="AP481" s="29"/>
    </row>
    <row r="482">
      <c r="A482" s="53" t="s">
        <v>2038</v>
      </c>
      <c r="B482" s="53" t="s">
        <v>2039</v>
      </c>
      <c r="C482" s="53" t="s">
        <v>1202</v>
      </c>
      <c r="D482" s="53" t="s">
        <v>1203</v>
      </c>
      <c r="E482" s="53" t="s">
        <v>1204</v>
      </c>
      <c r="F482" s="53" t="s">
        <v>47</v>
      </c>
      <c r="G482" s="53" t="s">
        <v>1205</v>
      </c>
      <c r="H482" s="53" t="s">
        <v>1206</v>
      </c>
      <c r="I482" s="53" t="s">
        <v>50</v>
      </c>
      <c r="J482" s="53" t="s">
        <v>51</v>
      </c>
      <c r="K482" s="73" t="s">
        <v>52</v>
      </c>
      <c r="L482" s="53" t="s">
        <v>84</v>
      </c>
      <c r="M482" s="53" t="s">
        <v>54</v>
      </c>
      <c r="N482" s="53" t="s">
        <v>85</v>
      </c>
      <c r="O482" s="53" t="s">
        <v>70</v>
      </c>
      <c r="P482" s="20" t="s">
        <v>2040</v>
      </c>
      <c r="Q482" s="21" t="s">
        <v>111</v>
      </c>
      <c r="R482" s="21" t="s">
        <v>2041</v>
      </c>
      <c r="S482" s="20" t="s">
        <v>2042</v>
      </c>
      <c r="T482" s="22">
        <v>5.73106346439E11</v>
      </c>
      <c r="U482" s="53" t="s">
        <v>75</v>
      </c>
      <c r="V482" s="113"/>
      <c r="W482" s="113"/>
      <c r="X482" s="113"/>
      <c r="Y482" s="54">
        <v>5.0</v>
      </c>
      <c r="Z482" s="28"/>
      <c r="AA482" s="28"/>
      <c r="AB482" s="28"/>
      <c r="AC482" s="28"/>
      <c r="AD482" s="28"/>
      <c r="AE482" s="28"/>
      <c r="AF482" s="29"/>
      <c r="AG482" s="29"/>
      <c r="AH482" s="30"/>
      <c r="AI482" s="31"/>
      <c r="AJ482" s="28"/>
      <c r="AK482" s="32"/>
      <c r="AL482" s="32"/>
      <c r="AM482" s="32"/>
      <c r="AN482" s="32"/>
      <c r="AO482" s="28"/>
      <c r="AP482" s="29"/>
    </row>
    <row r="483">
      <c r="A483" s="53" t="s">
        <v>2043</v>
      </c>
      <c r="B483" s="53" t="s">
        <v>2044</v>
      </c>
      <c r="C483" s="53" t="s">
        <v>1202</v>
      </c>
      <c r="D483" s="53" t="s">
        <v>1203</v>
      </c>
      <c r="E483" s="53" t="s">
        <v>1204</v>
      </c>
      <c r="F483" s="53" t="s">
        <v>47</v>
      </c>
      <c r="G483" s="53" t="s">
        <v>1205</v>
      </c>
      <c r="H483" s="53" t="s">
        <v>1206</v>
      </c>
      <c r="I483" s="53" t="s">
        <v>50</v>
      </c>
      <c r="J483" s="53" t="s">
        <v>51</v>
      </c>
      <c r="K483" s="73" t="s">
        <v>52</v>
      </c>
      <c r="L483" s="53" t="s">
        <v>53</v>
      </c>
      <c r="M483" s="53" t="s">
        <v>69</v>
      </c>
      <c r="N483" s="53" t="s">
        <v>55</v>
      </c>
      <c r="O483" s="53" t="s">
        <v>70</v>
      </c>
      <c r="P483" s="20" t="s">
        <v>57</v>
      </c>
      <c r="Q483" s="21" t="s">
        <v>183</v>
      </c>
      <c r="R483" s="20" t="s">
        <v>2045</v>
      </c>
      <c r="S483" s="20" t="s">
        <v>2046</v>
      </c>
      <c r="T483" s="22">
        <v>5.73115131972E11</v>
      </c>
      <c r="U483" s="53" t="s">
        <v>61</v>
      </c>
      <c r="V483" s="113"/>
      <c r="W483" s="113"/>
      <c r="X483" s="113"/>
      <c r="Y483" s="54">
        <v>5.0</v>
      </c>
      <c r="Z483" s="28"/>
      <c r="AA483" s="28"/>
      <c r="AB483" s="28"/>
      <c r="AC483" s="28"/>
      <c r="AD483" s="28"/>
      <c r="AE483" s="28"/>
      <c r="AF483" s="29"/>
      <c r="AG483" s="29"/>
      <c r="AH483" s="30"/>
      <c r="AI483" s="31"/>
      <c r="AJ483" s="28"/>
      <c r="AK483" s="32"/>
      <c r="AL483" s="32"/>
      <c r="AM483" s="32"/>
      <c r="AN483" s="32"/>
      <c r="AO483" s="28"/>
      <c r="AP483" s="29"/>
    </row>
    <row r="484">
      <c r="A484" s="53" t="s">
        <v>2047</v>
      </c>
      <c r="B484" s="53" t="s">
        <v>2048</v>
      </c>
      <c r="C484" s="53" t="s">
        <v>872</v>
      </c>
      <c r="D484" s="53" t="s">
        <v>66</v>
      </c>
      <c r="E484" s="53" t="s">
        <v>873</v>
      </c>
      <c r="F484" s="53" t="s">
        <v>874</v>
      </c>
      <c r="G484" s="53" t="s">
        <v>359</v>
      </c>
      <c r="H484" s="53" t="s">
        <v>360</v>
      </c>
      <c r="I484" s="53" t="s">
        <v>50</v>
      </c>
      <c r="J484" s="53" t="s">
        <v>51</v>
      </c>
      <c r="K484" s="73" t="s">
        <v>52</v>
      </c>
      <c r="L484" s="53" t="s">
        <v>53</v>
      </c>
      <c r="M484" s="53" t="s">
        <v>54</v>
      </c>
      <c r="N484" s="53" t="s">
        <v>85</v>
      </c>
      <c r="O484" s="53" t="s">
        <v>56</v>
      </c>
      <c r="P484" s="8" t="s">
        <v>127</v>
      </c>
      <c r="Q484" s="9" t="s">
        <v>122</v>
      </c>
      <c r="R484" s="9" t="s">
        <v>2049</v>
      </c>
      <c r="S484" s="8" t="s">
        <v>2050</v>
      </c>
      <c r="T484" s="10">
        <v>5.73145065732E11</v>
      </c>
      <c r="U484" s="53" t="s">
        <v>75</v>
      </c>
      <c r="V484" s="113"/>
      <c r="W484" s="113"/>
      <c r="X484" s="113"/>
      <c r="Y484" s="54" t="s">
        <v>62</v>
      </c>
      <c r="Z484" s="28"/>
      <c r="AA484" s="28"/>
      <c r="AB484" s="28"/>
      <c r="AC484" s="28"/>
      <c r="AD484" s="28"/>
      <c r="AE484" s="28"/>
      <c r="AF484" s="29"/>
      <c r="AG484" s="29"/>
      <c r="AH484" s="30"/>
      <c r="AI484" s="31"/>
      <c r="AJ484" s="28"/>
      <c r="AK484" s="32"/>
      <c r="AL484" s="32"/>
      <c r="AM484" s="32"/>
      <c r="AN484" s="32"/>
      <c r="AO484" s="28"/>
      <c r="AP484" s="29"/>
    </row>
    <row r="485">
      <c r="A485" s="53" t="s">
        <v>2051</v>
      </c>
      <c r="B485" s="53" t="s">
        <v>2052</v>
      </c>
      <c r="C485" s="53" t="s">
        <v>872</v>
      </c>
      <c r="D485" s="53" t="s">
        <v>66</v>
      </c>
      <c r="E485" s="53" t="s">
        <v>873</v>
      </c>
      <c r="F485" s="53" t="s">
        <v>874</v>
      </c>
      <c r="G485" s="53" t="s">
        <v>359</v>
      </c>
      <c r="H485" s="53" t="s">
        <v>360</v>
      </c>
      <c r="I485" s="53" t="s">
        <v>50</v>
      </c>
      <c r="J485" s="53" t="s">
        <v>51</v>
      </c>
      <c r="K485" s="73" t="s">
        <v>52</v>
      </c>
      <c r="L485" s="53" t="s">
        <v>53</v>
      </c>
      <c r="M485" s="53" t="s">
        <v>69</v>
      </c>
      <c r="N485" s="53" t="s">
        <v>55</v>
      </c>
      <c r="O485" s="53" t="s">
        <v>70</v>
      </c>
      <c r="P485" s="20" t="s">
        <v>141</v>
      </c>
      <c r="Q485" s="21" t="s">
        <v>94</v>
      </c>
      <c r="R485" s="20" t="s">
        <v>223</v>
      </c>
      <c r="S485" s="20" t="s">
        <v>2053</v>
      </c>
      <c r="T485" s="22">
        <v>3.167406421E9</v>
      </c>
      <c r="U485" s="53" t="s">
        <v>75</v>
      </c>
      <c r="V485" s="113"/>
      <c r="W485" s="113"/>
      <c r="X485" s="113"/>
      <c r="Y485" s="54">
        <v>5.0</v>
      </c>
      <c r="Z485" s="13"/>
      <c r="AA485" s="13"/>
      <c r="AB485" s="13"/>
      <c r="AC485" s="13"/>
      <c r="AD485" s="13"/>
      <c r="AE485" s="13"/>
      <c r="AF485" s="14"/>
      <c r="AG485" s="14"/>
      <c r="AH485" s="15"/>
      <c r="AI485" s="16"/>
      <c r="AJ485" s="13"/>
      <c r="AK485" s="17"/>
      <c r="AL485" s="17"/>
      <c r="AM485" s="17"/>
      <c r="AN485" s="17"/>
      <c r="AO485" s="13"/>
      <c r="AP485" s="14"/>
    </row>
    <row r="486">
      <c r="A486" s="53" t="s">
        <v>2054</v>
      </c>
      <c r="B486" s="53" t="s">
        <v>2055</v>
      </c>
      <c r="C486" s="53" t="s">
        <v>872</v>
      </c>
      <c r="D486" s="53" t="s">
        <v>66</v>
      </c>
      <c r="E486" s="53" t="s">
        <v>873</v>
      </c>
      <c r="F486" s="53" t="s">
        <v>874</v>
      </c>
      <c r="G486" s="53" t="s">
        <v>359</v>
      </c>
      <c r="H486" s="53" t="s">
        <v>360</v>
      </c>
      <c r="I486" s="53" t="s">
        <v>50</v>
      </c>
      <c r="J486" s="53" t="s">
        <v>51</v>
      </c>
      <c r="K486" s="73" t="s">
        <v>52</v>
      </c>
      <c r="L486" s="53" t="s">
        <v>84</v>
      </c>
      <c r="M486" s="53" t="s">
        <v>54</v>
      </c>
      <c r="N486" s="53" t="s">
        <v>55</v>
      </c>
      <c r="O486" s="53" t="s">
        <v>70</v>
      </c>
      <c r="P486" s="20" t="s">
        <v>2056</v>
      </c>
      <c r="Q486" s="21" t="s">
        <v>94</v>
      </c>
      <c r="R486" s="20" t="s">
        <v>650</v>
      </c>
      <c r="S486" s="20" t="s">
        <v>2057</v>
      </c>
      <c r="T486" s="22">
        <v>5.73206610327E11</v>
      </c>
      <c r="U486" s="53" t="s">
        <v>75</v>
      </c>
      <c r="V486" s="113"/>
      <c r="W486" s="113"/>
      <c r="X486" s="113"/>
      <c r="Y486" s="54">
        <v>5.0</v>
      </c>
      <c r="Z486" s="13"/>
      <c r="AA486" s="13"/>
      <c r="AB486" s="13"/>
      <c r="AC486" s="13"/>
      <c r="AD486" s="13"/>
      <c r="AE486" s="13"/>
      <c r="AF486" s="14"/>
      <c r="AG486" s="14"/>
      <c r="AH486" s="15"/>
      <c r="AI486" s="16"/>
      <c r="AJ486" s="13"/>
      <c r="AK486" s="17"/>
      <c r="AL486" s="17"/>
      <c r="AM486" s="17"/>
      <c r="AN486" s="17"/>
      <c r="AO486" s="13"/>
      <c r="AP486" s="14"/>
    </row>
    <row r="487">
      <c r="A487" s="53" t="s">
        <v>2058</v>
      </c>
      <c r="B487" s="53" t="s">
        <v>2059</v>
      </c>
      <c r="C487" s="53" t="s">
        <v>872</v>
      </c>
      <c r="D487" s="53" t="s">
        <v>66</v>
      </c>
      <c r="E487" s="53" t="s">
        <v>873</v>
      </c>
      <c r="F487" s="53" t="s">
        <v>874</v>
      </c>
      <c r="G487" s="53" t="s">
        <v>359</v>
      </c>
      <c r="H487" s="53" t="s">
        <v>360</v>
      </c>
      <c r="I487" s="53" t="s">
        <v>50</v>
      </c>
      <c r="J487" s="53" t="s">
        <v>51</v>
      </c>
      <c r="K487" s="73" t="s">
        <v>52</v>
      </c>
      <c r="L487" s="53" t="s">
        <v>53</v>
      </c>
      <c r="M487" s="53" t="s">
        <v>69</v>
      </c>
      <c r="N487" s="53" t="s">
        <v>137</v>
      </c>
      <c r="O487" s="53" t="s">
        <v>70</v>
      </c>
      <c r="P487" s="20" t="s">
        <v>2060</v>
      </c>
      <c r="Q487" s="21" t="s">
        <v>58</v>
      </c>
      <c r="R487" s="20" t="s">
        <v>437</v>
      </c>
      <c r="S487" s="20" t="s">
        <v>2061</v>
      </c>
      <c r="T487" s="22">
        <v>5.73006870667E11</v>
      </c>
      <c r="U487" s="53" t="s">
        <v>61</v>
      </c>
      <c r="V487" s="113"/>
      <c r="W487" s="113"/>
      <c r="X487" s="113"/>
      <c r="Y487" s="54">
        <v>5.0</v>
      </c>
      <c r="Z487" s="13"/>
      <c r="AA487" s="13"/>
      <c r="AB487" s="13"/>
      <c r="AC487" s="13"/>
      <c r="AD487" s="13"/>
      <c r="AE487" s="13"/>
      <c r="AF487" s="14"/>
      <c r="AG487" s="14"/>
      <c r="AH487" s="15"/>
      <c r="AI487" s="16"/>
      <c r="AJ487" s="13"/>
      <c r="AK487" s="17"/>
      <c r="AL487" s="17"/>
      <c r="AM487" s="17"/>
      <c r="AN487" s="17"/>
      <c r="AO487" s="13"/>
      <c r="AP487" s="14"/>
    </row>
    <row r="488">
      <c r="A488" s="53" t="s">
        <v>2062</v>
      </c>
      <c r="B488" s="53" t="s">
        <v>2063</v>
      </c>
      <c r="C488" s="53" t="s">
        <v>1202</v>
      </c>
      <c r="D488" s="53" t="s">
        <v>1203</v>
      </c>
      <c r="E488" s="53" t="s">
        <v>1204</v>
      </c>
      <c r="F488" s="53" t="s">
        <v>47</v>
      </c>
      <c r="G488" s="53" t="s">
        <v>1205</v>
      </c>
      <c r="H488" s="53" t="s">
        <v>1206</v>
      </c>
      <c r="I488" s="53" t="s">
        <v>50</v>
      </c>
      <c r="J488" s="53" t="s">
        <v>51</v>
      </c>
      <c r="K488" s="73" t="s">
        <v>52</v>
      </c>
      <c r="L488" s="53" t="s">
        <v>84</v>
      </c>
      <c r="M488" s="53" t="s">
        <v>54</v>
      </c>
      <c r="N488" s="53" t="s">
        <v>85</v>
      </c>
      <c r="O488" s="8" t="s">
        <v>86</v>
      </c>
      <c r="P488" s="8" t="s">
        <v>1037</v>
      </c>
      <c r="Q488" s="9" t="s">
        <v>111</v>
      </c>
      <c r="R488" s="8" t="s">
        <v>100</v>
      </c>
      <c r="S488" s="8" t="s">
        <v>2064</v>
      </c>
      <c r="T488" s="10">
        <v>1.3122675039E10</v>
      </c>
      <c r="U488" s="8" t="s">
        <v>75</v>
      </c>
      <c r="V488" s="113"/>
      <c r="W488" s="113"/>
      <c r="X488" s="113"/>
      <c r="Y488" s="33">
        <v>45779.0</v>
      </c>
      <c r="Z488" s="28"/>
      <c r="AA488" s="28"/>
      <c r="AB488" s="28"/>
      <c r="AC488" s="28"/>
      <c r="AD488" s="28"/>
      <c r="AE488" s="28"/>
      <c r="AF488" s="29"/>
      <c r="AG488" s="29"/>
      <c r="AH488" s="30"/>
      <c r="AI488" s="31"/>
      <c r="AJ488" s="28"/>
      <c r="AK488" s="32"/>
      <c r="AL488" s="32"/>
      <c r="AM488" s="32"/>
      <c r="AN488" s="32"/>
      <c r="AO488" s="28"/>
      <c r="AP488" s="29"/>
    </row>
    <row r="489">
      <c r="A489" s="53" t="s">
        <v>2065</v>
      </c>
      <c r="B489" s="53" t="s">
        <v>2066</v>
      </c>
      <c r="C489" s="53" t="s">
        <v>1202</v>
      </c>
      <c r="D489" s="53" t="s">
        <v>1203</v>
      </c>
      <c r="E489" s="53" t="s">
        <v>1204</v>
      </c>
      <c r="F489" s="53" t="s">
        <v>47</v>
      </c>
      <c r="G489" s="53" t="s">
        <v>1205</v>
      </c>
      <c r="H489" s="53" t="s">
        <v>1206</v>
      </c>
      <c r="I489" s="53" t="s">
        <v>50</v>
      </c>
      <c r="J489" s="53" t="s">
        <v>51</v>
      </c>
      <c r="K489" s="73" t="s">
        <v>52</v>
      </c>
      <c r="L489" s="53" t="s">
        <v>53</v>
      </c>
      <c r="M489" s="53" t="s">
        <v>69</v>
      </c>
      <c r="N489" s="53" t="s">
        <v>85</v>
      </c>
      <c r="O489" s="53" t="s">
        <v>70</v>
      </c>
      <c r="P489" s="20" t="s">
        <v>904</v>
      </c>
      <c r="Q489" s="21" t="s">
        <v>122</v>
      </c>
      <c r="R489" s="20" t="s">
        <v>256</v>
      </c>
      <c r="S489" s="20" t="s">
        <v>2067</v>
      </c>
      <c r="T489" s="22">
        <v>5.73106214521E11</v>
      </c>
      <c r="U489" s="53" t="s">
        <v>61</v>
      </c>
      <c r="V489" s="113"/>
      <c r="W489" s="113"/>
      <c r="X489" s="113"/>
      <c r="Y489" s="54">
        <v>5.0</v>
      </c>
      <c r="Z489" s="13"/>
      <c r="AA489" s="13"/>
      <c r="AB489" s="13"/>
      <c r="AC489" s="13"/>
      <c r="AD489" s="13"/>
      <c r="AE489" s="13"/>
      <c r="AF489" s="14"/>
      <c r="AG489" s="14"/>
      <c r="AH489" s="15"/>
      <c r="AI489" s="16"/>
      <c r="AJ489" s="13"/>
      <c r="AK489" s="17"/>
      <c r="AL489" s="17"/>
      <c r="AM489" s="17"/>
      <c r="AN489" s="17"/>
      <c r="AO489" s="13"/>
      <c r="AP489" s="14"/>
    </row>
    <row r="490">
      <c r="A490" s="53" t="s">
        <v>2068</v>
      </c>
      <c r="B490" s="53" t="s">
        <v>2069</v>
      </c>
      <c r="C490" s="53" t="s">
        <v>2070</v>
      </c>
      <c r="D490" s="53" t="s">
        <v>2071</v>
      </c>
      <c r="E490" s="53" t="s">
        <v>2072</v>
      </c>
      <c r="F490" s="53" t="s">
        <v>2073</v>
      </c>
      <c r="G490" s="53" t="s">
        <v>2074</v>
      </c>
      <c r="H490" s="53" t="s">
        <v>2075</v>
      </c>
      <c r="I490" s="53" t="s">
        <v>50</v>
      </c>
      <c r="J490" s="53" t="s">
        <v>51</v>
      </c>
      <c r="K490" s="73" t="s">
        <v>52</v>
      </c>
      <c r="L490" s="53" t="s">
        <v>84</v>
      </c>
      <c r="M490" s="53" t="s">
        <v>54</v>
      </c>
      <c r="N490" s="53" t="s">
        <v>55</v>
      </c>
      <c r="O490" s="53" t="s">
        <v>70</v>
      </c>
      <c r="P490" s="20" t="s">
        <v>2076</v>
      </c>
      <c r="Q490" s="21" t="s">
        <v>111</v>
      </c>
      <c r="R490" s="20" t="s">
        <v>173</v>
      </c>
      <c r="S490" s="20" t="s">
        <v>2077</v>
      </c>
      <c r="T490" s="22">
        <v>1.3135412957E10</v>
      </c>
      <c r="U490" s="53" t="s">
        <v>75</v>
      </c>
      <c r="V490" s="113"/>
      <c r="W490" s="113"/>
      <c r="X490" s="113"/>
      <c r="Y490" s="54">
        <v>5.0</v>
      </c>
      <c r="Z490" s="28"/>
      <c r="AA490" s="28"/>
      <c r="AB490" s="28"/>
      <c r="AC490" s="28"/>
      <c r="AD490" s="28"/>
      <c r="AE490" s="29"/>
      <c r="AF490" s="29"/>
      <c r="AG490" s="29"/>
      <c r="AH490" s="30"/>
      <c r="AI490" s="31"/>
      <c r="AJ490" s="28"/>
      <c r="AK490" s="32"/>
      <c r="AL490" s="32"/>
      <c r="AM490" s="32"/>
      <c r="AN490" s="32"/>
      <c r="AO490" s="28"/>
      <c r="AP490" s="29"/>
    </row>
    <row r="491">
      <c r="A491" s="53" t="s">
        <v>2078</v>
      </c>
      <c r="B491" s="53" t="s">
        <v>2079</v>
      </c>
      <c r="C491" s="53" t="s">
        <v>1202</v>
      </c>
      <c r="D491" s="53" t="s">
        <v>1203</v>
      </c>
      <c r="E491" s="53" t="s">
        <v>1204</v>
      </c>
      <c r="F491" s="53" t="s">
        <v>47</v>
      </c>
      <c r="G491" s="53" t="s">
        <v>1205</v>
      </c>
      <c r="H491" s="53" t="s">
        <v>1206</v>
      </c>
      <c r="I491" s="53" t="s">
        <v>50</v>
      </c>
      <c r="J491" s="53" t="s">
        <v>51</v>
      </c>
      <c r="K491" s="73" t="s">
        <v>52</v>
      </c>
      <c r="L491" s="53" t="s">
        <v>84</v>
      </c>
      <c r="M491" s="53" t="s">
        <v>69</v>
      </c>
      <c r="N491" s="53" t="s">
        <v>55</v>
      </c>
      <c r="O491" s="53" t="s">
        <v>70</v>
      </c>
      <c r="P491" s="20" t="s">
        <v>500</v>
      </c>
      <c r="Q491" s="21" t="s">
        <v>94</v>
      </c>
      <c r="R491" s="20" t="s">
        <v>922</v>
      </c>
      <c r="S491" s="20" t="s">
        <v>2080</v>
      </c>
      <c r="T491" s="22">
        <v>5.7319655902E11</v>
      </c>
      <c r="U491" s="53" t="s">
        <v>75</v>
      </c>
      <c r="V491" s="113"/>
      <c r="W491" s="113"/>
      <c r="X491" s="113"/>
      <c r="Y491" s="54">
        <v>5.0</v>
      </c>
      <c r="Z491" s="28"/>
      <c r="AA491" s="28"/>
      <c r="AB491" s="28"/>
      <c r="AC491" s="28"/>
      <c r="AD491" s="28"/>
      <c r="AE491" s="28"/>
      <c r="AF491" s="29"/>
      <c r="AG491" s="29"/>
      <c r="AH491" s="30"/>
      <c r="AI491" s="31"/>
      <c r="AJ491" s="28"/>
      <c r="AK491" s="32"/>
      <c r="AL491" s="32"/>
      <c r="AM491" s="32"/>
      <c r="AN491" s="32"/>
      <c r="AO491" s="28"/>
      <c r="AP491" s="29"/>
    </row>
    <row r="492">
      <c r="A492" s="53" t="s">
        <v>2081</v>
      </c>
      <c r="B492" s="53" t="s">
        <v>2082</v>
      </c>
      <c r="C492" s="53" t="s">
        <v>2070</v>
      </c>
      <c r="D492" s="53" t="s">
        <v>2071</v>
      </c>
      <c r="E492" s="53" t="s">
        <v>2072</v>
      </c>
      <c r="F492" s="53" t="s">
        <v>2073</v>
      </c>
      <c r="G492" s="53" t="s">
        <v>2074</v>
      </c>
      <c r="H492" s="53" t="s">
        <v>2075</v>
      </c>
      <c r="I492" s="53" t="s">
        <v>50</v>
      </c>
      <c r="J492" s="53" t="s">
        <v>51</v>
      </c>
      <c r="K492" s="73" t="s">
        <v>52</v>
      </c>
      <c r="L492" s="53" t="s">
        <v>84</v>
      </c>
      <c r="M492" s="53" t="s">
        <v>54</v>
      </c>
      <c r="N492" s="53" t="s">
        <v>85</v>
      </c>
      <c r="O492" s="53" t="s">
        <v>70</v>
      </c>
      <c r="P492" s="20" t="s">
        <v>2083</v>
      </c>
      <c r="Q492" s="21" t="s">
        <v>111</v>
      </c>
      <c r="R492" s="20" t="s">
        <v>645</v>
      </c>
      <c r="S492" s="20" t="s">
        <v>2084</v>
      </c>
      <c r="T492" s="22">
        <v>5.73127246302E11</v>
      </c>
      <c r="U492" s="53" t="s">
        <v>75</v>
      </c>
      <c r="V492" s="113"/>
      <c r="W492" s="113"/>
      <c r="X492" s="113"/>
      <c r="Y492" s="54">
        <v>5.0</v>
      </c>
      <c r="Z492" s="28"/>
      <c r="AA492" s="28"/>
      <c r="AB492" s="28"/>
      <c r="AC492" s="28"/>
      <c r="AD492" s="28"/>
      <c r="AE492" s="28"/>
      <c r="AF492" s="29"/>
      <c r="AG492" s="29"/>
      <c r="AH492" s="30"/>
      <c r="AI492" s="31"/>
      <c r="AJ492" s="28"/>
      <c r="AK492" s="32"/>
      <c r="AL492" s="32"/>
      <c r="AM492" s="32"/>
      <c r="AN492" s="32"/>
      <c r="AO492" s="28"/>
      <c r="AP492" s="29"/>
    </row>
    <row r="493">
      <c r="A493" s="53" t="s">
        <v>2085</v>
      </c>
      <c r="B493" s="53" t="s">
        <v>2086</v>
      </c>
      <c r="C493" s="53" t="s">
        <v>2070</v>
      </c>
      <c r="D493" s="53" t="s">
        <v>2071</v>
      </c>
      <c r="E493" s="53" t="s">
        <v>2072</v>
      </c>
      <c r="F493" s="53" t="s">
        <v>2073</v>
      </c>
      <c r="G493" s="53" t="s">
        <v>2074</v>
      </c>
      <c r="H493" s="53" t="s">
        <v>2075</v>
      </c>
      <c r="I493" s="53" t="s">
        <v>50</v>
      </c>
      <c r="J493" s="53" t="s">
        <v>51</v>
      </c>
      <c r="K493" s="73" t="s">
        <v>52</v>
      </c>
      <c r="L493" s="53" t="s">
        <v>84</v>
      </c>
      <c r="M493" s="53" t="s">
        <v>69</v>
      </c>
      <c r="N493" s="53" t="s">
        <v>137</v>
      </c>
      <c r="O493" s="53" t="s">
        <v>70</v>
      </c>
      <c r="P493" s="20" t="s">
        <v>2087</v>
      </c>
      <c r="Q493" s="21" t="s">
        <v>111</v>
      </c>
      <c r="R493" s="20" t="s">
        <v>784</v>
      </c>
      <c r="S493" s="20" t="s">
        <v>2088</v>
      </c>
      <c r="T493" s="22">
        <v>5.73213088124E11</v>
      </c>
      <c r="U493" s="53" t="s">
        <v>75</v>
      </c>
      <c r="V493" s="113"/>
      <c r="W493" s="113"/>
      <c r="X493" s="113"/>
      <c r="Y493" s="54">
        <v>5.0</v>
      </c>
      <c r="Z493" s="28"/>
      <c r="AA493" s="28"/>
      <c r="AB493" s="28"/>
      <c r="AC493" s="28"/>
      <c r="AD493" s="28"/>
      <c r="AE493" s="28"/>
      <c r="AF493" s="29"/>
      <c r="AG493" s="29"/>
      <c r="AH493" s="30"/>
      <c r="AI493" s="31"/>
      <c r="AJ493" s="28"/>
      <c r="AK493" s="32"/>
      <c r="AL493" s="32"/>
      <c r="AM493" s="32"/>
      <c r="AN493" s="32"/>
      <c r="AO493" s="28"/>
      <c r="AP493" s="29"/>
    </row>
    <row r="494">
      <c r="A494" s="53" t="s">
        <v>2089</v>
      </c>
      <c r="B494" s="53" t="s">
        <v>2090</v>
      </c>
      <c r="C494" s="53" t="s">
        <v>2070</v>
      </c>
      <c r="D494" s="53" t="s">
        <v>2071</v>
      </c>
      <c r="E494" s="53" t="s">
        <v>2072</v>
      </c>
      <c r="F494" s="53" t="s">
        <v>2073</v>
      </c>
      <c r="G494" s="53" t="s">
        <v>2074</v>
      </c>
      <c r="H494" s="53" t="s">
        <v>2075</v>
      </c>
      <c r="I494" s="53" t="s">
        <v>50</v>
      </c>
      <c r="J494" s="53" t="s">
        <v>51</v>
      </c>
      <c r="K494" s="73" t="s">
        <v>52</v>
      </c>
      <c r="L494" s="53" t="s">
        <v>53</v>
      </c>
      <c r="M494" s="53" t="s">
        <v>69</v>
      </c>
      <c r="N494" s="53" t="s">
        <v>85</v>
      </c>
      <c r="O494" s="53" t="s">
        <v>70</v>
      </c>
      <c r="P494" s="20" t="s">
        <v>1555</v>
      </c>
      <c r="Q494" s="21" t="s">
        <v>111</v>
      </c>
      <c r="R494" s="20" t="s">
        <v>2091</v>
      </c>
      <c r="S494" s="20" t="s">
        <v>2092</v>
      </c>
      <c r="T494" s="22">
        <v>5.73505965937E11</v>
      </c>
      <c r="U494" s="53" t="s">
        <v>75</v>
      </c>
      <c r="V494" s="113"/>
      <c r="W494" s="113"/>
      <c r="X494" s="113"/>
      <c r="Y494" s="54">
        <v>5.0</v>
      </c>
      <c r="Z494" s="28"/>
      <c r="AA494" s="28"/>
      <c r="AB494" s="28"/>
      <c r="AC494" s="28"/>
      <c r="AD494" s="28"/>
      <c r="AE494" s="28"/>
      <c r="AF494" s="29"/>
      <c r="AG494" s="29"/>
      <c r="AH494" s="30"/>
      <c r="AI494" s="31"/>
      <c r="AJ494" s="28"/>
      <c r="AK494" s="32"/>
      <c r="AL494" s="32"/>
      <c r="AM494" s="32"/>
      <c r="AN494" s="32"/>
      <c r="AO494" s="28"/>
      <c r="AP494" s="29"/>
    </row>
    <row r="495">
      <c r="A495" s="53" t="s">
        <v>2093</v>
      </c>
      <c r="B495" s="53" t="s">
        <v>2094</v>
      </c>
      <c r="C495" s="53" t="s">
        <v>2070</v>
      </c>
      <c r="D495" s="53" t="s">
        <v>2071</v>
      </c>
      <c r="E495" s="53" t="s">
        <v>2072</v>
      </c>
      <c r="F495" s="53" t="s">
        <v>2073</v>
      </c>
      <c r="G495" s="53" t="s">
        <v>2074</v>
      </c>
      <c r="H495" s="53" t="s">
        <v>2075</v>
      </c>
      <c r="I495" s="53" t="s">
        <v>50</v>
      </c>
      <c r="J495" s="53" t="s">
        <v>51</v>
      </c>
      <c r="K495" s="73" t="s">
        <v>52</v>
      </c>
      <c r="L495" s="53" t="s">
        <v>53</v>
      </c>
      <c r="M495" s="53" t="s">
        <v>54</v>
      </c>
      <c r="N495" s="53" t="s">
        <v>55</v>
      </c>
      <c r="O495" s="53" t="s">
        <v>70</v>
      </c>
      <c r="P495" s="20" t="s">
        <v>104</v>
      </c>
      <c r="Q495" s="21" t="s">
        <v>111</v>
      </c>
      <c r="R495" s="20" t="s">
        <v>2095</v>
      </c>
      <c r="S495" s="20" t="s">
        <v>2096</v>
      </c>
      <c r="T495" s="22">
        <v>5.7300687296E11</v>
      </c>
      <c r="U495" s="53" t="s">
        <v>75</v>
      </c>
      <c r="V495" s="113"/>
      <c r="W495" s="113"/>
      <c r="X495" s="113"/>
      <c r="Y495" s="54">
        <v>5.0</v>
      </c>
      <c r="Z495" s="28"/>
      <c r="AA495" s="28"/>
      <c r="AB495" s="28"/>
      <c r="AC495" s="28"/>
      <c r="AD495" s="28"/>
      <c r="AE495" s="28"/>
      <c r="AF495" s="29"/>
      <c r="AG495" s="29"/>
      <c r="AH495" s="30"/>
      <c r="AI495" s="31"/>
      <c r="AJ495" s="28"/>
      <c r="AK495" s="32"/>
      <c r="AL495" s="32"/>
      <c r="AM495" s="32"/>
      <c r="AN495" s="32"/>
      <c r="AO495" s="28"/>
      <c r="AP495" s="29"/>
    </row>
    <row r="496">
      <c r="A496" s="53" t="s">
        <v>2097</v>
      </c>
      <c r="B496" s="53" t="s">
        <v>2098</v>
      </c>
      <c r="C496" s="53" t="s">
        <v>1202</v>
      </c>
      <c r="D496" s="53" t="s">
        <v>1203</v>
      </c>
      <c r="E496" s="53" t="s">
        <v>1204</v>
      </c>
      <c r="F496" s="53" t="s">
        <v>47</v>
      </c>
      <c r="G496" s="53" t="s">
        <v>1205</v>
      </c>
      <c r="H496" s="53" t="s">
        <v>1206</v>
      </c>
      <c r="I496" s="53" t="s">
        <v>50</v>
      </c>
      <c r="J496" s="53" t="s">
        <v>51</v>
      </c>
      <c r="K496" s="73" t="s">
        <v>52</v>
      </c>
      <c r="L496" s="53" t="s">
        <v>84</v>
      </c>
      <c r="M496" s="53" t="s">
        <v>69</v>
      </c>
      <c r="N496" s="53" t="s">
        <v>85</v>
      </c>
      <c r="O496" s="8" t="s">
        <v>86</v>
      </c>
      <c r="P496" s="8" t="s">
        <v>2099</v>
      </c>
      <c r="Q496" s="9" t="s">
        <v>111</v>
      </c>
      <c r="R496" s="8" t="s">
        <v>1431</v>
      </c>
      <c r="S496" s="8" t="s">
        <v>2100</v>
      </c>
      <c r="T496" s="10">
        <v>5.219991112536E12</v>
      </c>
      <c r="U496" s="53" t="s">
        <v>2101</v>
      </c>
      <c r="V496" s="113"/>
      <c r="W496" s="113"/>
      <c r="X496" s="113"/>
      <c r="Y496" s="33">
        <v>45779.0</v>
      </c>
      <c r="Z496" s="28"/>
      <c r="AA496" s="28"/>
      <c r="AB496" s="28"/>
      <c r="AC496" s="28"/>
      <c r="AD496" s="28"/>
      <c r="AE496" s="28"/>
      <c r="AF496" s="29"/>
      <c r="AG496" s="29"/>
      <c r="AH496" s="30"/>
      <c r="AI496" s="31"/>
      <c r="AJ496" s="28"/>
      <c r="AK496" s="32"/>
      <c r="AL496" s="32"/>
      <c r="AM496" s="32"/>
      <c r="AN496" s="32"/>
      <c r="AO496" s="28"/>
      <c r="AP496" s="29"/>
    </row>
    <row r="497">
      <c r="A497" s="53" t="s">
        <v>2102</v>
      </c>
      <c r="B497" s="53" t="s">
        <v>2103</v>
      </c>
      <c r="C497" s="53" t="s">
        <v>2070</v>
      </c>
      <c r="D497" s="53" t="s">
        <v>2071</v>
      </c>
      <c r="E497" s="53" t="s">
        <v>2072</v>
      </c>
      <c r="F497" s="53" t="s">
        <v>2073</v>
      </c>
      <c r="G497" s="53" t="s">
        <v>2074</v>
      </c>
      <c r="H497" s="53" t="s">
        <v>2075</v>
      </c>
      <c r="I497" s="53" t="s">
        <v>50</v>
      </c>
      <c r="J497" s="53" t="s">
        <v>51</v>
      </c>
      <c r="K497" s="73" t="s">
        <v>52</v>
      </c>
      <c r="L497" s="53" t="s">
        <v>53</v>
      </c>
      <c r="M497" s="53" t="s">
        <v>54</v>
      </c>
      <c r="N497" s="53" t="s">
        <v>55</v>
      </c>
      <c r="O497" s="53" t="s">
        <v>70</v>
      </c>
      <c r="P497" s="20" t="s">
        <v>2104</v>
      </c>
      <c r="Q497" s="21" t="s">
        <v>58</v>
      </c>
      <c r="R497" s="20" t="s">
        <v>2105</v>
      </c>
      <c r="S497" s="20" t="s">
        <v>2106</v>
      </c>
      <c r="T497" s="22">
        <v>5.73114043567E11</v>
      </c>
      <c r="U497" s="53" t="s">
        <v>75</v>
      </c>
      <c r="V497" s="113"/>
      <c r="W497" s="113"/>
      <c r="X497" s="113"/>
      <c r="Y497" s="54">
        <v>5.0</v>
      </c>
      <c r="Z497" s="13"/>
      <c r="AA497" s="13"/>
      <c r="AB497" s="13"/>
      <c r="AC497" s="13"/>
      <c r="AD497" s="13"/>
      <c r="AE497" s="13"/>
      <c r="AF497" s="14"/>
      <c r="AG497" s="14"/>
      <c r="AH497" s="15"/>
      <c r="AI497" s="16"/>
      <c r="AJ497" s="13"/>
      <c r="AK497" s="17"/>
      <c r="AL497" s="17"/>
      <c r="AM497" s="17"/>
      <c r="AN497" s="17"/>
      <c r="AO497" s="13"/>
      <c r="AP497" s="14"/>
    </row>
    <row r="498">
      <c r="A498" s="53" t="s">
        <v>2107</v>
      </c>
      <c r="B498" s="53" t="s">
        <v>2108</v>
      </c>
      <c r="C498" s="53" t="s">
        <v>2070</v>
      </c>
      <c r="D498" s="53" t="s">
        <v>2071</v>
      </c>
      <c r="E498" s="53" t="s">
        <v>2072</v>
      </c>
      <c r="F498" s="53" t="s">
        <v>2073</v>
      </c>
      <c r="G498" s="53" t="s">
        <v>2074</v>
      </c>
      <c r="H498" s="53" t="s">
        <v>2075</v>
      </c>
      <c r="I498" s="53" t="s">
        <v>50</v>
      </c>
      <c r="J498" s="53" t="s">
        <v>51</v>
      </c>
      <c r="K498" s="73" t="s">
        <v>52</v>
      </c>
      <c r="L498" s="53" t="s">
        <v>84</v>
      </c>
      <c r="M498" s="53" t="s">
        <v>69</v>
      </c>
      <c r="N498" s="53" t="s">
        <v>55</v>
      </c>
      <c r="O498" s="53" t="s">
        <v>70</v>
      </c>
      <c r="P498" s="20" t="s">
        <v>104</v>
      </c>
      <c r="Q498" s="21" t="s">
        <v>111</v>
      </c>
      <c r="R498" s="20" t="s">
        <v>207</v>
      </c>
      <c r="S498" s="20" t="s">
        <v>2109</v>
      </c>
      <c r="T498" s="22">
        <v>5.73147625604E11</v>
      </c>
      <c r="U498" s="53" t="s">
        <v>75</v>
      </c>
      <c r="V498" s="113"/>
      <c r="W498" s="113"/>
      <c r="X498" s="113"/>
      <c r="Y498" s="54">
        <v>5.0</v>
      </c>
      <c r="Z498" s="28"/>
      <c r="AA498" s="29"/>
      <c r="AB498" s="29"/>
      <c r="AC498" s="29"/>
      <c r="AD498" s="29"/>
      <c r="AE498" s="29"/>
      <c r="AF498" s="29"/>
      <c r="AG498" s="29"/>
      <c r="AH498" s="30"/>
      <c r="AI498" s="31"/>
      <c r="AJ498" s="28"/>
      <c r="AK498" s="32"/>
      <c r="AL498" s="32"/>
      <c r="AM498" s="32"/>
      <c r="AN498" s="32"/>
      <c r="AO498" s="28"/>
      <c r="AP498" s="29"/>
    </row>
    <row r="499">
      <c r="A499" s="53" t="s">
        <v>2110</v>
      </c>
      <c r="B499" s="53" t="s">
        <v>2111</v>
      </c>
      <c r="C499" s="53" t="s">
        <v>2070</v>
      </c>
      <c r="D499" s="53" t="s">
        <v>2071</v>
      </c>
      <c r="E499" s="53" t="s">
        <v>2072</v>
      </c>
      <c r="F499" s="53" t="s">
        <v>2073</v>
      </c>
      <c r="G499" s="53" t="s">
        <v>2074</v>
      </c>
      <c r="H499" s="53" t="s">
        <v>2075</v>
      </c>
      <c r="I499" s="53" t="s">
        <v>50</v>
      </c>
      <c r="J499" s="53" t="s">
        <v>51</v>
      </c>
      <c r="K499" s="73" t="s">
        <v>52</v>
      </c>
      <c r="L499" s="53" t="s">
        <v>84</v>
      </c>
      <c r="M499" s="53" t="s">
        <v>69</v>
      </c>
      <c r="N499" s="53" t="s">
        <v>55</v>
      </c>
      <c r="O499" s="53" t="s">
        <v>70</v>
      </c>
      <c r="P499" s="20" t="s">
        <v>141</v>
      </c>
      <c r="Q499" s="21" t="s">
        <v>122</v>
      </c>
      <c r="R499" s="20" t="s">
        <v>2112</v>
      </c>
      <c r="S499" s="20" t="s">
        <v>2113</v>
      </c>
      <c r="T499" s="22">
        <v>5.73143010623E11</v>
      </c>
      <c r="U499" s="53" t="s">
        <v>75</v>
      </c>
      <c r="V499" s="113"/>
      <c r="W499" s="113"/>
      <c r="X499" s="113"/>
      <c r="Y499" s="54">
        <v>5.0</v>
      </c>
      <c r="Z499" s="28"/>
      <c r="AA499" s="28"/>
      <c r="AB499" s="28"/>
      <c r="AC499" s="28"/>
      <c r="AD499" s="28"/>
      <c r="AE499" s="28"/>
      <c r="AF499" s="29"/>
      <c r="AG499" s="29"/>
      <c r="AH499" s="30"/>
      <c r="AI499" s="31"/>
      <c r="AJ499" s="28"/>
      <c r="AK499" s="32"/>
      <c r="AL499" s="32"/>
      <c r="AM499" s="32"/>
      <c r="AN499" s="32"/>
      <c r="AO499" s="28"/>
      <c r="AP499" s="29"/>
    </row>
    <row r="500">
      <c r="A500" s="53" t="s">
        <v>2114</v>
      </c>
      <c r="B500" s="53" t="s">
        <v>2115</v>
      </c>
      <c r="C500" s="53" t="s">
        <v>1202</v>
      </c>
      <c r="D500" s="53" t="s">
        <v>1203</v>
      </c>
      <c r="E500" s="53" t="s">
        <v>1204</v>
      </c>
      <c r="F500" s="53" t="s">
        <v>47</v>
      </c>
      <c r="G500" s="53" t="s">
        <v>1205</v>
      </c>
      <c r="H500" s="53" t="s">
        <v>1206</v>
      </c>
      <c r="I500" s="53" t="s">
        <v>50</v>
      </c>
      <c r="J500" s="53" t="s">
        <v>51</v>
      </c>
      <c r="K500" s="73" t="s">
        <v>52</v>
      </c>
      <c r="L500" s="53" t="s">
        <v>53</v>
      </c>
      <c r="M500" s="53" t="s">
        <v>54</v>
      </c>
      <c r="N500" s="53" t="s">
        <v>55</v>
      </c>
      <c r="O500" s="53" t="s">
        <v>70</v>
      </c>
      <c r="P500" s="20" t="s">
        <v>104</v>
      </c>
      <c r="Q500" s="21" t="s">
        <v>122</v>
      </c>
      <c r="R500" s="20" t="s">
        <v>2116</v>
      </c>
      <c r="S500" s="20" t="s">
        <v>2117</v>
      </c>
      <c r="T500" s="22">
        <v>5.73006098075E11</v>
      </c>
      <c r="U500" s="53" t="s">
        <v>75</v>
      </c>
      <c r="V500" s="113"/>
      <c r="W500" s="113"/>
      <c r="X500" s="113"/>
      <c r="Y500" s="54">
        <v>5.0</v>
      </c>
      <c r="Z500" s="13"/>
      <c r="AA500" s="13"/>
      <c r="AB500" s="13"/>
      <c r="AC500" s="13"/>
      <c r="AD500" s="13"/>
      <c r="AE500" s="13"/>
      <c r="AF500" s="14"/>
      <c r="AG500" s="14"/>
      <c r="AH500" s="15"/>
      <c r="AI500" s="16"/>
      <c r="AJ500" s="13"/>
      <c r="AK500" s="17"/>
      <c r="AL500" s="17"/>
      <c r="AM500" s="17"/>
      <c r="AN500" s="17"/>
      <c r="AO500" s="13"/>
      <c r="AP500" s="14"/>
    </row>
    <row r="501">
      <c r="A501" s="53" t="s">
        <v>2118</v>
      </c>
      <c r="B501" s="53" t="s">
        <v>2119</v>
      </c>
      <c r="C501" s="53" t="s">
        <v>1202</v>
      </c>
      <c r="D501" s="53" t="s">
        <v>1203</v>
      </c>
      <c r="E501" s="53" t="s">
        <v>1204</v>
      </c>
      <c r="F501" s="53" t="s">
        <v>47</v>
      </c>
      <c r="G501" s="53" t="s">
        <v>1205</v>
      </c>
      <c r="H501" s="53" t="s">
        <v>1206</v>
      </c>
      <c r="I501" s="53" t="s">
        <v>50</v>
      </c>
      <c r="J501" s="53" t="s">
        <v>51</v>
      </c>
      <c r="K501" s="73" t="s">
        <v>52</v>
      </c>
      <c r="L501" s="53" t="s">
        <v>53</v>
      </c>
      <c r="M501" s="53" t="s">
        <v>69</v>
      </c>
      <c r="N501" s="53" t="s">
        <v>137</v>
      </c>
      <c r="O501" s="53" t="s">
        <v>70</v>
      </c>
      <c r="P501" s="20" t="s">
        <v>57</v>
      </c>
      <c r="Q501" s="21" t="s">
        <v>105</v>
      </c>
      <c r="R501" s="20" t="s">
        <v>173</v>
      </c>
      <c r="S501" s="20" t="s">
        <v>2120</v>
      </c>
      <c r="T501" s="22">
        <v>5.73186160133E11</v>
      </c>
      <c r="U501" s="53" t="s">
        <v>61</v>
      </c>
      <c r="V501" s="113"/>
      <c r="W501" s="113"/>
      <c r="X501" s="113"/>
      <c r="Y501" s="54">
        <v>5.0</v>
      </c>
      <c r="Z501" s="28"/>
      <c r="AA501" s="28"/>
      <c r="AB501" s="28"/>
      <c r="AC501" s="28"/>
      <c r="AD501" s="29"/>
      <c r="AE501" s="29"/>
      <c r="AF501" s="29"/>
      <c r="AG501" s="29"/>
      <c r="AH501" s="30"/>
      <c r="AI501" s="31"/>
      <c r="AJ501" s="28"/>
      <c r="AK501" s="32"/>
      <c r="AL501" s="32"/>
      <c r="AM501" s="32"/>
      <c r="AN501" s="32"/>
      <c r="AO501" s="28"/>
      <c r="AP501" s="29"/>
    </row>
    <row r="502">
      <c r="A502" s="53" t="s">
        <v>2121</v>
      </c>
      <c r="B502" s="53" t="s">
        <v>2122</v>
      </c>
      <c r="C502" s="53" t="s">
        <v>1202</v>
      </c>
      <c r="D502" s="53" t="s">
        <v>1203</v>
      </c>
      <c r="E502" s="53" t="s">
        <v>1204</v>
      </c>
      <c r="F502" s="53" t="s">
        <v>47</v>
      </c>
      <c r="G502" s="53" t="s">
        <v>1205</v>
      </c>
      <c r="H502" s="53" t="s">
        <v>1206</v>
      </c>
      <c r="I502" s="53" t="s">
        <v>50</v>
      </c>
      <c r="J502" s="53" t="s">
        <v>51</v>
      </c>
      <c r="K502" s="73" t="s">
        <v>52</v>
      </c>
      <c r="L502" s="53" t="s">
        <v>53</v>
      </c>
      <c r="M502" s="53" t="s">
        <v>69</v>
      </c>
      <c r="N502" s="53" t="s">
        <v>137</v>
      </c>
      <c r="O502" s="53" t="s">
        <v>70</v>
      </c>
      <c r="P502" s="20" t="s">
        <v>211</v>
      </c>
      <c r="Q502" s="20" t="s">
        <v>2123</v>
      </c>
      <c r="R502" s="20" t="s">
        <v>1609</v>
      </c>
      <c r="S502" s="20" t="s">
        <v>2124</v>
      </c>
      <c r="T502" s="22">
        <v>5.73145326717E11</v>
      </c>
      <c r="U502" s="53" t="s">
        <v>61</v>
      </c>
      <c r="V502" s="113"/>
      <c r="W502" s="113"/>
      <c r="X502" s="113"/>
      <c r="Y502" s="54">
        <v>5.0</v>
      </c>
      <c r="Z502" s="28"/>
      <c r="AA502" s="28"/>
      <c r="AB502" s="28"/>
      <c r="AC502" s="28"/>
      <c r="AD502" s="28"/>
      <c r="AE502" s="28"/>
      <c r="AF502" s="29"/>
      <c r="AG502" s="29"/>
      <c r="AH502" s="30"/>
      <c r="AI502" s="31"/>
      <c r="AJ502" s="28"/>
      <c r="AK502" s="32"/>
      <c r="AL502" s="32"/>
      <c r="AM502" s="32"/>
      <c r="AN502" s="32"/>
      <c r="AO502" s="28"/>
      <c r="AP502" s="29"/>
    </row>
    <row r="503">
      <c r="A503" s="53" t="s">
        <v>2125</v>
      </c>
      <c r="B503" s="53" t="s">
        <v>2126</v>
      </c>
      <c r="C503" s="53" t="s">
        <v>2070</v>
      </c>
      <c r="D503" s="53" t="s">
        <v>2071</v>
      </c>
      <c r="E503" s="53" t="s">
        <v>2072</v>
      </c>
      <c r="F503" s="53" t="s">
        <v>2073</v>
      </c>
      <c r="G503" s="53" t="s">
        <v>2074</v>
      </c>
      <c r="H503" s="53" t="s">
        <v>2075</v>
      </c>
      <c r="I503" s="53" t="s">
        <v>50</v>
      </c>
      <c r="J503" s="53" t="s">
        <v>51</v>
      </c>
      <c r="K503" s="73" t="s">
        <v>52</v>
      </c>
      <c r="L503" s="53" t="s">
        <v>53</v>
      </c>
      <c r="M503" s="53" t="s">
        <v>54</v>
      </c>
      <c r="N503" s="53" t="s">
        <v>55</v>
      </c>
      <c r="O503" s="53" t="s">
        <v>70</v>
      </c>
      <c r="P503" s="20" t="s">
        <v>211</v>
      </c>
      <c r="Q503" s="21" t="s">
        <v>183</v>
      </c>
      <c r="R503" s="20" t="s">
        <v>304</v>
      </c>
      <c r="S503" s="20" t="s">
        <v>2127</v>
      </c>
      <c r="T503" s="22">
        <v>5.73017230784E11</v>
      </c>
      <c r="U503" s="20" t="s">
        <v>61</v>
      </c>
      <c r="V503" s="113"/>
      <c r="W503" s="113"/>
      <c r="X503" s="113"/>
      <c r="Y503" s="54">
        <v>5.0</v>
      </c>
      <c r="Z503" s="104"/>
      <c r="AA503" s="104"/>
      <c r="AB503" s="104"/>
      <c r="AC503" s="104"/>
      <c r="AD503" s="104"/>
      <c r="AE503" s="104"/>
      <c r="AF503" s="105"/>
      <c r="AG503" s="105"/>
      <c r="AH503" s="106"/>
      <c r="AI503" s="106"/>
      <c r="AJ503" s="104"/>
      <c r="AK503" s="107"/>
      <c r="AL503" s="107"/>
      <c r="AM503" s="107"/>
      <c r="AN503" s="107"/>
      <c r="AO503" s="104"/>
      <c r="AP503" s="105"/>
    </row>
    <row r="504">
      <c r="A504" s="53" t="s">
        <v>2128</v>
      </c>
      <c r="B504" s="53" t="s">
        <v>2129</v>
      </c>
      <c r="C504" s="53" t="s">
        <v>1202</v>
      </c>
      <c r="D504" s="53" t="s">
        <v>1203</v>
      </c>
      <c r="E504" s="53" t="s">
        <v>1204</v>
      </c>
      <c r="F504" s="53" t="s">
        <v>47</v>
      </c>
      <c r="G504" s="53" t="s">
        <v>1205</v>
      </c>
      <c r="H504" s="53" t="s">
        <v>1206</v>
      </c>
      <c r="I504" s="53" t="s">
        <v>50</v>
      </c>
      <c r="J504" s="53" t="s">
        <v>51</v>
      </c>
      <c r="K504" s="73" t="s">
        <v>52</v>
      </c>
      <c r="L504" s="53" t="s">
        <v>53</v>
      </c>
      <c r="M504" s="53" t="s">
        <v>54</v>
      </c>
      <c r="N504" s="53" t="s">
        <v>85</v>
      </c>
      <c r="O504" s="53" t="s">
        <v>70</v>
      </c>
      <c r="P504" s="20" t="s">
        <v>2130</v>
      </c>
      <c r="Q504" s="21" t="s">
        <v>111</v>
      </c>
      <c r="R504" s="20" t="s">
        <v>173</v>
      </c>
      <c r="S504" s="20" t="s">
        <v>2131</v>
      </c>
      <c r="T504" s="22">
        <v>3.113580957E9</v>
      </c>
      <c r="U504" s="53" t="s">
        <v>75</v>
      </c>
      <c r="V504" s="113"/>
      <c r="W504" s="113"/>
      <c r="X504" s="113"/>
      <c r="Y504" s="54">
        <v>5.0</v>
      </c>
      <c r="Z504" s="28"/>
      <c r="AA504" s="28"/>
      <c r="AB504" s="28"/>
      <c r="AC504" s="28"/>
      <c r="AD504" s="28"/>
      <c r="AE504" s="28"/>
      <c r="AF504" s="29"/>
      <c r="AG504" s="29"/>
      <c r="AH504" s="30"/>
      <c r="AI504" s="31"/>
      <c r="AJ504" s="28"/>
      <c r="AK504" s="32"/>
      <c r="AL504" s="32"/>
      <c r="AM504" s="32"/>
      <c r="AN504" s="32"/>
      <c r="AO504" s="28"/>
      <c r="AP504" s="29"/>
    </row>
    <row r="505">
      <c r="A505" s="53" t="s">
        <v>2132</v>
      </c>
      <c r="B505" s="53" t="s">
        <v>2133</v>
      </c>
      <c r="C505" s="53" t="s">
        <v>1202</v>
      </c>
      <c r="D505" s="53" t="s">
        <v>1203</v>
      </c>
      <c r="E505" s="53" t="s">
        <v>1204</v>
      </c>
      <c r="F505" s="53" t="s">
        <v>47</v>
      </c>
      <c r="G505" s="53" t="s">
        <v>1205</v>
      </c>
      <c r="H505" s="53" t="s">
        <v>1206</v>
      </c>
      <c r="I505" s="53" t="s">
        <v>50</v>
      </c>
      <c r="J505" s="53" t="s">
        <v>51</v>
      </c>
      <c r="K505" s="73" t="s">
        <v>52</v>
      </c>
      <c r="L505" s="53" t="s">
        <v>53</v>
      </c>
      <c r="M505" s="53" t="s">
        <v>54</v>
      </c>
      <c r="N505" s="53" t="s">
        <v>55</v>
      </c>
      <c r="O505" s="53" t="s">
        <v>70</v>
      </c>
      <c r="P505" s="20" t="s">
        <v>110</v>
      </c>
      <c r="Q505" s="21" t="s">
        <v>72</v>
      </c>
      <c r="R505" s="21" t="s">
        <v>1783</v>
      </c>
      <c r="S505" s="20" t="s">
        <v>2134</v>
      </c>
      <c r="T505" s="22">
        <v>5.73176350062E11</v>
      </c>
      <c r="U505" s="53" t="s">
        <v>75</v>
      </c>
      <c r="V505" s="113"/>
      <c r="W505" s="113"/>
      <c r="X505" s="113"/>
      <c r="Y505" s="54">
        <v>5.0</v>
      </c>
      <c r="Z505" s="28"/>
      <c r="AA505" s="28"/>
      <c r="AB505" s="28"/>
      <c r="AC505" s="28"/>
      <c r="AD505" s="28"/>
      <c r="AE505" s="28"/>
      <c r="AF505" s="29"/>
      <c r="AG505" s="29"/>
      <c r="AH505" s="30"/>
      <c r="AI505" s="31"/>
      <c r="AJ505" s="28"/>
      <c r="AK505" s="32"/>
      <c r="AL505" s="32"/>
      <c r="AM505" s="32"/>
      <c r="AN505" s="32"/>
      <c r="AO505" s="28"/>
      <c r="AP505" s="29"/>
    </row>
    <row r="506">
      <c r="A506" s="53" t="s">
        <v>2135</v>
      </c>
      <c r="B506" s="53" t="s">
        <v>2136</v>
      </c>
      <c r="C506" s="53" t="s">
        <v>1202</v>
      </c>
      <c r="D506" s="53" t="s">
        <v>1203</v>
      </c>
      <c r="E506" s="53" t="s">
        <v>1204</v>
      </c>
      <c r="F506" s="53" t="s">
        <v>47</v>
      </c>
      <c r="G506" s="53" t="s">
        <v>1205</v>
      </c>
      <c r="H506" s="53" t="s">
        <v>1206</v>
      </c>
      <c r="I506" s="53" t="s">
        <v>50</v>
      </c>
      <c r="J506" s="53" t="s">
        <v>51</v>
      </c>
      <c r="K506" s="73" t="s">
        <v>52</v>
      </c>
      <c r="L506" s="53" t="s">
        <v>53</v>
      </c>
      <c r="M506" s="53" t="s">
        <v>69</v>
      </c>
      <c r="N506" s="53" t="s">
        <v>85</v>
      </c>
      <c r="O506" s="53" t="s">
        <v>70</v>
      </c>
      <c r="P506" s="20" t="s">
        <v>2137</v>
      </c>
      <c r="Q506" s="21" t="s">
        <v>58</v>
      </c>
      <c r="R506" s="20" t="s">
        <v>2013</v>
      </c>
      <c r="S506" s="20" t="s">
        <v>2138</v>
      </c>
      <c r="T506" s="22">
        <v>5.73114462011E11</v>
      </c>
      <c r="U506" s="53" t="s">
        <v>61</v>
      </c>
      <c r="V506" s="113"/>
      <c r="W506" s="113"/>
      <c r="X506" s="113"/>
      <c r="Y506" s="54">
        <v>5.0</v>
      </c>
      <c r="Z506" s="49"/>
      <c r="AA506" s="49"/>
      <c r="AB506" s="49"/>
      <c r="AC506" s="49"/>
      <c r="AD506" s="49"/>
      <c r="AE506" s="49"/>
      <c r="AF506" s="50"/>
      <c r="AG506" s="50"/>
      <c r="AH506" s="51"/>
      <c r="AI506" s="51"/>
      <c r="AJ506" s="49"/>
      <c r="AK506" s="52"/>
      <c r="AL506" s="52"/>
      <c r="AM506" s="52"/>
      <c r="AN506" s="52"/>
      <c r="AO506" s="49"/>
      <c r="AP506" s="50"/>
    </row>
    <row r="507">
      <c r="A507" s="53" t="s">
        <v>2139</v>
      </c>
      <c r="B507" s="53" t="s">
        <v>2140</v>
      </c>
      <c r="C507" s="53" t="s">
        <v>1202</v>
      </c>
      <c r="D507" s="53" t="s">
        <v>1203</v>
      </c>
      <c r="E507" s="53" t="s">
        <v>1204</v>
      </c>
      <c r="F507" s="53" t="s">
        <v>47</v>
      </c>
      <c r="G507" s="53" t="s">
        <v>1205</v>
      </c>
      <c r="H507" s="53" t="s">
        <v>1206</v>
      </c>
      <c r="I507" s="53" t="s">
        <v>50</v>
      </c>
      <c r="J507" s="53" t="s">
        <v>51</v>
      </c>
      <c r="K507" s="73" t="s">
        <v>52</v>
      </c>
      <c r="L507" s="53" t="s">
        <v>53</v>
      </c>
      <c r="M507" s="53" t="s">
        <v>69</v>
      </c>
      <c r="N507" s="53" t="s">
        <v>55</v>
      </c>
      <c r="O507" s="53" t="s">
        <v>70</v>
      </c>
      <c r="P507" s="20" t="s">
        <v>127</v>
      </c>
      <c r="Q507" s="21" t="s">
        <v>111</v>
      </c>
      <c r="R507" s="20" t="s">
        <v>2141</v>
      </c>
      <c r="S507" s="20" t="s">
        <v>2142</v>
      </c>
      <c r="T507" s="22">
        <v>5.73233211935E11</v>
      </c>
      <c r="U507" s="53" t="s">
        <v>75</v>
      </c>
      <c r="V507" s="113"/>
      <c r="W507" s="113"/>
      <c r="X507" s="113"/>
      <c r="Y507" s="54">
        <v>5.0</v>
      </c>
      <c r="Z507" s="28"/>
      <c r="AA507" s="28"/>
      <c r="AB507" s="28"/>
      <c r="AC507" s="28"/>
      <c r="AD507" s="28"/>
      <c r="AE507" s="28"/>
      <c r="AF507" s="29"/>
      <c r="AG507" s="29"/>
      <c r="AH507" s="30"/>
      <c r="AI507" s="31"/>
      <c r="AJ507" s="28"/>
      <c r="AK507" s="32"/>
      <c r="AL507" s="32"/>
      <c r="AM507" s="32"/>
      <c r="AN507" s="32"/>
      <c r="AO507" s="28"/>
      <c r="AP507" s="29"/>
    </row>
    <row r="508">
      <c r="A508" s="53" t="s">
        <v>2143</v>
      </c>
      <c r="B508" s="53" t="s">
        <v>2144</v>
      </c>
      <c r="C508" s="53" t="s">
        <v>2070</v>
      </c>
      <c r="D508" s="53" t="s">
        <v>2071</v>
      </c>
      <c r="E508" s="53" t="s">
        <v>2072</v>
      </c>
      <c r="F508" s="53" t="s">
        <v>2073</v>
      </c>
      <c r="G508" s="53" t="s">
        <v>2074</v>
      </c>
      <c r="H508" s="53" t="s">
        <v>2075</v>
      </c>
      <c r="I508" s="53" t="s">
        <v>50</v>
      </c>
      <c r="J508" s="53" t="s">
        <v>51</v>
      </c>
      <c r="K508" s="73" t="s">
        <v>52</v>
      </c>
      <c r="L508" s="53" t="s">
        <v>53</v>
      </c>
      <c r="M508" s="53" t="s">
        <v>54</v>
      </c>
      <c r="N508" s="53" t="s">
        <v>55</v>
      </c>
      <c r="O508" s="53" t="s">
        <v>70</v>
      </c>
      <c r="P508" s="20" t="s">
        <v>2145</v>
      </c>
      <c r="Q508" s="21" t="s">
        <v>183</v>
      </c>
      <c r="R508" s="20" t="s">
        <v>2146</v>
      </c>
      <c r="S508" s="20" t="s">
        <v>2147</v>
      </c>
      <c r="T508" s="22">
        <v>5.73224047386E11</v>
      </c>
      <c r="U508" s="53" t="s">
        <v>75</v>
      </c>
      <c r="V508" s="113"/>
      <c r="W508" s="113"/>
      <c r="X508" s="113"/>
      <c r="Y508" s="54">
        <v>5.0</v>
      </c>
      <c r="Z508" s="28"/>
      <c r="AA508" s="28"/>
      <c r="AB508" s="28"/>
      <c r="AC508" s="28"/>
      <c r="AD508" s="28"/>
      <c r="AE508" s="28"/>
      <c r="AF508" s="29"/>
      <c r="AG508" s="29"/>
      <c r="AH508" s="30"/>
      <c r="AI508" s="31"/>
      <c r="AJ508" s="28"/>
      <c r="AK508" s="32"/>
      <c r="AL508" s="32"/>
      <c r="AM508" s="32"/>
      <c r="AN508" s="32"/>
      <c r="AO508" s="28"/>
      <c r="AP508" s="29"/>
    </row>
    <row r="509">
      <c r="A509" s="53" t="s">
        <v>2148</v>
      </c>
      <c r="B509" s="53" t="s">
        <v>2149</v>
      </c>
      <c r="C509" s="53" t="s">
        <v>1202</v>
      </c>
      <c r="D509" s="53" t="s">
        <v>1203</v>
      </c>
      <c r="E509" s="53" t="s">
        <v>1204</v>
      </c>
      <c r="F509" s="53" t="s">
        <v>47</v>
      </c>
      <c r="G509" s="53" t="s">
        <v>1205</v>
      </c>
      <c r="H509" s="53" t="s">
        <v>1206</v>
      </c>
      <c r="I509" s="53" t="s">
        <v>50</v>
      </c>
      <c r="J509" s="53" t="s">
        <v>51</v>
      </c>
      <c r="K509" s="73" t="s">
        <v>52</v>
      </c>
      <c r="L509" s="53" t="s">
        <v>84</v>
      </c>
      <c r="M509" s="53" t="s">
        <v>69</v>
      </c>
      <c r="N509" s="53" t="s">
        <v>55</v>
      </c>
      <c r="O509" s="53" t="s">
        <v>70</v>
      </c>
      <c r="P509" s="20" t="s">
        <v>162</v>
      </c>
      <c r="Q509" s="21" t="s">
        <v>111</v>
      </c>
      <c r="R509" s="20" t="s">
        <v>2150</v>
      </c>
      <c r="S509" s="20" t="s">
        <v>2151</v>
      </c>
      <c r="T509" s="22">
        <v>5.73165229866E11</v>
      </c>
      <c r="U509" s="53" t="s">
        <v>75</v>
      </c>
      <c r="V509" s="113"/>
      <c r="W509" s="113"/>
      <c r="X509" s="113"/>
      <c r="Y509" s="54">
        <v>5.0</v>
      </c>
      <c r="Z509" s="28"/>
      <c r="AA509" s="28"/>
      <c r="AB509" s="28"/>
      <c r="AC509" s="28"/>
      <c r="AD509" s="28"/>
      <c r="AE509" s="28"/>
      <c r="AF509" s="29"/>
      <c r="AG509" s="29"/>
      <c r="AH509" s="30"/>
      <c r="AI509" s="31"/>
      <c r="AJ509" s="28"/>
      <c r="AK509" s="32"/>
      <c r="AL509" s="32"/>
      <c r="AM509" s="32"/>
      <c r="AN509" s="32"/>
      <c r="AO509" s="28"/>
      <c r="AP509" s="29"/>
    </row>
    <row r="510">
      <c r="A510" s="53" t="s">
        <v>2152</v>
      </c>
      <c r="B510" s="53" t="s">
        <v>2153</v>
      </c>
      <c r="C510" s="53" t="s">
        <v>1202</v>
      </c>
      <c r="D510" s="53" t="s">
        <v>1203</v>
      </c>
      <c r="E510" s="53" t="s">
        <v>1204</v>
      </c>
      <c r="F510" s="53" t="s">
        <v>47</v>
      </c>
      <c r="G510" s="53" t="s">
        <v>1205</v>
      </c>
      <c r="H510" s="53" t="s">
        <v>1206</v>
      </c>
      <c r="I510" s="53" t="s">
        <v>50</v>
      </c>
      <c r="J510" s="53" t="s">
        <v>51</v>
      </c>
      <c r="K510" s="73" t="s">
        <v>52</v>
      </c>
      <c r="L510" s="53" t="s">
        <v>53</v>
      </c>
      <c r="M510" s="53" t="s">
        <v>54</v>
      </c>
      <c r="N510" s="53" t="s">
        <v>137</v>
      </c>
      <c r="O510" s="53" t="s">
        <v>70</v>
      </c>
      <c r="P510" s="20" t="s">
        <v>1084</v>
      </c>
      <c r="Q510" s="21" t="s">
        <v>94</v>
      </c>
      <c r="R510" s="20" t="s">
        <v>2154</v>
      </c>
      <c r="S510" s="20" t="s">
        <v>2155</v>
      </c>
      <c r="T510" s="22">
        <v>5.73214573426E11</v>
      </c>
      <c r="U510" s="53" t="s">
        <v>61</v>
      </c>
      <c r="V510" s="113"/>
      <c r="W510" s="113"/>
      <c r="X510" s="113"/>
      <c r="Y510" s="54">
        <v>5.0</v>
      </c>
      <c r="Z510" s="28"/>
      <c r="AA510" s="28"/>
      <c r="AB510" s="28"/>
      <c r="AC510" s="28"/>
      <c r="AD510" s="28"/>
      <c r="AE510" s="28"/>
      <c r="AF510" s="29"/>
      <c r="AG510" s="29"/>
      <c r="AH510" s="30"/>
      <c r="AI510" s="31"/>
      <c r="AJ510" s="28"/>
      <c r="AK510" s="32"/>
      <c r="AL510" s="32"/>
      <c r="AM510" s="32"/>
      <c r="AN510" s="32"/>
      <c r="AO510" s="28"/>
      <c r="AP510" s="29"/>
    </row>
    <row r="511">
      <c r="A511" s="53" t="s">
        <v>2156</v>
      </c>
      <c r="B511" s="53" t="s">
        <v>2157</v>
      </c>
      <c r="C511" s="53" t="s">
        <v>2070</v>
      </c>
      <c r="D511" s="53" t="s">
        <v>2071</v>
      </c>
      <c r="E511" s="53" t="s">
        <v>2072</v>
      </c>
      <c r="F511" s="53" t="s">
        <v>2073</v>
      </c>
      <c r="G511" s="53" t="s">
        <v>2074</v>
      </c>
      <c r="H511" s="53" t="s">
        <v>2075</v>
      </c>
      <c r="I511" s="53" t="s">
        <v>50</v>
      </c>
      <c r="J511" s="53" t="s">
        <v>51</v>
      </c>
      <c r="K511" s="73" t="s">
        <v>52</v>
      </c>
      <c r="L511" s="53" t="s">
        <v>53</v>
      </c>
      <c r="M511" s="53" t="s">
        <v>69</v>
      </c>
      <c r="N511" s="53" t="s">
        <v>55</v>
      </c>
      <c r="O511" s="53" t="s">
        <v>70</v>
      </c>
      <c r="P511" s="20" t="s">
        <v>110</v>
      </c>
      <c r="Q511" s="21" t="s">
        <v>94</v>
      </c>
      <c r="R511" s="20" t="s">
        <v>437</v>
      </c>
      <c r="S511" s="20" t="s">
        <v>2158</v>
      </c>
      <c r="T511" s="22">
        <v>3.212542189E9</v>
      </c>
      <c r="U511" s="53" t="s">
        <v>61</v>
      </c>
      <c r="V511" s="113"/>
      <c r="W511" s="113"/>
      <c r="X511" s="113"/>
      <c r="Y511" s="54">
        <v>5.0</v>
      </c>
      <c r="Z511" s="28"/>
      <c r="AA511" s="28"/>
      <c r="AB511" s="28"/>
      <c r="AC511" s="28"/>
      <c r="AD511" s="28"/>
      <c r="AE511" s="28"/>
      <c r="AF511" s="29"/>
      <c r="AG511" s="29"/>
      <c r="AH511" s="30"/>
      <c r="AI511" s="31"/>
      <c r="AJ511" s="28"/>
      <c r="AK511" s="32"/>
      <c r="AL511" s="32"/>
      <c r="AM511" s="32"/>
      <c r="AN511" s="32"/>
      <c r="AO511" s="28"/>
      <c r="AP511" s="29"/>
    </row>
    <row r="512">
      <c r="A512" s="53" t="s">
        <v>2159</v>
      </c>
      <c r="B512" s="53" t="s">
        <v>2160</v>
      </c>
      <c r="C512" s="53" t="s">
        <v>1202</v>
      </c>
      <c r="D512" s="53" t="s">
        <v>1203</v>
      </c>
      <c r="E512" s="53" t="s">
        <v>1204</v>
      </c>
      <c r="F512" s="53" t="s">
        <v>47</v>
      </c>
      <c r="G512" s="53" t="s">
        <v>1205</v>
      </c>
      <c r="H512" s="53" t="s">
        <v>1206</v>
      </c>
      <c r="I512" s="53" t="s">
        <v>50</v>
      </c>
      <c r="J512" s="53" t="s">
        <v>51</v>
      </c>
      <c r="K512" s="73" t="s">
        <v>52</v>
      </c>
      <c r="L512" s="53" t="s">
        <v>53</v>
      </c>
      <c r="M512" s="53" t="s">
        <v>54</v>
      </c>
      <c r="N512" s="53" t="s">
        <v>55</v>
      </c>
      <c r="O512" s="8" t="s">
        <v>86</v>
      </c>
      <c r="P512" s="8" t="s">
        <v>2161</v>
      </c>
      <c r="Q512" s="9" t="s">
        <v>111</v>
      </c>
      <c r="R512" s="8" t="s">
        <v>2162</v>
      </c>
      <c r="S512" s="8" t="s">
        <v>2163</v>
      </c>
      <c r="T512" s="10">
        <v>5.73163594415E11</v>
      </c>
      <c r="U512" s="8" t="s">
        <v>61</v>
      </c>
      <c r="V512" s="113"/>
      <c r="W512" s="113"/>
      <c r="X512" s="113"/>
      <c r="Y512" s="33">
        <v>45779.0</v>
      </c>
      <c r="Z512" s="13"/>
      <c r="AA512" s="13"/>
      <c r="AB512" s="13"/>
      <c r="AC512" s="13"/>
      <c r="AD512" s="13"/>
      <c r="AE512" s="13"/>
      <c r="AF512" s="14"/>
      <c r="AG512" s="14"/>
      <c r="AH512" s="15"/>
      <c r="AI512" s="16"/>
      <c r="AJ512" s="13"/>
      <c r="AK512" s="17"/>
      <c r="AL512" s="17"/>
      <c r="AM512" s="17"/>
      <c r="AN512" s="17"/>
      <c r="AO512" s="13"/>
      <c r="AP512" s="14"/>
    </row>
    <row r="513">
      <c r="A513" s="53" t="s">
        <v>2164</v>
      </c>
      <c r="B513" s="53" t="s">
        <v>2165</v>
      </c>
      <c r="C513" s="53" t="s">
        <v>1202</v>
      </c>
      <c r="D513" s="53" t="s">
        <v>1203</v>
      </c>
      <c r="E513" s="53" t="s">
        <v>1204</v>
      </c>
      <c r="F513" s="53" t="s">
        <v>47</v>
      </c>
      <c r="G513" s="53" t="s">
        <v>1205</v>
      </c>
      <c r="H513" s="53" t="s">
        <v>1206</v>
      </c>
      <c r="I513" s="53" t="s">
        <v>50</v>
      </c>
      <c r="J513" s="53" t="s">
        <v>51</v>
      </c>
      <c r="K513" s="73" t="s">
        <v>52</v>
      </c>
      <c r="L513" s="53" t="s">
        <v>53</v>
      </c>
      <c r="M513" s="53" t="s">
        <v>54</v>
      </c>
      <c r="N513" s="53" t="s">
        <v>55</v>
      </c>
      <c r="O513" s="8" t="s">
        <v>56</v>
      </c>
      <c r="P513" s="8" t="s">
        <v>282</v>
      </c>
      <c r="Q513" s="9" t="s">
        <v>58</v>
      </c>
      <c r="R513" s="8" t="s">
        <v>1917</v>
      </c>
      <c r="S513" s="8" t="s">
        <v>2166</v>
      </c>
      <c r="T513" s="10">
        <v>5.7314359122E11</v>
      </c>
      <c r="U513" s="8" t="s">
        <v>61</v>
      </c>
      <c r="V513" s="113"/>
      <c r="W513" s="113"/>
      <c r="X513" s="113"/>
      <c r="Y513" s="12" t="s">
        <v>62</v>
      </c>
      <c r="Z513" s="13"/>
      <c r="AA513" s="13"/>
      <c r="AB513" s="13"/>
      <c r="AC513" s="13"/>
      <c r="AD513" s="13"/>
      <c r="AE513" s="13"/>
      <c r="AF513" s="14"/>
      <c r="AG513" s="14"/>
      <c r="AH513" s="15"/>
      <c r="AI513" s="16"/>
      <c r="AJ513" s="13"/>
      <c r="AK513" s="17"/>
      <c r="AL513" s="17"/>
      <c r="AM513" s="17"/>
      <c r="AN513" s="17"/>
      <c r="AO513" s="13"/>
      <c r="AP513" s="14"/>
    </row>
    <row r="514">
      <c r="A514" s="53" t="s">
        <v>2167</v>
      </c>
      <c r="B514" s="53" t="s">
        <v>2168</v>
      </c>
      <c r="C514" s="53" t="s">
        <v>2070</v>
      </c>
      <c r="D514" s="53" t="s">
        <v>2071</v>
      </c>
      <c r="E514" s="53" t="s">
        <v>2072</v>
      </c>
      <c r="F514" s="53" t="s">
        <v>2073</v>
      </c>
      <c r="G514" s="53" t="s">
        <v>2074</v>
      </c>
      <c r="H514" s="53" t="s">
        <v>2075</v>
      </c>
      <c r="I514" s="53" t="s">
        <v>50</v>
      </c>
      <c r="J514" s="53" t="s">
        <v>51</v>
      </c>
      <c r="K514" s="73" t="s">
        <v>52</v>
      </c>
      <c r="L514" s="53" t="s">
        <v>84</v>
      </c>
      <c r="M514" s="53" t="s">
        <v>69</v>
      </c>
      <c r="N514" s="53" t="s">
        <v>85</v>
      </c>
      <c r="O514" s="53" t="s">
        <v>70</v>
      </c>
      <c r="P514" s="20" t="s">
        <v>2169</v>
      </c>
      <c r="Q514" s="21" t="s">
        <v>105</v>
      </c>
      <c r="R514" s="20" t="s">
        <v>593</v>
      </c>
      <c r="S514" s="20" t="s">
        <v>2170</v>
      </c>
      <c r="T514" s="22">
        <v>5.73052910019E11</v>
      </c>
      <c r="U514" s="53" t="s">
        <v>75</v>
      </c>
      <c r="V514" s="113"/>
      <c r="W514" s="113"/>
      <c r="X514" s="113"/>
      <c r="Y514" s="54">
        <v>5.0</v>
      </c>
      <c r="Z514" s="13"/>
      <c r="AA514" s="13"/>
      <c r="AB514" s="13"/>
      <c r="AC514" s="13"/>
      <c r="AD514" s="13"/>
      <c r="AE514" s="13"/>
      <c r="AF514" s="14"/>
      <c r="AG514" s="14"/>
      <c r="AH514" s="15"/>
      <c r="AI514" s="16"/>
      <c r="AJ514" s="13"/>
      <c r="AK514" s="17"/>
      <c r="AL514" s="17"/>
      <c r="AM514" s="17"/>
      <c r="AN514" s="17"/>
      <c r="AO514" s="13"/>
      <c r="AP514" s="14"/>
    </row>
    <row r="515">
      <c r="A515" s="53" t="s">
        <v>2171</v>
      </c>
      <c r="B515" s="53" t="s">
        <v>2172</v>
      </c>
      <c r="C515" s="53" t="s">
        <v>1202</v>
      </c>
      <c r="D515" s="53" t="s">
        <v>1203</v>
      </c>
      <c r="E515" s="53" t="s">
        <v>1204</v>
      </c>
      <c r="F515" s="53" t="s">
        <v>47</v>
      </c>
      <c r="G515" s="53" t="s">
        <v>1205</v>
      </c>
      <c r="H515" s="53" t="s">
        <v>1206</v>
      </c>
      <c r="I515" s="53" t="s">
        <v>50</v>
      </c>
      <c r="J515" s="53" t="s">
        <v>51</v>
      </c>
      <c r="K515" s="73" t="s">
        <v>52</v>
      </c>
      <c r="L515" s="53" t="s">
        <v>53</v>
      </c>
      <c r="M515" s="53" t="s">
        <v>69</v>
      </c>
      <c r="N515" s="53" t="s">
        <v>55</v>
      </c>
      <c r="O515" s="53" t="s">
        <v>70</v>
      </c>
      <c r="P515" s="20" t="s">
        <v>104</v>
      </c>
      <c r="Q515" s="20" t="s">
        <v>2173</v>
      </c>
      <c r="R515" s="20" t="s">
        <v>2174</v>
      </c>
      <c r="S515" s="20" t="s">
        <v>2175</v>
      </c>
      <c r="T515" s="22">
        <v>5.73155806252E11</v>
      </c>
      <c r="U515" s="53" t="s">
        <v>61</v>
      </c>
      <c r="V515" s="113"/>
      <c r="W515" s="113"/>
      <c r="X515" s="113"/>
      <c r="Y515" s="54">
        <v>5.0</v>
      </c>
      <c r="Z515" s="13"/>
      <c r="AA515" s="13"/>
      <c r="AB515" s="13"/>
      <c r="AC515" s="13"/>
      <c r="AD515" s="13"/>
      <c r="AE515" s="13"/>
      <c r="AF515" s="14"/>
      <c r="AG515" s="14"/>
      <c r="AH515" s="15"/>
      <c r="AI515" s="16"/>
      <c r="AJ515" s="13"/>
      <c r="AK515" s="17"/>
      <c r="AL515" s="17"/>
      <c r="AM515" s="17"/>
      <c r="AN515" s="17"/>
      <c r="AO515" s="13"/>
      <c r="AP515" s="14"/>
    </row>
    <row r="516">
      <c r="A516" s="53" t="s">
        <v>2176</v>
      </c>
      <c r="B516" s="53" t="s">
        <v>2177</v>
      </c>
      <c r="C516" s="53" t="s">
        <v>1202</v>
      </c>
      <c r="D516" s="53" t="s">
        <v>1203</v>
      </c>
      <c r="E516" s="53" t="s">
        <v>1204</v>
      </c>
      <c r="F516" s="53" t="s">
        <v>47</v>
      </c>
      <c r="G516" s="53" t="s">
        <v>1205</v>
      </c>
      <c r="H516" s="53" t="s">
        <v>1206</v>
      </c>
      <c r="I516" s="53" t="s">
        <v>50</v>
      </c>
      <c r="J516" s="53" t="s">
        <v>51</v>
      </c>
      <c r="K516" s="73" t="s">
        <v>52</v>
      </c>
      <c r="L516" s="53" t="s">
        <v>53</v>
      </c>
      <c r="M516" s="53" t="s">
        <v>54</v>
      </c>
      <c r="N516" s="53" t="s">
        <v>85</v>
      </c>
      <c r="O516" s="53" t="s">
        <v>56</v>
      </c>
      <c r="P516" s="20" t="s">
        <v>104</v>
      </c>
      <c r="Q516" s="21" t="s">
        <v>105</v>
      </c>
      <c r="R516" s="20" t="s">
        <v>2178</v>
      </c>
      <c r="S516" s="20" t="s">
        <v>2179</v>
      </c>
      <c r="T516" s="22">
        <v>5.73022869001E11</v>
      </c>
      <c r="U516" s="53" t="s">
        <v>75</v>
      </c>
      <c r="V516" s="113"/>
      <c r="W516" s="113"/>
      <c r="X516" s="113"/>
      <c r="Y516" s="54" t="s">
        <v>62</v>
      </c>
      <c r="Z516" s="13"/>
      <c r="AA516" s="13"/>
      <c r="AB516" s="13"/>
      <c r="AC516" s="13"/>
      <c r="AD516" s="13"/>
      <c r="AE516" s="13"/>
      <c r="AF516" s="14"/>
      <c r="AG516" s="14"/>
      <c r="AH516" s="15"/>
      <c r="AI516" s="16"/>
      <c r="AJ516" s="13"/>
      <c r="AK516" s="17"/>
      <c r="AL516" s="17"/>
      <c r="AM516" s="17"/>
      <c r="AN516" s="17"/>
      <c r="AO516" s="13"/>
      <c r="AP516" s="14"/>
    </row>
    <row r="517">
      <c r="A517" s="53" t="s">
        <v>2180</v>
      </c>
      <c r="B517" s="53" t="s">
        <v>2181</v>
      </c>
      <c r="C517" s="53" t="s">
        <v>1202</v>
      </c>
      <c r="D517" s="53" t="s">
        <v>1203</v>
      </c>
      <c r="E517" s="53" t="s">
        <v>1204</v>
      </c>
      <c r="F517" s="53" t="s">
        <v>47</v>
      </c>
      <c r="G517" s="53" t="s">
        <v>1205</v>
      </c>
      <c r="H517" s="53" t="s">
        <v>1206</v>
      </c>
      <c r="I517" s="53" t="s">
        <v>50</v>
      </c>
      <c r="J517" s="53" t="s">
        <v>51</v>
      </c>
      <c r="K517" s="73" t="s">
        <v>52</v>
      </c>
      <c r="L517" s="53" t="s">
        <v>53</v>
      </c>
      <c r="M517" s="53" t="s">
        <v>54</v>
      </c>
      <c r="N517" s="53" t="s">
        <v>55</v>
      </c>
      <c r="O517" s="53" t="s">
        <v>56</v>
      </c>
      <c r="P517" s="20" t="s">
        <v>317</v>
      </c>
      <c r="Q517" s="21" t="s">
        <v>94</v>
      </c>
      <c r="R517" s="20" t="s">
        <v>466</v>
      </c>
      <c r="S517" s="20" t="s">
        <v>2182</v>
      </c>
      <c r="T517" s="22">
        <v>5.73135179549E11</v>
      </c>
      <c r="U517" s="53" t="s">
        <v>81</v>
      </c>
      <c r="V517" s="113"/>
      <c r="W517" s="113"/>
      <c r="X517" s="113"/>
      <c r="Y517" s="54" t="s">
        <v>62</v>
      </c>
      <c r="Z517" s="28"/>
      <c r="AA517" s="28"/>
      <c r="AB517" s="28"/>
      <c r="AC517" s="28"/>
      <c r="AD517" s="29"/>
      <c r="AE517" s="29"/>
      <c r="AF517" s="29"/>
      <c r="AG517" s="29"/>
      <c r="AH517" s="30"/>
      <c r="AI517" s="31"/>
      <c r="AJ517" s="28"/>
      <c r="AK517" s="32"/>
      <c r="AL517" s="32"/>
      <c r="AM517" s="32"/>
      <c r="AN517" s="32"/>
      <c r="AO517" s="28"/>
      <c r="AP517" s="29"/>
    </row>
    <row r="518">
      <c r="A518" s="53" t="s">
        <v>2183</v>
      </c>
      <c r="B518" s="53" t="s">
        <v>2184</v>
      </c>
      <c r="C518" s="53" t="s">
        <v>1202</v>
      </c>
      <c r="D518" s="53" t="s">
        <v>1203</v>
      </c>
      <c r="E518" s="53" t="s">
        <v>1204</v>
      </c>
      <c r="F518" s="53" t="s">
        <v>47</v>
      </c>
      <c r="G518" s="53" t="s">
        <v>1205</v>
      </c>
      <c r="H518" s="53" t="s">
        <v>1206</v>
      </c>
      <c r="I518" s="53" t="s">
        <v>50</v>
      </c>
      <c r="J518" s="53" t="s">
        <v>51</v>
      </c>
      <c r="K518" s="73" t="s">
        <v>52</v>
      </c>
      <c r="L518" s="53" t="s">
        <v>53</v>
      </c>
      <c r="M518" s="53" t="s">
        <v>54</v>
      </c>
      <c r="N518" s="53" t="s">
        <v>55</v>
      </c>
      <c r="O518" s="53" t="s">
        <v>70</v>
      </c>
      <c r="P518" s="20" t="s">
        <v>2185</v>
      </c>
      <c r="Q518" s="21" t="s">
        <v>122</v>
      </c>
      <c r="R518" s="20" t="s">
        <v>2186</v>
      </c>
      <c r="S518" s="20" t="s">
        <v>2187</v>
      </c>
      <c r="T518" s="22">
        <v>5.73053683947E11</v>
      </c>
      <c r="U518" s="53" t="s">
        <v>61</v>
      </c>
      <c r="V518" s="113"/>
      <c r="W518" s="113"/>
      <c r="X518" s="113"/>
      <c r="Y518" s="54">
        <v>5.0</v>
      </c>
      <c r="Z518" s="13"/>
      <c r="AA518" s="13"/>
      <c r="AB518" s="13"/>
      <c r="AC518" s="13"/>
      <c r="AD518" s="13"/>
      <c r="AE518" s="13"/>
      <c r="AF518" s="14"/>
      <c r="AG518" s="14"/>
      <c r="AH518" s="15"/>
      <c r="AI518" s="16"/>
      <c r="AJ518" s="13"/>
      <c r="AK518" s="17"/>
      <c r="AL518" s="17"/>
      <c r="AM518" s="17"/>
      <c r="AN518" s="17"/>
      <c r="AO518" s="13"/>
      <c r="AP518" s="14"/>
    </row>
    <row r="519">
      <c r="A519" s="53" t="s">
        <v>2188</v>
      </c>
      <c r="B519" s="53" t="s">
        <v>2189</v>
      </c>
      <c r="C519" s="53" t="s">
        <v>2070</v>
      </c>
      <c r="D519" s="53" t="s">
        <v>2071</v>
      </c>
      <c r="E519" s="53" t="s">
        <v>2072</v>
      </c>
      <c r="F519" s="53" t="s">
        <v>2073</v>
      </c>
      <c r="G519" s="53" t="s">
        <v>2074</v>
      </c>
      <c r="H519" s="53" t="s">
        <v>2075</v>
      </c>
      <c r="I519" s="53" t="s">
        <v>50</v>
      </c>
      <c r="J519" s="53" t="s">
        <v>51</v>
      </c>
      <c r="K519" s="73" t="s">
        <v>52</v>
      </c>
      <c r="L519" s="53" t="s">
        <v>53</v>
      </c>
      <c r="M519" s="53" t="s">
        <v>54</v>
      </c>
      <c r="N519" s="53" t="s">
        <v>55</v>
      </c>
      <c r="O519" s="53" t="s">
        <v>70</v>
      </c>
      <c r="P519" s="20" t="s">
        <v>1555</v>
      </c>
      <c r="Q519" s="21" t="s">
        <v>72</v>
      </c>
      <c r="R519" s="20" t="s">
        <v>437</v>
      </c>
      <c r="S519" s="20" t="s">
        <v>2190</v>
      </c>
      <c r="T519" s="22">
        <v>5.73214961673E11</v>
      </c>
      <c r="U519" s="53" t="s">
        <v>61</v>
      </c>
      <c r="V519" s="113"/>
      <c r="W519" s="113"/>
      <c r="X519" s="113"/>
      <c r="Y519" s="54">
        <v>5.0</v>
      </c>
      <c r="Z519" s="13"/>
      <c r="AA519" s="13"/>
      <c r="AB519" s="13"/>
      <c r="AC519" s="13"/>
      <c r="AD519" s="13"/>
      <c r="AE519" s="13"/>
      <c r="AF519" s="14"/>
      <c r="AG519" s="14"/>
      <c r="AH519" s="15"/>
      <c r="AI519" s="16"/>
      <c r="AJ519" s="13"/>
      <c r="AK519" s="17"/>
      <c r="AL519" s="17"/>
      <c r="AM519" s="17"/>
      <c r="AN519" s="17"/>
      <c r="AO519" s="13"/>
      <c r="AP519" s="14"/>
    </row>
    <row r="520">
      <c r="A520" s="53" t="s">
        <v>2191</v>
      </c>
      <c r="B520" s="53" t="s">
        <v>2192</v>
      </c>
      <c r="C520" s="53" t="s">
        <v>1202</v>
      </c>
      <c r="D520" s="53" t="s">
        <v>1203</v>
      </c>
      <c r="E520" s="53" t="s">
        <v>1204</v>
      </c>
      <c r="F520" s="53" t="s">
        <v>47</v>
      </c>
      <c r="G520" s="53" t="s">
        <v>1205</v>
      </c>
      <c r="H520" s="53" t="s">
        <v>1206</v>
      </c>
      <c r="I520" s="53" t="s">
        <v>50</v>
      </c>
      <c r="J520" s="53" t="s">
        <v>51</v>
      </c>
      <c r="K520" s="73" t="s">
        <v>52</v>
      </c>
      <c r="L520" s="53" t="s">
        <v>53</v>
      </c>
      <c r="M520" s="53" t="s">
        <v>69</v>
      </c>
      <c r="N520" s="53" t="s">
        <v>55</v>
      </c>
      <c r="O520" s="53" t="s">
        <v>70</v>
      </c>
      <c r="P520" s="20" t="s">
        <v>1132</v>
      </c>
      <c r="Q520" s="21" t="s">
        <v>111</v>
      </c>
      <c r="R520" s="20" t="s">
        <v>2193</v>
      </c>
      <c r="S520" s="20" t="s">
        <v>2194</v>
      </c>
      <c r="T520" s="22">
        <v>5.73158301882E11</v>
      </c>
      <c r="U520" s="53" t="s">
        <v>75</v>
      </c>
      <c r="V520" s="113"/>
      <c r="W520" s="113"/>
      <c r="X520" s="113"/>
      <c r="Y520" s="54">
        <v>5.0</v>
      </c>
      <c r="Z520" s="28"/>
      <c r="AA520" s="28"/>
      <c r="AB520" s="28"/>
      <c r="AC520" s="28"/>
      <c r="AD520" s="28"/>
      <c r="AE520" s="28"/>
      <c r="AF520" s="29"/>
      <c r="AG520" s="29"/>
      <c r="AH520" s="30"/>
      <c r="AI520" s="31"/>
      <c r="AJ520" s="28"/>
      <c r="AK520" s="32"/>
      <c r="AL520" s="32"/>
      <c r="AM520" s="32"/>
      <c r="AN520" s="32"/>
      <c r="AO520" s="28"/>
      <c r="AP520" s="29"/>
    </row>
    <row r="521">
      <c r="A521" s="53" t="s">
        <v>2195</v>
      </c>
      <c r="B521" s="53" t="s">
        <v>2196</v>
      </c>
      <c r="C521" s="53" t="s">
        <v>1202</v>
      </c>
      <c r="D521" s="53" t="s">
        <v>1203</v>
      </c>
      <c r="E521" s="53" t="s">
        <v>1204</v>
      </c>
      <c r="F521" s="53" t="s">
        <v>47</v>
      </c>
      <c r="G521" s="53" t="s">
        <v>1205</v>
      </c>
      <c r="H521" s="53" t="s">
        <v>1206</v>
      </c>
      <c r="I521" s="53" t="s">
        <v>50</v>
      </c>
      <c r="J521" s="53" t="s">
        <v>51</v>
      </c>
      <c r="K521" s="73" t="s">
        <v>52</v>
      </c>
      <c r="L521" s="53" t="s">
        <v>84</v>
      </c>
      <c r="M521" s="53" t="s">
        <v>54</v>
      </c>
      <c r="N521" s="53" t="s">
        <v>55</v>
      </c>
      <c r="O521" s="53" t="s">
        <v>70</v>
      </c>
      <c r="P521" s="20" t="s">
        <v>723</v>
      </c>
      <c r="Q521" s="21" t="s">
        <v>72</v>
      </c>
      <c r="R521" s="20" t="s">
        <v>2197</v>
      </c>
      <c r="S521" s="20" t="s">
        <v>2198</v>
      </c>
      <c r="T521" s="22">
        <v>5.7316222565E11</v>
      </c>
      <c r="U521" s="53" t="s">
        <v>75</v>
      </c>
      <c r="V521" s="113"/>
      <c r="W521" s="113"/>
      <c r="X521" s="113"/>
      <c r="Y521" s="54">
        <v>5.0</v>
      </c>
      <c r="Z521" s="28"/>
      <c r="AA521" s="28"/>
      <c r="AB521" s="28"/>
      <c r="AC521" s="28"/>
      <c r="AD521" s="28"/>
      <c r="AE521" s="28"/>
      <c r="AF521" s="29"/>
      <c r="AG521" s="29"/>
      <c r="AH521" s="30"/>
      <c r="AI521" s="31"/>
      <c r="AJ521" s="28"/>
      <c r="AK521" s="32"/>
      <c r="AL521" s="32"/>
      <c r="AM521" s="32"/>
      <c r="AN521" s="32"/>
      <c r="AO521" s="28"/>
      <c r="AP521" s="29"/>
    </row>
    <row r="522">
      <c r="A522" s="53" t="s">
        <v>2199</v>
      </c>
      <c r="B522" s="53" t="s">
        <v>2200</v>
      </c>
      <c r="C522" s="53" t="s">
        <v>2070</v>
      </c>
      <c r="D522" s="53" t="s">
        <v>2071</v>
      </c>
      <c r="E522" s="53" t="s">
        <v>2072</v>
      </c>
      <c r="F522" s="53" t="s">
        <v>2073</v>
      </c>
      <c r="G522" s="53" t="s">
        <v>2074</v>
      </c>
      <c r="H522" s="53" t="s">
        <v>2075</v>
      </c>
      <c r="I522" s="53" t="s">
        <v>50</v>
      </c>
      <c r="J522" s="53" t="s">
        <v>51</v>
      </c>
      <c r="K522" s="73" t="s">
        <v>52</v>
      </c>
      <c r="L522" s="53" t="s">
        <v>84</v>
      </c>
      <c r="M522" s="53" t="s">
        <v>69</v>
      </c>
      <c r="N522" s="53" t="s">
        <v>137</v>
      </c>
      <c r="O522" s="53" t="s">
        <v>70</v>
      </c>
      <c r="P522" s="20" t="s">
        <v>2201</v>
      </c>
      <c r="Q522" s="21" t="s">
        <v>94</v>
      </c>
      <c r="R522" s="20" t="s">
        <v>123</v>
      </c>
      <c r="S522" s="20" t="s">
        <v>2202</v>
      </c>
      <c r="T522" s="22">
        <v>5.73212328973E11</v>
      </c>
      <c r="U522" s="53" t="s">
        <v>75</v>
      </c>
      <c r="V522" s="113"/>
      <c r="W522" s="113"/>
      <c r="X522" s="113"/>
      <c r="Y522" s="54">
        <v>5.0</v>
      </c>
      <c r="Z522" s="13"/>
      <c r="AA522" s="13"/>
      <c r="AB522" s="13"/>
      <c r="AC522" s="13"/>
      <c r="AD522" s="13"/>
      <c r="AE522" s="13"/>
      <c r="AF522" s="14"/>
      <c r="AG522" s="14"/>
      <c r="AH522" s="15"/>
      <c r="AI522" s="16"/>
      <c r="AJ522" s="13"/>
      <c r="AK522" s="17"/>
      <c r="AL522" s="17"/>
      <c r="AM522" s="17"/>
      <c r="AN522" s="17"/>
      <c r="AO522" s="13"/>
      <c r="AP522" s="14"/>
    </row>
    <row r="523">
      <c r="A523" s="53" t="s">
        <v>2203</v>
      </c>
      <c r="B523" s="53" t="s">
        <v>2204</v>
      </c>
      <c r="C523" s="53" t="s">
        <v>1202</v>
      </c>
      <c r="D523" s="53" t="s">
        <v>1203</v>
      </c>
      <c r="E523" s="53" t="s">
        <v>1204</v>
      </c>
      <c r="F523" s="53" t="s">
        <v>47</v>
      </c>
      <c r="G523" s="53" t="s">
        <v>1205</v>
      </c>
      <c r="H523" s="53" t="s">
        <v>1206</v>
      </c>
      <c r="I523" s="53" t="s">
        <v>50</v>
      </c>
      <c r="J523" s="53" t="s">
        <v>51</v>
      </c>
      <c r="K523" s="73" t="s">
        <v>52</v>
      </c>
      <c r="L523" s="53" t="s">
        <v>84</v>
      </c>
      <c r="M523" s="53" t="s">
        <v>69</v>
      </c>
      <c r="N523" s="53" t="s">
        <v>137</v>
      </c>
      <c r="O523" s="8" t="s">
        <v>86</v>
      </c>
      <c r="P523" s="8" t="s">
        <v>757</v>
      </c>
      <c r="Q523" s="9" t="s">
        <v>183</v>
      </c>
      <c r="R523" s="8" t="s">
        <v>2205</v>
      </c>
      <c r="S523" s="8" t="s">
        <v>2206</v>
      </c>
      <c r="T523" s="10">
        <v>5.73107755772E11</v>
      </c>
      <c r="U523" s="8" t="s">
        <v>75</v>
      </c>
      <c r="V523" s="113"/>
      <c r="W523" s="113"/>
      <c r="X523" s="113"/>
      <c r="Y523" s="33">
        <v>45779.0</v>
      </c>
      <c r="Z523" s="28"/>
      <c r="AA523" s="28"/>
      <c r="AB523" s="28"/>
      <c r="AC523" s="28"/>
      <c r="AD523" s="28"/>
      <c r="AE523" s="28"/>
      <c r="AF523" s="29"/>
      <c r="AG523" s="29"/>
      <c r="AH523" s="30"/>
      <c r="AI523" s="31"/>
      <c r="AJ523" s="28"/>
      <c r="AK523" s="32"/>
      <c r="AL523" s="32"/>
      <c r="AM523" s="32"/>
      <c r="AN523" s="32"/>
      <c r="AO523" s="28"/>
      <c r="AP523" s="29"/>
    </row>
    <row r="524">
      <c r="A524" s="53" t="s">
        <v>2207</v>
      </c>
      <c r="B524" s="53" t="s">
        <v>2208</v>
      </c>
      <c r="C524" s="53" t="s">
        <v>1202</v>
      </c>
      <c r="D524" s="53" t="s">
        <v>1203</v>
      </c>
      <c r="E524" s="53" t="s">
        <v>1204</v>
      </c>
      <c r="F524" s="53" t="s">
        <v>47</v>
      </c>
      <c r="G524" s="53" t="s">
        <v>1205</v>
      </c>
      <c r="H524" s="53" t="s">
        <v>1206</v>
      </c>
      <c r="I524" s="53" t="s">
        <v>50</v>
      </c>
      <c r="J524" s="53" t="s">
        <v>51</v>
      </c>
      <c r="K524" s="73" t="s">
        <v>52</v>
      </c>
      <c r="L524" s="53" t="s">
        <v>53</v>
      </c>
      <c r="M524" s="53" t="s">
        <v>54</v>
      </c>
      <c r="N524" s="53" t="s">
        <v>85</v>
      </c>
      <c r="O524" s="8" t="s">
        <v>86</v>
      </c>
      <c r="P524" s="8" t="s">
        <v>211</v>
      </c>
      <c r="Q524" s="9" t="s">
        <v>323</v>
      </c>
      <c r="R524" s="8" t="s">
        <v>2209</v>
      </c>
      <c r="S524" s="8" t="s">
        <v>2210</v>
      </c>
      <c r="T524" s="10">
        <v>5.7315885722E11</v>
      </c>
      <c r="U524" s="8" t="s">
        <v>75</v>
      </c>
      <c r="V524" s="113"/>
      <c r="W524" s="113"/>
      <c r="X524" s="113"/>
      <c r="Y524" s="33">
        <v>45779.0</v>
      </c>
      <c r="Z524" s="13"/>
      <c r="AA524" s="13"/>
      <c r="AB524" s="13"/>
      <c r="AC524" s="13"/>
      <c r="AD524" s="13"/>
      <c r="AE524" s="13"/>
      <c r="AF524" s="14"/>
      <c r="AG524" s="14"/>
      <c r="AH524" s="15"/>
      <c r="AI524" s="16"/>
      <c r="AJ524" s="13"/>
      <c r="AK524" s="17"/>
      <c r="AL524" s="17"/>
      <c r="AM524" s="17"/>
      <c r="AN524" s="17"/>
      <c r="AO524" s="13"/>
      <c r="AP524" s="14"/>
    </row>
    <row r="525">
      <c r="A525" s="53" t="s">
        <v>2211</v>
      </c>
      <c r="B525" s="53" t="s">
        <v>2212</v>
      </c>
      <c r="C525" s="53" t="s">
        <v>1202</v>
      </c>
      <c r="D525" s="53" t="s">
        <v>1203</v>
      </c>
      <c r="E525" s="53" t="s">
        <v>1204</v>
      </c>
      <c r="F525" s="53" t="s">
        <v>47</v>
      </c>
      <c r="G525" s="53" t="s">
        <v>1205</v>
      </c>
      <c r="H525" s="53" t="s">
        <v>1206</v>
      </c>
      <c r="I525" s="53" t="s">
        <v>50</v>
      </c>
      <c r="J525" s="53" t="s">
        <v>51</v>
      </c>
      <c r="K525" s="73" t="s">
        <v>52</v>
      </c>
      <c r="L525" s="53" t="s">
        <v>53</v>
      </c>
      <c r="M525" s="53" t="s">
        <v>54</v>
      </c>
      <c r="N525" s="53" t="s">
        <v>55</v>
      </c>
      <c r="O525" s="53" t="s">
        <v>70</v>
      </c>
      <c r="P525" s="20" t="s">
        <v>2213</v>
      </c>
      <c r="Q525" s="21" t="s">
        <v>72</v>
      </c>
      <c r="R525" s="21" t="s">
        <v>2214</v>
      </c>
      <c r="S525" s="20" t="s">
        <v>2215</v>
      </c>
      <c r="T525" s="22">
        <v>5.73223097234E11</v>
      </c>
      <c r="U525" s="53" t="s">
        <v>61</v>
      </c>
      <c r="V525" s="113"/>
      <c r="W525" s="113"/>
      <c r="X525" s="113"/>
      <c r="Y525" s="54">
        <v>5.0</v>
      </c>
      <c r="Z525" s="13"/>
      <c r="AA525" s="13"/>
      <c r="AB525" s="13"/>
      <c r="AC525" s="13"/>
      <c r="AD525" s="13"/>
      <c r="AE525" s="13"/>
      <c r="AF525" s="14"/>
      <c r="AG525" s="14"/>
      <c r="AH525" s="15"/>
      <c r="AI525" s="16"/>
      <c r="AJ525" s="13"/>
      <c r="AK525" s="17"/>
      <c r="AL525" s="17"/>
      <c r="AM525" s="17"/>
      <c r="AN525" s="17"/>
      <c r="AO525" s="13"/>
      <c r="AP525" s="14"/>
    </row>
    <row r="526">
      <c r="A526" s="53" t="s">
        <v>2216</v>
      </c>
      <c r="B526" s="53" t="s">
        <v>2217</v>
      </c>
      <c r="C526" s="53" t="s">
        <v>1202</v>
      </c>
      <c r="D526" s="53" t="s">
        <v>1203</v>
      </c>
      <c r="E526" s="53" t="s">
        <v>1204</v>
      </c>
      <c r="F526" s="53" t="s">
        <v>47</v>
      </c>
      <c r="G526" s="53" t="s">
        <v>1205</v>
      </c>
      <c r="H526" s="53" t="s">
        <v>1206</v>
      </c>
      <c r="I526" s="53" t="s">
        <v>50</v>
      </c>
      <c r="J526" s="53" t="s">
        <v>51</v>
      </c>
      <c r="K526" s="73" t="s">
        <v>52</v>
      </c>
      <c r="L526" s="53" t="s">
        <v>53</v>
      </c>
      <c r="M526" s="53" t="s">
        <v>54</v>
      </c>
      <c r="N526" s="53" t="s">
        <v>85</v>
      </c>
      <c r="O526" s="53" t="s">
        <v>70</v>
      </c>
      <c r="P526" s="20" t="s">
        <v>2218</v>
      </c>
      <c r="Q526" s="21" t="s">
        <v>94</v>
      </c>
      <c r="R526" s="20" t="s">
        <v>1431</v>
      </c>
      <c r="S526" s="20" t="s">
        <v>2219</v>
      </c>
      <c r="T526" s="22">
        <v>3.135602978E9</v>
      </c>
      <c r="U526" s="53" t="s">
        <v>75</v>
      </c>
      <c r="V526" s="113"/>
      <c r="W526" s="113"/>
      <c r="X526" s="113"/>
      <c r="Y526" s="54">
        <v>5.0</v>
      </c>
      <c r="Z526" s="13"/>
      <c r="AA526" s="13"/>
      <c r="AB526" s="13"/>
      <c r="AC526" s="13"/>
      <c r="AD526" s="13"/>
      <c r="AE526" s="13"/>
      <c r="AF526" s="14"/>
      <c r="AG526" s="14"/>
      <c r="AH526" s="15"/>
      <c r="AI526" s="16"/>
      <c r="AJ526" s="13"/>
      <c r="AK526" s="17"/>
      <c r="AL526" s="17"/>
      <c r="AM526" s="17"/>
      <c r="AN526" s="17"/>
      <c r="AO526" s="13"/>
      <c r="AP526" s="14"/>
    </row>
    <row r="527">
      <c r="A527" s="53" t="s">
        <v>2220</v>
      </c>
      <c r="B527" s="53" t="s">
        <v>2221</v>
      </c>
      <c r="C527" s="53" t="s">
        <v>1202</v>
      </c>
      <c r="D527" s="53" t="s">
        <v>1203</v>
      </c>
      <c r="E527" s="53" t="s">
        <v>1204</v>
      </c>
      <c r="F527" s="53" t="s">
        <v>47</v>
      </c>
      <c r="G527" s="53" t="s">
        <v>1205</v>
      </c>
      <c r="H527" s="53" t="s">
        <v>1206</v>
      </c>
      <c r="I527" s="53" t="s">
        <v>50</v>
      </c>
      <c r="J527" s="53" t="s">
        <v>51</v>
      </c>
      <c r="K527" s="73" t="s">
        <v>52</v>
      </c>
      <c r="L527" s="53" t="s">
        <v>53</v>
      </c>
      <c r="M527" s="53" t="s">
        <v>69</v>
      </c>
      <c r="N527" s="53" t="s">
        <v>55</v>
      </c>
      <c r="O527" s="53" t="s">
        <v>70</v>
      </c>
      <c r="P527" s="20" t="s">
        <v>2222</v>
      </c>
      <c r="Q527" s="21" t="s">
        <v>72</v>
      </c>
      <c r="R527" s="21" t="s">
        <v>2223</v>
      </c>
      <c r="S527" s="20" t="s">
        <v>2224</v>
      </c>
      <c r="T527" s="22">
        <v>3.23482851E9</v>
      </c>
      <c r="U527" s="53" t="s">
        <v>75</v>
      </c>
      <c r="V527" s="113"/>
      <c r="W527" s="113"/>
      <c r="X527" s="113"/>
      <c r="Y527" s="54">
        <v>5.0</v>
      </c>
      <c r="Z527" s="13"/>
      <c r="AA527" s="13"/>
      <c r="AB527" s="13"/>
      <c r="AC527" s="13"/>
      <c r="AD527" s="13"/>
      <c r="AE527" s="13"/>
      <c r="AF527" s="14"/>
      <c r="AG527" s="14"/>
      <c r="AH527" s="15"/>
      <c r="AI527" s="16"/>
      <c r="AJ527" s="13"/>
      <c r="AK527" s="17"/>
      <c r="AL527" s="17"/>
      <c r="AM527" s="17"/>
      <c r="AN527" s="17"/>
      <c r="AO527" s="13"/>
      <c r="AP527" s="14"/>
    </row>
    <row r="528">
      <c r="A528" s="53" t="s">
        <v>2225</v>
      </c>
      <c r="B528" s="53" t="s">
        <v>2226</v>
      </c>
      <c r="C528" s="53" t="s">
        <v>1202</v>
      </c>
      <c r="D528" s="53" t="s">
        <v>1203</v>
      </c>
      <c r="E528" s="53" t="s">
        <v>1204</v>
      </c>
      <c r="F528" s="53" t="s">
        <v>47</v>
      </c>
      <c r="G528" s="53" t="s">
        <v>1205</v>
      </c>
      <c r="H528" s="53" t="s">
        <v>1206</v>
      </c>
      <c r="I528" s="53" t="s">
        <v>50</v>
      </c>
      <c r="J528" s="53" t="s">
        <v>51</v>
      </c>
      <c r="K528" s="73" t="s">
        <v>52</v>
      </c>
      <c r="L528" s="53" t="s">
        <v>53</v>
      </c>
      <c r="M528" s="53" t="s">
        <v>54</v>
      </c>
      <c r="N528" s="53" t="s">
        <v>85</v>
      </c>
      <c r="O528" s="53" t="s">
        <v>70</v>
      </c>
      <c r="P528" s="20" t="s">
        <v>2227</v>
      </c>
      <c r="Q528" s="21" t="s">
        <v>94</v>
      </c>
      <c r="R528" s="20" t="s">
        <v>73</v>
      </c>
      <c r="S528" s="20" t="s">
        <v>2228</v>
      </c>
      <c r="T528" s="22">
        <v>5.73213077411E11</v>
      </c>
      <c r="U528" s="53" t="s">
        <v>61</v>
      </c>
      <c r="V528" s="113"/>
      <c r="W528" s="113"/>
      <c r="X528" s="113"/>
      <c r="Y528" s="54">
        <v>5.0</v>
      </c>
      <c r="Z528" s="13"/>
      <c r="AA528" s="13"/>
      <c r="AB528" s="13"/>
      <c r="AC528" s="13"/>
      <c r="AD528" s="13"/>
      <c r="AE528" s="13"/>
      <c r="AF528" s="14"/>
      <c r="AG528" s="14"/>
      <c r="AH528" s="15"/>
      <c r="AI528" s="16"/>
      <c r="AJ528" s="13"/>
      <c r="AK528" s="17"/>
      <c r="AL528" s="17"/>
      <c r="AM528" s="17"/>
      <c r="AN528" s="17"/>
      <c r="AO528" s="13"/>
      <c r="AP528" s="14"/>
    </row>
    <row r="529">
      <c r="A529" s="53" t="s">
        <v>2229</v>
      </c>
      <c r="B529" s="53" t="s">
        <v>2230</v>
      </c>
      <c r="C529" s="53" t="s">
        <v>1202</v>
      </c>
      <c r="D529" s="53" t="s">
        <v>1203</v>
      </c>
      <c r="E529" s="53" t="s">
        <v>1204</v>
      </c>
      <c r="F529" s="53" t="s">
        <v>47</v>
      </c>
      <c r="G529" s="53" t="s">
        <v>1205</v>
      </c>
      <c r="H529" s="53" t="s">
        <v>1206</v>
      </c>
      <c r="I529" s="53" t="s">
        <v>50</v>
      </c>
      <c r="J529" s="53" t="s">
        <v>51</v>
      </c>
      <c r="K529" s="73" t="s">
        <v>52</v>
      </c>
      <c r="L529" s="53" t="s">
        <v>84</v>
      </c>
      <c r="M529" s="53" t="s">
        <v>69</v>
      </c>
      <c r="N529" s="53" t="s">
        <v>55</v>
      </c>
      <c r="O529" s="53" t="s">
        <v>70</v>
      </c>
      <c r="P529" s="20" t="s">
        <v>104</v>
      </c>
      <c r="Q529" s="21" t="s">
        <v>58</v>
      </c>
      <c r="R529" s="21" t="s">
        <v>111</v>
      </c>
      <c r="S529" s="20" t="s">
        <v>2231</v>
      </c>
      <c r="T529" s="22">
        <v>5.73134946088E11</v>
      </c>
      <c r="U529" s="53" t="s">
        <v>75</v>
      </c>
      <c r="V529" s="113"/>
      <c r="W529" s="113"/>
      <c r="X529" s="113"/>
      <c r="Y529" s="54">
        <v>5.0</v>
      </c>
      <c r="Z529" s="13"/>
      <c r="AA529" s="13"/>
      <c r="AB529" s="13"/>
      <c r="AC529" s="13"/>
      <c r="AD529" s="13"/>
      <c r="AE529" s="13"/>
      <c r="AF529" s="14"/>
      <c r="AG529" s="14"/>
      <c r="AH529" s="15"/>
      <c r="AI529" s="16"/>
      <c r="AJ529" s="13"/>
      <c r="AK529" s="17"/>
      <c r="AL529" s="17"/>
      <c r="AM529" s="17"/>
      <c r="AN529" s="17"/>
      <c r="AO529" s="13"/>
      <c r="AP529" s="14"/>
    </row>
    <row r="530">
      <c r="A530" s="53" t="s">
        <v>2232</v>
      </c>
      <c r="B530" s="53" t="s">
        <v>2233</v>
      </c>
      <c r="C530" s="53" t="s">
        <v>1202</v>
      </c>
      <c r="D530" s="53" t="s">
        <v>1203</v>
      </c>
      <c r="E530" s="53" t="s">
        <v>1204</v>
      </c>
      <c r="F530" s="53" t="s">
        <v>47</v>
      </c>
      <c r="G530" s="53" t="s">
        <v>1205</v>
      </c>
      <c r="H530" s="53" t="s">
        <v>1206</v>
      </c>
      <c r="I530" s="53" t="s">
        <v>50</v>
      </c>
      <c r="J530" s="53" t="s">
        <v>51</v>
      </c>
      <c r="K530" s="73" t="s">
        <v>52</v>
      </c>
      <c r="L530" s="53" t="s">
        <v>53</v>
      </c>
      <c r="M530" s="53" t="s">
        <v>54</v>
      </c>
      <c r="N530" s="53" t="s">
        <v>55</v>
      </c>
      <c r="O530" s="53" t="s">
        <v>70</v>
      </c>
      <c r="P530" s="20" t="s">
        <v>2234</v>
      </c>
      <c r="Q530" s="21" t="s">
        <v>111</v>
      </c>
      <c r="R530" s="20" t="s">
        <v>466</v>
      </c>
      <c r="S530" s="20" t="s">
        <v>2235</v>
      </c>
      <c r="T530" s="22">
        <v>5.73015904882E11</v>
      </c>
      <c r="U530" s="53" t="s">
        <v>75</v>
      </c>
      <c r="V530" s="113"/>
      <c r="W530" s="113"/>
      <c r="X530" s="113"/>
      <c r="Y530" s="54">
        <v>5.0</v>
      </c>
      <c r="Z530" s="28"/>
      <c r="AA530" s="28"/>
      <c r="AB530" s="28"/>
      <c r="AC530" s="29"/>
      <c r="AD530" s="29"/>
      <c r="AE530" s="29"/>
      <c r="AF530" s="29"/>
      <c r="AG530" s="29"/>
      <c r="AH530" s="30"/>
      <c r="AI530" s="31"/>
      <c r="AJ530" s="28"/>
      <c r="AK530" s="32"/>
      <c r="AL530" s="32"/>
      <c r="AM530" s="32"/>
      <c r="AN530" s="32"/>
      <c r="AO530" s="28"/>
      <c r="AP530" s="29"/>
    </row>
    <row r="531">
      <c r="A531" s="53" t="s">
        <v>2236</v>
      </c>
      <c r="B531" s="53" t="s">
        <v>2237</v>
      </c>
      <c r="C531" s="53" t="s">
        <v>2070</v>
      </c>
      <c r="D531" s="53" t="s">
        <v>2071</v>
      </c>
      <c r="E531" s="53" t="s">
        <v>2072</v>
      </c>
      <c r="F531" s="53" t="s">
        <v>2073</v>
      </c>
      <c r="G531" s="53" t="s">
        <v>2074</v>
      </c>
      <c r="H531" s="53" t="s">
        <v>2075</v>
      </c>
      <c r="I531" s="53" t="s">
        <v>50</v>
      </c>
      <c r="J531" s="53" t="s">
        <v>51</v>
      </c>
      <c r="K531" s="73" t="s">
        <v>52</v>
      </c>
      <c r="L531" s="53" t="s">
        <v>53</v>
      </c>
      <c r="M531" s="53" t="s">
        <v>54</v>
      </c>
      <c r="N531" s="53" t="s">
        <v>137</v>
      </c>
      <c r="O531" s="8" t="s">
        <v>86</v>
      </c>
      <c r="P531" s="8" t="s">
        <v>232</v>
      </c>
      <c r="Q531" s="9" t="s">
        <v>72</v>
      </c>
      <c r="R531" s="8" t="s">
        <v>512</v>
      </c>
      <c r="S531" s="8" t="s">
        <v>2238</v>
      </c>
      <c r="T531" s="10">
        <v>5.73148747155E11</v>
      </c>
      <c r="U531" s="8" t="s">
        <v>61</v>
      </c>
      <c r="V531" s="113"/>
      <c r="W531" s="113"/>
      <c r="X531" s="113"/>
      <c r="Y531" s="33">
        <v>45779.0</v>
      </c>
      <c r="Z531" s="28"/>
      <c r="AA531" s="28"/>
      <c r="AB531" s="28"/>
      <c r="AC531" s="28"/>
      <c r="AD531" s="28"/>
      <c r="AE531" s="29"/>
      <c r="AF531" s="29"/>
      <c r="AG531" s="29"/>
      <c r="AH531" s="30"/>
      <c r="AI531" s="31"/>
      <c r="AJ531" s="28"/>
      <c r="AK531" s="32"/>
      <c r="AL531" s="32"/>
      <c r="AM531" s="32"/>
      <c r="AN531" s="32"/>
      <c r="AO531" s="28"/>
      <c r="AP531" s="29"/>
    </row>
    <row r="532">
      <c r="A532" s="53" t="s">
        <v>2239</v>
      </c>
      <c r="B532" s="53" t="s">
        <v>2240</v>
      </c>
      <c r="C532" s="53" t="s">
        <v>1202</v>
      </c>
      <c r="D532" s="53" t="s">
        <v>1203</v>
      </c>
      <c r="E532" s="53" t="s">
        <v>1204</v>
      </c>
      <c r="F532" s="53" t="s">
        <v>47</v>
      </c>
      <c r="G532" s="53" t="s">
        <v>1205</v>
      </c>
      <c r="H532" s="53" t="s">
        <v>1206</v>
      </c>
      <c r="I532" s="53" t="s">
        <v>50</v>
      </c>
      <c r="J532" s="53" t="s">
        <v>51</v>
      </c>
      <c r="K532" s="73" t="s">
        <v>52</v>
      </c>
      <c r="L532" s="53" t="s">
        <v>53</v>
      </c>
      <c r="M532" s="53" t="s">
        <v>69</v>
      </c>
      <c r="N532" s="53" t="s">
        <v>55</v>
      </c>
      <c r="O532" s="53" t="s">
        <v>70</v>
      </c>
      <c r="P532" s="20" t="s">
        <v>57</v>
      </c>
      <c r="Q532" s="21" t="s">
        <v>183</v>
      </c>
      <c r="R532" s="20" t="s">
        <v>2154</v>
      </c>
      <c r="S532" s="20" t="s">
        <v>2241</v>
      </c>
      <c r="T532" s="22">
        <v>5.73133695843E11</v>
      </c>
      <c r="U532" s="53" t="s">
        <v>61</v>
      </c>
      <c r="V532" s="113"/>
      <c r="W532" s="113"/>
      <c r="X532" s="113"/>
      <c r="Y532" s="54">
        <v>5.0</v>
      </c>
      <c r="Z532" s="28"/>
      <c r="AA532" s="28"/>
      <c r="AB532" s="28"/>
      <c r="AC532" s="28"/>
      <c r="AD532" s="29"/>
      <c r="AE532" s="29"/>
      <c r="AF532" s="29"/>
      <c r="AG532" s="29"/>
      <c r="AH532" s="30"/>
      <c r="AI532" s="31"/>
      <c r="AJ532" s="28"/>
      <c r="AK532" s="28"/>
      <c r="AL532" s="28"/>
      <c r="AM532" s="28"/>
      <c r="AN532" s="32"/>
      <c r="AO532" s="28"/>
      <c r="AP532" s="29"/>
    </row>
    <row r="533">
      <c r="A533" s="53" t="s">
        <v>2242</v>
      </c>
      <c r="B533" s="53" t="s">
        <v>2243</v>
      </c>
      <c r="C533" s="53" t="s">
        <v>2070</v>
      </c>
      <c r="D533" s="53" t="s">
        <v>2071</v>
      </c>
      <c r="E533" s="53" t="s">
        <v>2072</v>
      </c>
      <c r="F533" s="53" t="s">
        <v>2073</v>
      </c>
      <c r="G533" s="53" t="s">
        <v>2074</v>
      </c>
      <c r="H533" s="53" t="s">
        <v>2075</v>
      </c>
      <c r="I533" s="53" t="s">
        <v>50</v>
      </c>
      <c r="J533" s="53" t="s">
        <v>51</v>
      </c>
      <c r="K533" s="73" t="s">
        <v>52</v>
      </c>
      <c r="L533" s="53" t="s">
        <v>84</v>
      </c>
      <c r="M533" s="53" t="s">
        <v>54</v>
      </c>
      <c r="N533" s="53" t="s">
        <v>55</v>
      </c>
      <c r="O533" s="53" t="s">
        <v>70</v>
      </c>
      <c r="P533" s="20" t="s">
        <v>1906</v>
      </c>
      <c r="Q533" s="21" t="s">
        <v>111</v>
      </c>
      <c r="R533" s="20" t="s">
        <v>1976</v>
      </c>
      <c r="S533" s="20" t="s">
        <v>2244</v>
      </c>
      <c r="T533" s="22">
        <v>5.73043931938E11</v>
      </c>
      <c r="U533" s="53" t="s">
        <v>75</v>
      </c>
      <c r="V533" s="113"/>
      <c r="W533" s="113"/>
      <c r="X533" s="113"/>
      <c r="Y533" s="54">
        <v>5.0</v>
      </c>
      <c r="Z533" s="40"/>
      <c r="AA533" s="40"/>
      <c r="AB533" s="40"/>
      <c r="AC533" s="40"/>
      <c r="AD533" s="40"/>
      <c r="AE533" s="40"/>
      <c r="AF533" s="41"/>
      <c r="AG533" s="41"/>
      <c r="AH533" s="42"/>
      <c r="AI533" s="42"/>
      <c r="AJ533" s="40"/>
      <c r="AK533" s="43"/>
      <c r="AL533" s="43"/>
      <c r="AM533" s="43"/>
      <c r="AN533" s="43"/>
      <c r="AO533" s="40"/>
      <c r="AP533" s="41"/>
    </row>
    <row r="534">
      <c r="A534" s="53" t="s">
        <v>2245</v>
      </c>
      <c r="B534" s="53" t="s">
        <v>2246</v>
      </c>
      <c r="C534" s="53" t="s">
        <v>2070</v>
      </c>
      <c r="D534" s="53" t="s">
        <v>2071</v>
      </c>
      <c r="E534" s="53" t="s">
        <v>2072</v>
      </c>
      <c r="F534" s="53" t="s">
        <v>2073</v>
      </c>
      <c r="G534" s="53" t="s">
        <v>2074</v>
      </c>
      <c r="H534" s="53" t="s">
        <v>2075</v>
      </c>
      <c r="I534" s="53" t="s">
        <v>50</v>
      </c>
      <c r="J534" s="53" t="s">
        <v>51</v>
      </c>
      <c r="K534" s="73" t="s">
        <v>52</v>
      </c>
      <c r="L534" s="53" t="s">
        <v>53</v>
      </c>
      <c r="M534" s="53" t="s">
        <v>54</v>
      </c>
      <c r="N534" s="53" t="s">
        <v>85</v>
      </c>
      <c r="O534" s="53" t="s">
        <v>70</v>
      </c>
      <c r="P534" s="20" t="s">
        <v>627</v>
      </c>
      <c r="Q534" s="21" t="s">
        <v>111</v>
      </c>
      <c r="R534" s="20" t="s">
        <v>2247</v>
      </c>
      <c r="S534" s="20" t="s">
        <v>2248</v>
      </c>
      <c r="T534" s="22">
        <v>3.127527916E9</v>
      </c>
      <c r="U534" s="53" t="s">
        <v>61</v>
      </c>
      <c r="V534" s="113"/>
      <c r="W534" s="113"/>
      <c r="X534" s="113"/>
      <c r="Y534" s="54">
        <v>5.0</v>
      </c>
      <c r="Z534" s="28"/>
      <c r="AA534" s="28"/>
      <c r="AB534" s="28"/>
      <c r="AC534" s="28"/>
      <c r="AD534" s="28"/>
      <c r="AE534" s="28"/>
      <c r="AF534" s="29"/>
      <c r="AG534" s="29"/>
      <c r="AH534" s="30"/>
      <c r="AI534" s="31"/>
      <c r="AJ534" s="28"/>
      <c r="AK534" s="32"/>
      <c r="AL534" s="32"/>
      <c r="AM534" s="32"/>
      <c r="AN534" s="32"/>
      <c r="AO534" s="28"/>
      <c r="AP534" s="29"/>
    </row>
    <row r="535">
      <c r="A535" s="53" t="s">
        <v>2249</v>
      </c>
      <c r="B535" s="53" t="s">
        <v>2250</v>
      </c>
      <c r="C535" s="53" t="s">
        <v>1202</v>
      </c>
      <c r="D535" s="53" t="s">
        <v>1203</v>
      </c>
      <c r="E535" s="53" t="s">
        <v>1204</v>
      </c>
      <c r="F535" s="53" t="s">
        <v>47</v>
      </c>
      <c r="G535" s="53" t="s">
        <v>1205</v>
      </c>
      <c r="H535" s="53" t="s">
        <v>1206</v>
      </c>
      <c r="I535" s="53" t="s">
        <v>50</v>
      </c>
      <c r="J535" s="53" t="s">
        <v>51</v>
      </c>
      <c r="K535" s="73" t="s">
        <v>52</v>
      </c>
      <c r="L535" s="53" t="s">
        <v>84</v>
      </c>
      <c r="M535" s="53" t="s">
        <v>54</v>
      </c>
      <c r="N535" s="53" t="s">
        <v>55</v>
      </c>
      <c r="O535" s="53" t="s">
        <v>70</v>
      </c>
      <c r="P535" s="20" t="s">
        <v>2251</v>
      </c>
      <c r="Q535" s="21" t="s">
        <v>111</v>
      </c>
      <c r="R535" s="21" t="s">
        <v>105</v>
      </c>
      <c r="S535" s="20" t="s">
        <v>2252</v>
      </c>
      <c r="T535" s="22">
        <v>5.73125072725E11</v>
      </c>
      <c r="U535" s="53" t="s">
        <v>75</v>
      </c>
      <c r="V535" s="113"/>
      <c r="W535" s="113"/>
      <c r="X535" s="113"/>
      <c r="Y535" s="54">
        <v>5.0</v>
      </c>
      <c r="Z535" s="28"/>
      <c r="AA535" s="28"/>
      <c r="AB535" s="28"/>
      <c r="AC535" s="28"/>
      <c r="AD535" s="28"/>
      <c r="AE535" s="28"/>
      <c r="AF535" s="29"/>
      <c r="AG535" s="29"/>
      <c r="AH535" s="30"/>
      <c r="AI535" s="31"/>
      <c r="AJ535" s="28"/>
      <c r="AK535" s="32"/>
      <c r="AL535" s="32"/>
      <c r="AM535" s="32"/>
      <c r="AN535" s="32"/>
      <c r="AO535" s="28"/>
      <c r="AP535" s="29"/>
    </row>
    <row r="536">
      <c r="A536" s="53" t="s">
        <v>2253</v>
      </c>
      <c r="B536" s="53" t="s">
        <v>2254</v>
      </c>
      <c r="C536" s="53" t="s">
        <v>2070</v>
      </c>
      <c r="D536" s="53" t="s">
        <v>2071</v>
      </c>
      <c r="E536" s="53" t="s">
        <v>2072</v>
      </c>
      <c r="F536" s="53" t="s">
        <v>2073</v>
      </c>
      <c r="G536" s="53" t="s">
        <v>2074</v>
      </c>
      <c r="H536" s="53" t="s">
        <v>2075</v>
      </c>
      <c r="I536" s="53" t="s">
        <v>50</v>
      </c>
      <c r="J536" s="53" t="s">
        <v>51</v>
      </c>
      <c r="K536" s="73" t="s">
        <v>52</v>
      </c>
      <c r="L536" s="53" t="s">
        <v>53</v>
      </c>
      <c r="M536" s="53" t="s">
        <v>69</v>
      </c>
      <c r="N536" s="53" t="s">
        <v>55</v>
      </c>
      <c r="O536" s="53" t="s">
        <v>70</v>
      </c>
      <c r="P536" s="20" t="s">
        <v>282</v>
      </c>
      <c r="Q536" s="21" t="s">
        <v>72</v>
      </c>
      <c r="R536" s="20" t="s">
        <v>2255</v>
      </c>
      <c r="S536" s="20" t="s">
        <v>2256</v>
      </c>
      <c r="T536" s="22">
        <v>5.73015447698E11</v>
      </c>
      <c r="U536" s="53" t="s">
        <v>75</v>
      </c>
      <c r="V536" s="113"/>
      <c r="W536" s="113"/>
      <c r="X536" s="113"/>
      <c r="Y536" s="54">
        <v>5.0</v>
      </c>
      <c r="Z536" s="28"/>
      <c r="AA536" s="28"/>
      <c r="AB536" s="28"/>
      <c r="AC536" s="28"/>
      <c r="AD536" s="28"/>
      <c r="AE536" s="28"/>
      <c r="AF536" s="29"/>
      <c r="AG536" s="29"/>
      <c r="AH536" s="30"/>
      <c r="AI536" s="31"/>
      <c r="AJ536" s="28"/>
      <c r="AK536" s="32"/>
      <c r="AL536" s="32"/>
      <c r="AM536" s="32"/>
      <c r="AN536" s="32"/>
      <c r="AO536" s="28"/>
      <c r="AP536" s="29"/>
    </row>
    <row r="537">
      <c r="A537" s="53" t="s">
        <v>2257</v>
      </c>
      <c r="B537" s="53" t="s">
        <v>2258</v>
      </c>
      <c r="C537" s="53" t="s">
        <v>2070</v>
      </c>
      <c r="D537" s="53" t="s">
        <v>2071</v>
      </c>
      <c r="E537" s="53" t="s">
        <v>2072</v>
      </c>
      <c r="F537" s="53" t="s">
        <v>2073</v>
      </c>
      <c r="G537" s="53" t="s">
        <v>2074</v>
      </c>
      <c r="H537" s="53" t="s">
        <v>2075</v>
      </c>
      <c r="I537" s="53" t="s">
        <v>50</v>
      </c>
      <c r="J537" s="53" t="s">
        <v>51</v>
      </c>
      <c r="K537" s="73" t="s">
        <v>52</v>
      </c>
      <c r="L537" s="53" t="s">
        <v>53</v>
      </c>
      <c r="M537" s="53" t="s">
        <v>69</v>
      </c>
      <c r="N537" s="53" t="s">
        <v>55</v>
      </c>
      <c r="O537" s="53" t="s">
        <v>70</v>
      </c>
      <c r="P537" s="20" t="s">
        <v>2259</v>
      </c>
      <c r="Q537" s="21" t="s">
        <v>58</v>
      </c>
      <c r="R537" s="21" t="s">
        <v>72</v>
      </c>
      <c r="S537" s="20" t="s">
        <v>2260</v>
      </c>
      <c r="T537" s="22">
        <v>3.234601936E9</v>
      </c>
      <c r="U537" s="53" t="s">
        <v>75</v>
      </c>
      <c r="V537" s="113"/>
      <c r="W537" s="113"/>
      <c r="X537" s="113"/>
      <c r="Y537" s="54">
        <v>5.0</v>
      </c>
      <c r="Z537" s="28"/>
      <c r="AA537" s="28"/>
      <c r="AB537" s="28"/>
      <c r="AC537" s="28"/>
      <c r="AD537" s="28"/>
      <c r="AE537" s="28"/>
      <c r="AF537" s="29"/>
      <c r="AG537" s="29"/>
      <c r="AH537" s="30"/>
      <c r="AI537" s="31"/>
      <c r="AJ537" s="28"/>
      <c r="AK537" s="32"/>
      <c r="AL537" s="32"/>
      <c r="AM537" s="32"/>
      <c r="AN537" s="32"/>
      <c r="AO537" s="28"/>
      <c r="AP537" s="29"/>
    </row>
    <row r="538">
      <c r="A538" s="53" t="s">
        <v>2261</v>
      </c>
      <c r="B538" s="53" t="s">
        <v>2262</v>
      </c>
      <c r="C538" s="53" t="s">
        <v>1202</v>
      </c>
      <c r="D538" s="53" t="s">
        <v>1203</v>
      </c>
      <c r="E538" s="53" t="s">
        <v>1204</v>
      </c>
      <c r="F538" s="53" t="s">
        <v>47</v>
      </c>
      <c r="G538" s="53" t="s">
        <v>1205</v>
      </c>
      <c r="H538" s="53" t="s">
        <v>1206</v>
      </c>
      <c r="I538" s="53" t="s">
        <v>50</v>
      </c>
      <c r="J538" s="53" t="s">
        <v>51</v>
      </c>
      <c r="K538" s="73" t="s">
        <v>52</v>
      </c>
      <c r="L538" s="53" t="s">
        <v>84</v>
      </c>
      <c r="M538" s="53" t="s">
        <v>54</v>
      </c>
      <c r="N538" s="53" t="s">
        <v>55</v>
      </c>
      <c r="O538" s="53" t="s">
        <v>70</v>
      </c>
      <c r="P538" s="20" t="s">
        <v>1555</v>
      </c>
      <c r="Q538" s="21" t="s">
        <v>105</v>
      </c>
      <c r="R538" s="20" t="s">
        <v>100</v>
      </c>
      <c r="S538" s="20" t="s">
        <v>2263</v>
      </c>
      <c r="T538" s="22">
        <v>5.73017042453E11</v>
      </c>
      <c r="U538" s="53" t="s">
        <v>75</v>
      </c>
      <c r="V538" s="113"/>
      <c r="W538" s="113"/>
      <c r="X538" s="113"/>
      <c r="Y538" s="54">
        <v>5.0</v>
      </c>
      <c r="Z538" s="28"/>
      <c r="AA538" s="28"/>
      <c r="AB538" s="28"/>
      <c r="AC538" s="28"/>
      <c r="AD538" s="28"/>
      <c r="AE538" s="28"/>
      <c r="AF538" s="29"/>
      <c r="AG538" s="29"/>
      <c r="AH538" s="30"/>
      <c r="AI538" s="31"/>
      <c r="AJ538" s="28"/>
      <c r="AK538" s="32"/>
      <c r="AL538" s="32"/>
      <c r="AM538" s="32"/>
      <c r="AN538" s="32"/>
      <c r="AO538" s="28"/>
      <c r="AP538" s="29"/>
    </row>
    <row r="539">
      <c r="A539" s="53" t="s">
        <v>2264</v>
      </c>
      <c r="B539" s="53" t="s">
        <v>2265</v>
      </c>
      <c r="C539" s="53" t="s">
        <v>2070</v>
      </c>
      <c r="D539" s="53" t="s">
        <v>2071</v>
      </c>
      <c r="E539" s="53" t="s">
        <v>2072</v>
      </c>
      <c r="F539" s="53" t="s">
        <v>2073</v>
      </c>
      <c r="G539" s="53" t="s">
        <v>2074</v>
      </c>
      <c r="H539" s="53" t="s">
        <v>2075</v>
      </c>
      <c r="I539" s="53" t="s">
        <v>50</v>
      </c>
      <c r="J539" s="53" t="s">
        <v>51</v>
      </c>
      <c r="K539" s="73" t="s">
        <v>52</v>
      </c>
      <c r="L539" s="53" t="s">
        <v>53</v>
      </c>
      <c r="M539" s="53" t="s">
        <v>69</v>
      </c>
      <c r="N539" s="53" t="s">
        <v>137</v>
      </c>
      <c r="O539" s="53" t="s">
        <v>70</v>
      </c>
      <c r="P539" s="20" t="s">
        <v>723</v>
      </c>
      <c r="Q539" s="21" t="s">
        <v>122</v>
      </c>
      <c r="R539" s="20" t="s">
        <v>512</v>
      </c>
      <c r="S539" s="20" t="s">
        <v>2266</v>
      </c>
      <c r="T539" s="22">
        <v>3.10740669E9</v>
      </c>
      <c r="U539" s="53" t="s">
        <v>75</v>
      </c>
      <c r="V539" s="113"/>
      <c r="W539" s="113"/>
      <c r="X539" s="113"/>
      <c r="Y539" s="54">
        <v>5.0</v>
      </c>
      <c r="Z539" s="28"/>
      <c r="AA539" s="28"/>
      <c r="AB539" s="28"/>
      <c r="AC539" s="28"/>
      <c r="AD539" s="28"/>
      <c r="AE539" s="28"/>
      <c r="AF539" s="29"/>
      <c r="AG539" s="29"/>
      <c r="AH539" s="30"/>
      <c r="AI539" s="31"/>
      <c r="AJ539" s="28"/>
      <c r="AK539" s="32"/>
      <c r="AL539" s="32"/>
      <c r="AM539" s="32"/>
      <c r="AN539" s="32"/>
      <c r="AO539" s="28"/>
      <c r="AP539" s="29"/>
    </row>
    <row r="540">
      <c r="A540" s="53" t="s">
        <v>2267</v>
      </c>
      <c r="B540" s="53" t="s">
        <v>2268</v>
      </c>
      <c r="C540" s="53" t="s">
        <v>2070</v>
      </c>
      <c r="D540" s="53" t="s">
        <v>2071</v>
      </c>
      <c r="E540" s="53" t="s">
        <v>2072</v>
      </c>
      <c r="F540" s="53" t="s">
        <v>2073</v>
      </c>
      <c r="G540" s="53" t="s">
        <v>2074</v>
      </c>
      <c r="H540" s="53" t="s">
        <v>2075</v>
      </c>
      <c r="I540" s="53" t="s">
        <v>50</v>
      </c>
      <c r="J540" s="53" t="s">
        <v>51</v>
      </c>
      <c r="K540" s="73" t="s">
        <v>52</v>
      </c>
      <c r="L540" s="53" t="s">
        <v>53</v>
      </c>
      <c r="M540" s="53" t="s">
        <v>69</v>
      </c>
      <c r="N540" s="53" t="s">
        <v>137</v>
      </c>
      <c r="O540" s="53" t="s">
        <v>70</v>
      </c>
      <c r="P540" s="20" t="s">
        <v>2269</v>
      </c>
      <c r="Q540" s="21" t="s">
        <v>735</v>
      </c>
      <c r="R540" s="20" t="s">
        <v>2270</v>
      </c>
      <c r="S540" s="20" t="s">
        <v>2271</v>
      </c>
      <c r="T540" s="22">
        <v>5.73017053843E11</v>
      </c>
      <c r="U540" s="53" t="s">
        <v>61</v>
      </c>
      <c r="V540" s="113"/>
      <c r="W540" s="113"/>
      <c r="X540" s="113"/>
      <c r="Y540" s="54">
        <v>5.0</v>
      </c>
      <c r="Z540" s="28"/>
      <c r="AA540" s="28"/>
      <c r="AB540" s="28"/>
      <c r="AC540" s="28"/>
      <c r="AD540" s="28"/>
      <c r="AE540" s="28"/>
      <c r="AF540" s="29"/>
      <c r="AG540" s="29"/>
      <c r="AH540" s="30"/>
      <c r="AI540" s="31"/>
      <c r="AJ540" s="28"/>
      <c r="AK540" s="32"/>
      <c r="AL540" s="32"/>
      <c r="AM540" s="32"/>
      <c r="AN540" s="32"/>
      <c r="AO540" s="28"/>
      <c r="AP540" s="29"/>
    </row>
    <row r="541">
      <c r="A541" s="53" t="s">
        <v>2272</v>
      </c>
      <c r="B541" s="53" t="s">
        <v>2273</v>
      </c>
      <c r="C541" s="53" t="s">
        <v>1202</v>
      </c>
      <c r="D541" s="53" t="s">
        <v>1203</v>
      </c>
      <c r="E541" s="53" t="s">
        <v>1204</v>
      </c>
      <c r="F541" s="53" t="s">
        <v>47</v>
      </c>
      <c r="G541" s="53" t="s">
        <v>1205</v>
      </c>
      <c r="H541" s="53" t="s">
        <v>1206</v>
      </c>
      <c r="I541" s="53" t="s">
        <v>50</v>
      </c>
      <c r="J541" s="53" t="s">
        <v>51</v>
      </c>
      <c r="K541" s="73" t="s">
        <v>52</v>
      </c>
      <c r="L541" s="53" t="s">
        <v>53</v>
      </c>
      <c r="M541" s="53" t="s">
        <v>54</v>
      </c>
      <c r="N541" s="53" t="s">
        <v>55</v>
      </c>
      <c r="O541" s="53" t="s">
        <v>70</v>
      </c>
      <c r="P541" s="20" t="s">
        <v>211</v>
      </c>
      <c r="Q541" s="21" t="s">
        <v>111</v>
      </c>
      <c r="R541" s="20" t="s">
        <v>2274</v>
      </c>
      <c r="S541" s="20" t="s">
        <v>2275</v>
      </c>
      <c r="T541" s="22">
        <v>5.7301208643E11</v>
      </c>
      <c r="U541" s="53" t="s">
        <v>61</v>
      </c>
      <c r="V541" s="113"/>
      <c r="W541" s="113"/>
      <c r="X541" s="113"/>
      <c r="Y541" s="54">
        <v>5.0</v>
      </c>
      <c r="Z541" s="13"/>
      <c r="AA541" s="13"/>
      <c r="AB541" s="13"/>
      <c r="AC541" s="13"/>
      <c r="AD541" s="13"/>
      <c r="AE541" s="13"/>
      <c r="AF541" s="14"/>
      <c r="AG541" s="14"/>
      <c r="AH541" s="15"/>
      <c r="AI541" s="16"/>
      <c r="AJ541" s="13"/>
      <c r="AK541" s="17"/>
      <c r="AL541" s="17"/>
      <c r="AM541" s="17"/>
      <c r="AN541" s="17"/>
      <c r="AO541" s="13"/>
      <c r="AP541" s="14"/>
    </row>
    <row r="542">
      <c r="A542" s="53" t="s">
        <v>2276</v>
      </c>
      <c r="B542" s="53" t="s">
        <v>2277</v>
      </c>
      <c r="C542" s="53" t="s">
        <v>1202</v>
      </c>
      <c r="D542" s="53" t="s">
        <v>1203</v>
      </c>
      <c r="E542" s="53" t="s">
        <v>1204</v>
      </c>
      <c r="F542" s="53" t="s">
        <v>47</v>
      </c>
      <c r="G542" s="53" t="s">
        <v>1205</v>
      </c>
      <c r="H542" s="53" t="s">
        <v>1206</v>
      </c>
      <c r="I542" s="53" t="s">
        <v>50</v>
      </c>
      <c r="J542" s="53" t="s">
        <v>51</v>
      </c>
      <c r="K542" s="73" t="s">
        <v>52</v>
      </c>
      <c r="L542" s="53" t="s">
        <v>53</v>
      </c>
      <c r="M542" s="53" t="s">
        <v>54</v>
      </c>
      <c r="N542" s="53" t="s">
        <v>137</v>
      </c>
      <c r="O542" s="53" t="s">
        <v>70</v>
      </c>
      <c r="P542" s="20" t="s">
        <v>2278</v>
      </c>
      <c r="Q542" s="20" t="s">
        <v>2279</v>
      </c>
      <c r="R542" s="20" t="s">
        <v>2280</v>
      </c>
      <c r="S542" s="20" t="s">
        <v>2281</v>
      </c>
      <c r="T542" s="22">
        <v>5.73157559269E11</v>
      </c>
      <c r="U542" s="53" t="s">
        <v>75</v>
      </c>
      <c r="V542" s="113"/>
      <c r="W542" s="113"/>
      <c r="X542" s="113"/>
      <c r="Y542" s="54">
        <v>5.0</v>
      </c>
      <c r="Z542" s="13"/>
      <c r="AA542" s="13"/>
      <c r="AB542" s="13"/>
      <c r="AC542" s="13"/>
      <c r="AD542" s="13"/>
      <c r="AE542" s="13"/>
      <c r="AF542" s="14"/>
      <c r="AG542" s="14"/>
      <c r="AH542" s="15"/>
      <c r="AI542" s="16"/>
      <c r="AJ542" s="13"/>
      <c r="AK542" s="17"/>
      <c r="AL542" s="17"/>
      <c r="AM542" s="17"/>
      <c r="AN542" s="17"/>
      <c r="AO542" s="13"/>
      <c r="AP542" s="14"/>
    </row>
    <row r="543">
      <c r="A543" s="53" t="s">
        <v>2282</v>
      </c>
      <c r="B543" s="53" t="s">
        <v>2283</v>
      </c>
      <c r="C543" s="53" t="s">
        <v>1202</v>
      </c>
      <c r="D543" s="53" t="s">
        <v>1203</v>
      </c>
      <c r="E543" s="53" t="s">
        <v>1204</v>
      </c>
      <c r="F543" s="53" t="s">
        <v>47</v>
      </c>
      <c r="G543" s="53" t="s">
        <v>1205</v>
      </c>
      <c r="H543" s="53" t="s">
        <v>1206</v>
      </c>
      <c r="I543" s="53" t="s">
        <v>50</v>
      </c>
      <c r="J543" s="53" t="s">
        <v>51</v>
      </c>
      <c r="K543" s="73" t="s">
        <v>52</v>
      </c>
      <c r="L543" s="53" t="s">
        <v>53</v>
      </c>
      <c r="M543" s="53" t="s">
        <v>69</v>
      </c>
      <c r="N543" s="53" t="s">
        <v>55</v>
      </c>
      <c r="O543" s="53" t="s">
        <v>70</v>
      </c>
      <c r="P543" s="20" t="s">
        <v>141</v>
      </c>
      <c r="Q543" s="21" t="s">
        <v>58</v>
      </c>
      <c r="R543" s="20" t="s">
        <v>173</v>
      </c>
      <c r="S543" s="20" t="s">
        <v>2284</v>
      </c>
      <c r="T543" s="22">
        <v>5.73043588844E11</v>
      </c>
      <c r="U543" s="53" t="s">
        <v>61</v>
      </c>
      <c r="V543" s="113"/>
      <c r="W543" s="113"/>
      <c r="X543" s="113"/>
      <c r="Y543" s="54">
        <v>5.0</v>
      </c>
      <c r="Z543" s="13"/>
      <c r="AA543" s="13"/>
      <c r="AB543" s="13"/>
      <c r="AC543" s="13"/>
      <c r="AD543" s="13"/>
      <c r="AE543" s="13"/>
      <c r="AF543" s="14"/>
      <c r="AG543" s="14"/>
      <c r="AH543" s="15"/>
      <c r="AI543" s="16"/>
      <c r="AJ543" s="13"/>
      <c r="AK543" s="17"/>
      <c r="AL543" s="17"/>
      <c r="AM543" s="17"/>
      <c r="AN543" s="17"/>
      <c r="AO543" s="13"/>
      <c r="AP543" s="14"/>
    </row>
    <row r="544">
      <c r="A544" s="53" t="s">
        <v>2285</v>
      </c>
      <c r="B544" s="53" t="s">
        <v>2286</v>
      </c>
      <c r="C544" s="53" t="s">
        <v>1202</v>
      </c>
      <c r="D544" s="53" t="s">
        <v>1203</v>
      </c>
      <c r="E544" s="53" t="s">
        <v>1204</v>
      </c>
      <c r="F544" s="53" t="s">
        <v>47</v>
      </c>
      <c r="G544" s="53" t="s">
        <v>1205</v>
      </c>
      <c r="H544" s="53" t="s">
        <v>1206</v>
      </c>
      <c r="I544" s="53" t="s">
        <v>50</v>
      </c>
      <c r="J544" s="53" t="s">
        <v>51</v>
      </c>
      <c r="K544" s="73" t="s">
        <v>52</v>
      </c>
      <c r="L544" s="53" t="s">
        <v>53</v>
      </c>
      <c r="M544" s="53" t="s">
        <v>54</v>
      </c>
      <c r="N544" s="53" t="s">
        <v>55</v>
      </c>
      <c r="O544" s="53" t="s">
        <v>70</v>
      </c>
      <c r="P544" s="20" t="s">
        <v>182</v>
      </c>
      <c r="Q544" s="21" t="s">
        <v>72</v>
      </c>
      <c r="R544" s="20" t="s">
        <v>437</v>
      </c>
      <c r="S544" s="20" t="s">
        <v>2287</v>
      </c>
      <c r="T544" s="22">
        <v>5.73163766969E11</v>
      </c>
      <c r="U544" s="53" t="s">
        <v>61</v>
      </c>
      <c r="V544" s="113"/>
      <c r="W544" s="113"/>
      <c r="X544" s="113"/>
      <c r="Y544" s="54">
        <v>5.0</v>
      </c>
      <c r="Z544" s="13"/>
      <c r="AA544" s="13"/>
      <c r="AB544" s="13"/>
      <c r="AC544" s="13"/>
      <c r="AD544" s="13"/>
      <c r="AE544" s="13"/>
      <c r="AF544" s="14"/>
      <c r="AG544" s="14"/>
      <c r="AH544" s="15"/>
      <c r="AI544" s="16"/>
      <c r="AJ544" s="13"/>
      <c r="AK544" s="17"/>
      <c r="AL544" s="17"/>
      <c r="AM544" s="17"/>
      <c r="AN544" s="17"/>
      <c r="AO544" s="13"/>
      <c r="AP544" s="14"/>
    </row>
    <row r="545">
      <c r="A545" s="53" t="s">
        <v>2288</v>
      </c>
      <c r="B545" s="53" t="s">
        <v>2289</v>
      </c>
      <c r="C545" s="53" t="s">
        <v>2070</v>
      </c>
      <c r="D545" s="53" t="s">
        <v>2071</v>
      </c>
      <c r="E545" s="53" t="s">
        <v>2072</v>
      </c>
      <c r="F545" s="53" t="s">
        <v>2073</v>
      </c>
      <c r="G545" s="53" t="s">
        <v>2074</v>
      </c>
      <c r="H545" s="53" t="s">
        <v>2075</v>
      </c>
      <c r="I545" s="53" t="s">
        <v>50</v>
      </c>
      <c r="J545" s="53" t="s">
        <v>51</v>
      </c>
      <c r="K545" s="73" t="s">
        <v>52</v>
      </c>
      <c r="L545" s="53" t="s">
        <v>53</v>
      </c>
      <c r="M545" s="53" t="s">
        <v>69</v>
      </c>
      <c r="N545" s="53" t="s">
        <v>55</v>
      </c>
      <c r="O545" s="53" t="s">
        <v>70</v>
      </c>
      <c r="P545" s="20" t="s">
        <v>1966</v>
      </c>
      <c r="Q545" s="21" t="s">
        <v>111</v>
      </c>
      <c r="R545" s="20" t="s">
        <v>189</v>
      </c>
      <c r="S545" s="20" t="s">
        <v>2290</v>
      </c>
      <c r="T545" s="22">
        <v>3.103927759E9</v>
      </c>
      <c r="U545" s="53" t="s">
        <v>61</v>
      </c>
      <c r="V545" s="113"/>
      <c r="W545" s="113"/>
      <c r="X545" s="113"/>
      <c r="Y545" s="54">
        <v>5.0</v>
      </c>
      <c r="Z545" s="13"/>
      <c r="AA545" s="13"/>
      <c r="AB545" s="13"/>
      <c r="AC545" s="13"/>
      <c r="AD545" s="13"/>
      <c r="AE545" s="13"/>
      <c r="AF545" s="14"/>
      <c r="AG545" s="14"/>
      <c r="AH545" s="15"/>
      <c r="AI545" s="16"/>
      <c r="AJ545" s="13"/>
      <c r="AK545" s="17"/>
      <c r="AL545" s="17"/>
      <c r="AM545" s="17"/>
      <c r="AN545" s="17"/>
      <c r="AO545" s="13"/>
      <c r="AP545" s="14"/>
    </row>
    <row r="546">
      <c r="A546" s="53" t="s">
        <v>2291</v>
      </c>
      <c r="B546" s="53" t="s">
        <v>2292</v>
      </c>
      <c r="C546" s="53" t="s">
        <v>1202</v>
      </c>
      <c r="D546" s="53" t="s">
        <v>1203</v>
      </c>
      <c r="E546" s="53" t="s">
        <v>1204</v>
      </c>
      <c r="F546" s="53" t="s">
        <v>47</v>
      </c>
      <c r="G546" s="53" t="s">
        <v>1205</v>
      </c>
      <c r="H546" s="53" t="s">
        <v>1206</v>
      </c>
      <c r="I546" s="53" t="s">
        <v>50</v>
      </c>
      <c r="J546" s="53" t="s">
        <v>51</v>
      </c>
      <c r="K546" s="73" t="s">
        <v>52</v>
      </c>
      <c r="L546" s="53" t="s">
        <v>53</v>
      </c>
      <c r="M546" s="53" t="s">
        <v>69</v>
      </c>
      <c r="N546" s="53" t="s">
        <v>137</v>
      </c>
      <c r="O546" s="53" t="s">
        <v>70</v>
      </c>
      <c r="P546" s="20" t="s">
        <v>2293</v>
      </c>
      <c r="Q546" s="21" t="s">
        <v>735</v>
      </c>
      <c r="R546" s="20" t="s">
        <v>278</v>
      </c>
      <c r="S546" s="20" t="s">
        <v>2294</v>
      </c>
      <c r="T546" s="22">
        <v>5.73104735713E11</v>
      </c>
      <c r="U546" s="53" t="s">
        <v>61</v>
      </c>
      <c r="V546" s="113"/>
      <c r="W546" s="113"/>
      <c r="X546" s="113"/>
      <c r="Y546" s="54">
        <v>5.0</v>
      </c>
      <c r="Z546" s="13"/>
      <c r="AA546" s="13"/>
      <c r="AB546" s="13"/>
      <c r="AC546" s="13"/>
      <c r="AD546" s="13"/>
      <c r="AE546" s="13"/>
      <c r="AF546" s="14"/>
      <c r="AG546" s="14"/>
      <c r="AH546" s="15"/>
      <c r="AI546" s="16"/>
      <c r="AJ546" s="13"/>
      <c r="AK546" s="17"/>
      <c r="AL546" s="17"/>
      <c r="AM546" s="17"/>
      <c r="AN546" s="17"/>
      <c r="AO546" s="13"/>
      <c r="AP546" s="14"/>
    </row>
    <row r="547">
      <c r="A547" s="53" t="s">
        <v>2295</v>
      </c>
      <c r="B547" s="53" t="s">
        <v>2296</v>
      </c>
      <c r="C547" s="53" t="s">
        <v>1202</v>
      </c>
      <c r="D547" s="53" t="s">
        <v>1203</v>
      </c>
      <c r="E547" s="53" t="s">
        <v>1204</v>
      </c>
      <c r="F547" s="53" t="s">
        <v>47</v>
      </c>
      <c r="G547" s="53" t="s">
        <v>1205</v>
      </c>
      <c r="H547" s="53" t="s">
        <v>1206</v>
      </c>
      <c r="I547" s="53" t="s">
        <v>50</v>
      </c>
      <c r="J547" s="53" t="s">
        <v>51</v>
      </c>
      <c r="K547" s="73" t="s">
        <v>52</v>
      </c>
      <c r="L547" s="53" t="s">
        <v>84</v>
      </c>
      <c r="M547" s="53" t="s">
        <v>54</v>
      </c>
      <c r="N547" s="53" t="s">
        <v>85</v>
      </c>
      <c r="O547" s="53" t="s">
        <v>70</v>
      </c>
      <c r="P547" s="20" t="s">
        <v>182</v>
      </c>
      <c r="Q547" s="21" t="s">
        <v>94</v>
      </c>
      <c r="R547" s="20" t="s">
        <v>2297</v>
      </c>
      <c r="S547" s="20" t="s">
        <v>2298</v>
      </c>
      <c r="T547" s="22">
        <v>5.73114461792E11</v>
      </c>
      <c r="U547" s="53" t="s">
        <v>75</v>
      </c>
      <c r="V547" s="113"/>
      <c r="W547" s="113"/>
      <c r="X547" s="113"/>
      <c r="Y547" s="54">
        <v>5.0</v>
      </c>
      <c r="Z547" s="13"/>
      <c r="AA547" s="13"/>
      <c r="AB547" s="13"/>
      <c r="AC547" s="13"/>
      <c r="AD547" s="13"/>
      <c r="AE547" s="13"/>
      <c r="AF547" s="14"/>
      <c r="AG547" s="14"/>
      <c r="AH547" s="15"/>
      <c r="AI547" s="16"/>
      <c r="AJ547" s="13"/>
      <c r="AK547" s="17"/>
      <c r="AL547" s="17"/>
      <c r="AM547" s="17"/>
      <c r="AN547" s="17"/>
      <c r="AO547" s="13"/>
      <c r="AP547" s="14"/>
    </row>
    <row r="548">
      <c r="A548" s="53" t="s">
        <v>2299</v>
      </c>
      <c r="B548" s="53" t="s">
        <v>2300</v>
      </c>
      <c r="C548" s="53" t="s">
        <v>1202</v>
      </c>
      <c r="D548" s="53" t="s">
        <v>1203</v>
      </c>
      <c r="E548" s="53" t="s">
        <v>1204</v>
      </c>
      <c r="F548" s="53" t="s">
        <v>47</v>
      </c>
      <c r="G548" s="53" t="s">
        <v>1205</v>
      </c>
      <c r="H548" s="53" t="s">
        <v>1206</v>
      </c>
      <c r="I548" s="53" t="s">
        <v>50</v>
      </c>
      <c r="J548" s="53" t="s">
        <v>51</v>
      </c>
      <c r="K548" s="73" t="s">
        <v>52</v>
      </c>
      <c r="L548" s="53" t="s">
        <v>53</v>
      </c>
      <c r="M548" s="53" t="s">
        <v>54</v>
      </c>
      <c r="N548" s="53" t="s">
        <v>85</v>
      </c>
      <c r="O548" s="53" t="s">
        <v>70</v>
      </c>
      <c r="P548" s="20" t="s">
        <v>308</v>
      </c>
      <c r="Q548" s="21" t="s">
        <v>72</v>
      </c>
      <c r="R548" s="20" t="s">
        <v>73</v>
      </c>
      <c r="S548" s="20" t="s">
        <v>2301</v>
      </c>
      <c r="T548" s="22">
        <v>3.134221441E9</v>
      </c>
      <c r="U548" s="53" t="s">
        <v>61</v>
      </c>
      <c r="V548" s="113"/>
      <c r="W548" s="113"/>
      <c r="X548" s="113"/>
      <c r="Y548" s="54">
        <v>5.0</v>
      </c>
      <c r="Z548" s="13"/>
      <c r="AA548" s="13"/>
      <c r="AB548" s="13"/>
      <c r="AC548" s="13"/>
      <c r="AD548" s="13"/>
      <c r="AE548" s="13"/>
      <c r="AF548" s="14"/>
      <c r="AG548" s="14"/>
      <c r="AH548" s="15"/>
      <c r="AI548" s="16"/>
      <c r="AJ548" s="13"/>
      <c r="AK548" s="17"/>
      <c r="AL548" s="17"/>
      <c r="AM548" s="17"/>
      <c r="AN548" s="17"/>
      <c r="AO548" s="13"/>
      <c r="AP548" s="14"/>
    </row>
    <row r="549">
      <c r="A549" s="53" t="s">
        <v>2302</v>
      </c>
      <c r="B549" s="53" t="s">
        <v>2303</v>
      </c>
      <c r="C549" s="53" t="s">
        <v>1202</v>
      </c>
      <c r="D549" s="53" t="s">
        <v>1203</v>
      </c>
      <c r="E549" s="53" t="s">
        <v>1204</v>
      </c>
      <c r="F549" s="53" t="s">
        <v>47</v>
      </c>
      <c r="G549" s="53" t="s">
        <v>1205</v>
      </c>
      <c r="H549" s="53" t="s">
        <v>1206</v>
      </c>
      <c r="I549" s="53" t="s">
        <v>50</v>
      </c>
      <c r="J549" s="53" t="s">
        <v>51</v>
      </c>
      <c r="K549" s="73" t="s">
        <v>52</v>
      </c>
      <c r="L549" s="53" t="s">
        <v>53</v>
      </c>
      <c r="M549" s="53" t="s">
        <v>54</v>
      </c>
      <c r="N549" s="53" t="s">
        <v>55</v>
      </c>
      <c r="O549" s="8" t="s">
        <v>86</v>
      </c>
      <c r="P549" s="8" t="s">
        <v>211</v>
      </c>
      <c r="Q549" s="9" t="s">
        <v>111</v>
      </c>
      <c r="R549" s="8" t="s">
        <v>278</v>
      </c>
      <c r="S549" s="8" t="s">
        <v>2304</v>
      </c>
      <c r="T549" s="10">
        <v>5.73176218104E11</v>
      </c>
      <c r="U549" s="8" t="s">
        <v>61</v>
      </c>
      <c r="V549" s="113"/>
      <c r="W549" s="113"/>
      <c r="X549" s="113"/>
      <c r="Y549" s="33">
        <v>45779.0</v>
      </c>
      <c r="Z549" s="28"/>
      <c r="AA549" s="28"/>
      <c r="AB549" s="28"/>
      <c r="AC549" s="28"/>
      <c r="AD549" s="28"/>
      <c r="AE549" s="28"/>
      <c r="AF549" s="29"/>
      <c r="AG549" s="29"/>
      <c r="AH549" s="30"/>
      <c r="AI549" s="31"/>
      <c r="AJ549" s="28"/>
      <c r="AK549" s="32"/>
      <c r="AL549" s="32"/>
      <c r="AM549" s="32"/>
      <c r="AN549" s="32"/>
      <c r="AO549" s="28"/>
      <c r="AP549" s="29"/>
    </row>
    <row r="550">
      <c r="A550" s="53" t="s">
        <v>2305</v>
      </c>
      <c r="B550" s="53" t="s">
        <v>2306</v>
      </c>
      <c r="C550" s="53" t="s">
        <v>1202</v>
      </c>
      <c r="D550" s="53" t="s">
        <v>1203</v>
      </c>
      <c r="E550" s="53" t="s">
        <v>1204</v>
      </c>
      <c r="F550" s="53" t="s">
        <v>47</v>
      </c>
      <c r="G550" s="53" t="s">
        <v>1205</v>
      </c>
      <c r="H550" s="53" t="s">
        <v>1206</v>
      </c>
      <c r="I550" s="53" t="s">
        <v>50</v>
      </c>
      <c r="J550" s="53" t="s">
        <v>51</v>
      </c>
      <c r="K550" s="73" t="s">
        <v>52</v>
      </c>
      <c r="L550" s="53" t="s">
        <v>53</v>
      </c>
      <c r="M550" s="53" t="s">
        <v>54</v>
      </c>
      <c r="N550" s="53" t="s">
        <v>55</v>
      </c>
      <c r="O550" s="53" t="s">
        <v>70</v>
      </c>
      <c r="P550" s="20" t="s">
        <v>2307</v>
      </c>
      <c r="Q550" s="21" t="s">
        <v>58</v>
      </c>
      <c r="R550" s="20" t="s">
        <v>2308</v>
      </c>
      <c r="S550" s="20" t="s">
        <v>2309</v>
      </c>
      <c r="T550" s="22">
        <v>5.73007202873E11</v>
      </c>
      <c r="U550" s="53" t="s">
        <v>61</v>
      </c>
      <c r="V550" s="113"/>
      <c r="W550" s="113"/>
      <c r="X550" s="113"/>
      <c r="Y550" s="54">
        <v>5.0</v>
      </c>
      <c r="Z550" s="28"/>
      <c r="AA550" s="28"/>
      <c r="AB550" s="28"/>
      <c r="AC550" s="28"/>
      <c r="AD550" s="28"/>
      <c r="AE550" s="28"/>
      <c r="AF550" s="29"/>
      <c r="AG550" s="29"/>
      <c r="AH550" s="30"/>
      <c r="AI550" s="31"/>
      <c r="AJ550" s="28"/>
      <c r="AK550" s="32"/>
      <c r="AL550" s="32"/>
      <c r="AM550" s="32"/>
      <c r="AN550" s="32"/>
      <c r="AO550" s="28"/>
      <c r="AP550" s="29"/>
    </row>
    <row r="551">
      <c r="A551" s="53" t="s">
        <v>2310</v>
      </c>
      <c r="B551" s="53" t="s">
        <v>2311</v>
      </c>
      <c r="C551" s="53" t="s">
        <v>1202</v>
      </c>
      <c r="D551" s="53" t="s">
        <v>1203</v>
      </c>
      <c r="E551" s="53" t="s">
        <v>1204</v>
      </c>
      <c r="F551" s="53" t="s">
        <v>47</v>
      </c>
      <c r="G551" s="53" t="s">
        <v>1205</v>
      </c>
      <c r="H551" s="53" t="s">
        <v>1206</v>
      </c>
      <c r="I551" s="53" t="s">
        <v>50</v>
      </c>
      <c r="J551" s="53" t="s">
        <v>51</v>
      </c>
      <c r="K551" s="73" t="s">
        <v>52</v>
      </c>
      <c r="L551" s="53" t="s">
        <v>53</v>
      </c>
      <c r="M551" s="53" t="s">
        <v>69</v>
      </c>
      <c r="N551" s="53" t="s">
        <v>55</v>
      </c>
      <c r="O551" s="53" t="s">
        <v>70</v>
      </c>
      <c r="P551" s="20" t="s">
        <v>116</v>
      </c>
      <c r="Q551" s="21" t="s">
        <v>111</v>
      </c>
      <c r="R551" s="20" t="s">
        <v>2312</v>
      </c>
      <c r="S551" s="20" t="s">
        <v>2313</v>
      </c>
      <c r="T551" s="22">
        <v>5.73165303101E11</v>
      </c>
      <c r="U551" s="53" t="s">
        <v>75</v>
      </c>
      <c r="V551" s="113"/>
      <c r="W551" s="113"/>
      <c r="X551" s="113"/>
      <c r="Y551" s="54">
        <v>5.0</v>
      </c>
      <c r="Z551" s="28"/>
      <c r="AA551" s="28"/>
      <c r="AB551" s="28"/>
      <c r="AC551" s="28"/>
      <c r="AD551" s="28"/>
      <c r="AE551" s="28"/>
      <c r="AF551" s="29"/>
      <c r="AG551" s="29"/>
      <c r="AH551" s="30"/>
      <c r="AI551" s="31"/>
      <c r="AJ551" s="28"/>
      <c r="AK551" s="32"/>
      <c r="AL551" s="32"/>
      <c r="AM551" s="32"/>
      <c r="AN551" s="32"/>
      <c r="AO551" s="28"/>
      <c r="AP551" s="29"/>
    </row>
    <row r="552">
      <c r="A552" s="53" t="s">
        <v>2314</v>
      </c>
      <c r="B552" s="53" t="s">
        <v>2315</v>
      </c>
      <c r="C552" s="53" t="s">
        <v>1202</v>
      </c>
      <c r="D552" s="53" t="s">
        <v>1203</v>
      </c>
      <c r="E552" s="53" t="s">
        <v>1204</v>
      </c>
      <c r="F552" s="53" t="s">
        <v>47</v>
      </c>
      <c r="G552" s="53" t="s">
        <v>1205</v>
      </c>
      <c r="H552" s="53" t="s">
        <v>1206</v>
      </c>
      <c r="I552" s="53" t="s">
        <v>50</v>
      </c>
      <c r="J552" s="53" t="s">
        <v>51</v>
      </c>
      <c r="K552" s="73" t="s">
        <v>52</v>
      </c>
      <c r="L552" s="53" t="s">
        <v>53</v>
      </c>
      <c r="M552" s="53" t="s">
        <v>54</v>
      </c>
      <c r="N552" s="53" t="s">
        <v>55</v>
      </c>
      <c r="O552" s="53" t="s">
        <v>70</v>
      </c>
      <c r="P552" s="20" t="s">
        <v>627</v>
      </c>
      <c r="Q552" s="21" t="s">
        <v>105</v>
      </c>
      <c r="R552" s="20" t="s">
        <v>73</v>
      </c>
      <c r="S552" s="20" t="s">
        <v>2316</v>
      </c>
      <c r="T552" s="22">
        <v>5.73106743815E11</v>
      </c>
      <c r="U552" s="53" t="s">
        <v>61</v>
      </c>
      <c r="V552" s="113"/>
      <c r="W552" s="113"/>
      <c r="X552" s="113"/>
      <c r="Y552" s="54">
        <v>5.0</v>
      </c>
      <c r="Z552" s="28"/>
      <c r="AA552" s="28"/>
      <c r="AB552" s="28"/>
      <c r="AC552" s="28"/>
      <c r="AD552" s="28"/>
      <c r="AE552" s="28"/>
      <c r="AF552" s="29"/>
      <c r="AG552" s="29"/>
      <c r="AH552" s="30"/>
      <c r="AI552" s="31"/>
      <c r="AJ552" s="28"/>
      <c r="AK552" s="32"/>
      <c r="AL552" s="32"/>
      <c r="AM552" s="32"/>
      <c r="AN552" s="32"/>
      <c r="AO552" s="28"/>
      <c r="AP552" s="29"/>
    </row>
    <row r="553">
      <c r="A553" s="53" t="s">
        <v>2317</v>
      </c>
      <c r="B553" s="53" t="s">
        <v>2318</v>
      </c>
      <c r="C553" s="53" t="s">
        <v>1202</v>
      </c>
      <c r="D553" s="53" t="s">
        <v>1203</v>
      </c>
      <c r="E553" s="53" t="s">
        <v>1204</v>
      </c>
      <c r="F553" s="53" t="s">
        <v>47</v>
      </c>
      <c r="G553" s="53" t="s">
        <v>1205</v>
      </c>
      <c r="H553" s="53" t="s">
        <v>1206</v>
      </c>
      <c r="I553" s="53" t="s">
        <v>50</v>
      </c>
      <c r="J553" s="53" t="s">
        <v>51</v>
      </c>
      <c r="K553" s="73" t="s">
        <v>52</v>
      </c>
      <c r="L553" s="53" t="s">
        <v>53</v>
      </c>
      <c r="M553" s="53" t="s">
        <v>69</v>
      </c>
      <c r="N553" s="53" t="s">
        <v>55</v>
      </c>
      <c r="O553" s="53" t="s">
        <v>70</v>
      </c>
      <c r="P553" s="20" t="s">
        <v>232</v>
      </c>
      <c r="Q553" s="21" t="s">
        <v>2319</v>
      </c>
      <c r="R553" s="20" t="s">
        <v>466</v>
      </c>
      <c r="S553" s="20" t="s">
        <v>2320</v>
      </c>
      <c r="T553" s="22">
        <v>5.73005914088E11</v>
      </c>
      <c r="U553" s="53" t="s">
        <v>61</v>
      </c>
      <c r="V553" s="113"/>
      <c r="W553" s="113"/>
      <c r="X553" s="113"/>
      <c r="Y553" s="54">
        <v>5.0</v>
      </c>
      <c r="Z553" s="28"/>
      <c r="AA553" s="28"/>
      <c r="AB553" s="28"/>
      <c r="AC553" s="28"/>
      <c r="AD553" s="28"/>
      <c r="AE553" s="28"/>
      <c r="AF553" s="29"/>
      <c r="AG553" s="29"/>
      <c r="AH553" s="30"/>
      <c r="AI553" s="31"/>
      <c r="AJ553" s="28"/>
      <c r="AK553" s="32"/>
      <c r="AL553" s="32"/>
      <c r="AM553" s="32"/>
      <c r="AN553" s="32"/>
      <c r="AO553" s="28"/>
      <c r="AP553" s="29"/>
    </row>
    <row r="554">
      <c r="A554" s="53" t="s">
        <v>2321</v>
      </c>
      <c r="B554" s="53" t="s">
        <v>2322</v>
      </c>
      <c r="C554" s="53" t="s">
        <v>1202</v>
      </c>
      <c r="D554" s="53" t="s">
        <v>1203</v>
      </c>
      <c r="E554" s="53" t="s">
        <v>1204</v>
      </c>
      <c r="F554" s="53" t="s">
        <v>47</v>
      </c>
      <c r="G554" s="53" t="s">
        <v>1205</v>
      </c>
      <c r="H554" s="53" t="s">
        <v>1206</v>
      </c>
      <c r="I554" s="53" t="s">
        <v>50</v>
      </c>
      <c r="J554" s="53" t="s">
        <v>51</v>
      </c>
      <c r="K554" s="73" t="s">
        <v>52</v>
      </c>
      <c r="L554" s="53" t="s">
        <v>53</v>
      </c>
      <c r="M554" s="53" t="s">
        <v>54</v>
      </c>
      <c r="N554" s="53" t="s">
        <v>55</v>
      </c>
      <c r="O554" s="53" t="s">
        <v>70</v>
      </c>
      <c r="P554" s="20" t="s">
        <v>110</v>
      </c>
      <c r="Q554" s="21" t="s">
        <v>111</v>
      </c>
      <c r="R554" s="20" t="s">
        <v>2323</v>
      </c>
      <c r="S554" s="20" t="s">
        <v>2324</v>
      </c>
      <c r="T554" s="22">
        <v>5.73103708173E11</v>
      </c>
      <c r="U554" s="53" t="s">
        <v>75</v>
      </c>
      <c r="V554" s="113"/>
      <c r="W554" s="113"/>
      <c r="X554" s="113"/>
      <c r="Y554" s="54">
        <v>5.0</v>
      </c>
      <c r="Z554" s="28"/>
      <c r="AA554" s="28"/>
      <c r="AB554" s="28"/>
      <c r="AC554" s="28"/>
      <c r="AD554" s="28"/>
      <c r="AE554" s="28"/>
      <c r="AF554" s="29"/>
      <c r="AG554" s="29"/>
      <c r="AH554" s="30"/>
      <c r="AI554" s="31"/>
      <c r="AJ554" s="28"/>
      <c r="AK554" s="32"/>
      <c r="AL554" s="32"/>
      <c r="AM554" s="32"/>
      <c r="AN554" s="32"/>
      <c r="AO554" s="28"/>
      <c r="AP554" s="29"/>
    </row>
    <row r="555">
      <c r="A555" s="53" t="s">
        <v>2325</v>
      </c>
      <c r="B555" s="53" t="s">
        <v>2326</v>
      </c>
      <c r="C555" s="53" t="s">
        <v>1202</v>
      </c>
      <c r="D555" s="53" t="s">
        <v>1203</v>
      </c>
      <c r="E555" s="53" t="s">
        <v>1204</v>
      </c>
      <c r="F555" s="53" t="s">
        <v>47</v>
      </c>
      <c r="G555" s="53" t="s">
        <v>1205</v>
      </c>
      <c r="H555" s="53" t="s">
        <v>1206</v>
      </c>
      <c r="I555" s="53" t="s">
        <v>50</v>
      </c>
      <c r="J555" s="53" t="s">
        <v>51</v>
      </c>
      <c r="K555" s="73" t="s">
        <v>52</v>
      </c>
      <c r="L555" s="53" t="s">
        <v>53</v>
      </c>
      <c r="M555" s="53" t="s">
        <v>54</v>
      </c>
      <c r="N555" s="53" t="s">
        <v>137</v>
      </c>
      <c r="O555" s="53" t="s">
        <v>70</v>
      </c>
      <c r="P555" s="20" t="s">
        <v>1435</v>
      </c>
      <c r="Q555" s="21" t="s">
        <v>58</v>
      </c>
      <c r="R555" s="20" t="s">
        <v>2327</v>
      </c>
      <c r="S555" s="20" t="s">
        <v>2328</v>
      </c>
      <c r="T555" s="22">
        <v>5.73222161268E11</v>
      </c>
      <c r="U555" s="53" t="s">
        <v>61</v>
      </c>
      <c r="V555" s="113"/>
      <c r="W555" s="113"/>
      <c r="X555" s="113"/>
      <c r="Y555" s="54">
        <v>5.0</v>
      </c>
      <c r="Z555" s="13"/>
      <c r="AA555" s="13"/>
      <c r="AB555" s="13"/>
      <c r="AC555" s="13"/>
      <c r="AD555" s="13"/>
      <c r="AE555" s="13"/>
      <c r="AF555" s="14"/>
      <c r="AG555" s="14"/>
      <c r="AH555" s="15"/>
      <c r="AI555" s="16"/>
      <c r="AJ555" s="13"/>
      <c r="AK555" s="17"/>
      <c r="AL555" s="17"/>
      <c r="AM555" s="17"/>
      <c r="AN555" s="17"/>
      <c r="AO555" s="13"/>
      <c r="AP555" s="14"/>
    </row>
    <row r="556">
      <c r="A556" s="53" t="s">
        <v>2329</v>
      </c>
      <c r="B556" s="53" t="s">
        <v>2330</v>
      </c>
      <c r="C556" s="53" t="s">
        <v>1202</v>
      </c>
      <c r="D556" s="53" t="s">
        <v>1203</v>
      </c>
      <c r="E556" s="53" t="s">
        <v>1204</v>
      </c>
      <c r="F556" s="53" t="s">
        <v>47</v>
      </c>
      <c r="G556" s="53" t="s">
        <v>1205</v>
      </c>
      <c r="H556" s="53" t="s">
        <v>1206</v>
      </c>
      <c r="I556" s="53" t="s">
        <v>50</v>
      </c>
      <c r="J556" s="53" t="s">
        <v>51</v>
      </c>
      <c r="K556" s="73" t="s">
        <v>52</v>
      </c>
      <c r="L556" s="53" t="s">
        <v>53</v>
      </c>
      <c r="M556" s="53" t="s">
        <v>54</v>
      </c>
      <c r="N556" s="53" t="s">
        <v>85</v>
      </c>
      <c r="O556" s="53" t="s">
        <v>70</v>
      </c>
      <c r="P556" s="20" t="s">
        <v>308</v>
      </c>
      <c r="Q556" s="21" t="s">
        <v>111</v>
      </c>
      <c r="R556" s="20" t="s">
        <v>2331</v>
      </c>
      <c r="S556" s="20" t="s">
        <v>2332</v>
      </c>
      <c r="T556" s="22">
        <v>5.73015935749E11</v>
      </c>
      <c r="U556" s="53" t="s">
        <v>61</v>
      </c>
      <c r="V556" s="113"/>
      <c r="W556" s="113"/>
      <c r="X556" s="113"/>
      <c r="Y556" s="54">
        <v>5.0</v>
      </c>
      <c r="Z556" s="28"/>
      <c r="AA556" s="28"/>
      <c r="AB556" s="28"/>
      <c r="AC556" s="28"/>
      <c r="AD556" s="28"/>
      <c r="AE556" s="28"/>
      <c r="AF556" s="29"/>
      <c r="AG556" s="29"/>
      <c r="AH556" s="30"/>
      <c r="AI556" s="31"/>
      <c r="AJ556" s="28"/>
      <c r="AK556" s="32"/>
      <c r="AL556" s="32"/>
      <c r="AM556" s="32"/>
      <c r="AN556" s="32"/>
      <c r="AO556" s="28"/>
      <c r="AP556" s="29"/>
    </row>
    <row r="557">
      <c r="A557" s="53" t="s">
        <v>2333</v>
      </c>
      <c r="B557" s="53" t="s">
        <v>2334</v>
      </c>
      <c r="C557" s="53" t="s">
        <v>1202</v>
      </c>
      <c r="D557" s="53" t="s">
        <v>1203</v>
      </c>
      <c r="E557" s="53" t="s">
        <v>1204</v>
      </c>
      <c r="F557" s="53" t="s">
        <v>47</v>
      </c>
      <c r="G557" s="53" t="s">
        <v>1205</v>
      </c>
      <c r="H557" s="53" t="s">
        <v>1206</v>
      </c>
      <c r="I557" s="53" t="s">
        <v>50</v>
      </c>
      <c r="J557" s="53" t="s">
        <v>51</v>
      </c>
      <c r="K557" s="73" t="s">
        <v>52</v>
      </c>
      <c r="L557" s="53" t="s">
        <v>53</v>
      </c>
      <c r="M557" s="53" t="s">
        <v>69</v>
      </c>
      <c r="N557" s="53" t="s">
        <v>55</v>
      </c>
      <c r="O557" s="53" t="s">
        <v>70</v>
      </c>
      <c r="P557" s="20" t="s">
        <v>211</v>
      </c>
      <c r="Q557" s="21" t="s">
        <v>111</v>
      </c>
      <c r="R557" s="21" t="s">
        <v>2335</v>
      </c>
      <c r="S557" s="20" t="s">
        <v>2336</v>
      </c>
      <c r="T557" s="22">
        <v>5.73166184364E11</v>
      </c>
      <c r="U557" s="53" t="s">
        <v>61</v>
      </c>
      <c r="V557" s="113"/>
      <c r="W557" s="113"/>
      <c r="X557" s="113"/>
      <c r="Y557" s="54">
        <v>5.0</v>
      </c>
      <c r="Z557" s="28"/>
      <c r="AA557" s="28"/>
      <c r="AB557" s="28"/>
      <c r="AC557" s="28"/>
      <c r="AD557" s="28"/>
      <c r="AE557" s="28"/>
      <c r="AF557" s="29"/>
      <c r="AG557" s="29"/>
      <c r="AH557" s="30"/>
      <c r="AI557" s="31"/>
      <c r="AJ557" s="28"/>
      <c r="AK557" s="32"/>
      <c r="AL557" s="32"/>
      <c r="AM557" s="32"/>
      <c r="AN557" s="32"/>
      <c r="AO557" s="28"/>
      <c r="AP557" s="29"/>
    </row>
    <row r="558">
      <c r="A558" s="53" t="s">
        <v>2337</v>
      </c>
      <c r="B558" s="53" t="s">
        <v>2338</v>
      </c>
      <c r="C558" s="53" t="s">
        <v>1202</v>
      </c>
      <c r="D558" s="53" t="s">
        <v>1203</v>
      </c>
      <c r="E558" s="53" t="s">
        <v>1204</v>
      </c>
      <c r="F558" s="53" t="s">
        <v>47</v>
      </c>
      <c r="G558" s="53" t="s">
        <v>1205</v>
      </c>
      <c r="H558" s="53" t="s">
        <v>1206</v>
      </c>
      <c r="I558" s="53" t="s">
        <v>50</v>
      </c>
      <c r="J558" s="53" t="s">
        <v>51</v>
      </c>
      <c r="K558" s="73" t="s">
        <v>52</v>
      </c>
      <c r="L558" s="53" t="s">
        <v>53</v>
      </c>
      <c r="M558" s="53" t="s">
        <v>54</v>
      </c>
      <c r="N558" s="53" t="s">
        <v>55</v>
      </c>
      <c r="O558" s="53" t="s">
        <v>70</v>
      </c>
      <c r="P558" s="20" t="s">
        <v>152</v>
      </c>
      <c r="Q558" s="21" t="s">
        <v>122</v>
      </c>
      <c r="R558" s="20" t="s">
        <v>2339</v>
      </c>
      <c r="S558" s="20" t="s">
        <v>2340</v>
      </c>
      <c r="T558" s="22">
        <v>5.73003338681E11</v>
      </c>
      <c r="U558" s="53" t="s">
        <v>75</v>
      </c>
      <c r="V558" s="113"/>
      <c r="W558" s="113"/>
      <c r="X558" s="113"/>
      <c r="Y558" s="54">
        <v>5.0</v>
      </c>
      <c r="Z558" s="28"/>
      <c r="AA558" s="28"/>
      <c r="AB558" s="28"/>
      <c r="AC558" s="28"/>
      <c r="AD558" s="28"/>
      <c r="AE558" s="28"/>
      <c r="AF558" s="29"/>
      <c r="AG558" s="29"/>
      <c r="AH558" s="30"/>
      <c r="AI558" s="31"/>
      <c r="AJ558" s="28"/>
      <c r="AK558" s="32"/>
      <c r="AL558" s="32"/>
      <c r="AM558" s="32"/>
      <c r="AN558" s="32"/>
      <c r="AO558" s="28"/>
      <c r="AP558" s="29"/>
    </row>
    <row r="559">
      <c r="A559" s="53" t="s">
        <v>2341</v>
      </c>
      <c r="B559" s="53" t="s">
        <v>2342</v>
      </c>
      <c r="C559" s="53" t="s">
        <v>1202</v>
      </c>
      <c r="D559" s="53" t="s">
        <v>1203</v>
      </c>
      <c r="E559" s="53" t="s">
        <v>1204</v>
      </c>
      <c r="F559" s="53" t="s">
        <v>47</v>
      </c>
      <c r="G559" s="53" t="s">
        <v>1205</v>
      </c>
      <c r="H559" s="53" t="s">
        <v>1206</v>
      </c>
      <c r="I559" s="53" t="s">
        <v>50</v>
      </c>
      <c r="J559" s="53" t="s">
        <v>51</v>
      </c>
      <c r="K559" s="73" t="s">
        <v>52</v>
      </c>
      <c r="L559" s="53" t="s">
        <v>53</v>
      </c>
      <c r="M559" s="53" t="s">
        <v>69</v>
      </c>
      <c r="N559" s="53" t="s">
        <v>55</v>
      </c>
      <c r="O559" s="53" t="s">
        <v>70</v>
      </c>
      <c r="P559" s="20" t="s">
        <v>141</v>
      </c>
      <c r="Q559" s="21" t="s">
        <v>111</v>
      </c>
      <c r="R559" s="20" t="s">
        <v>173</v>
      </c>
      <c r="S559" s="20" t="s">
        <v>2343</v>
      </c>
      <c r="T559" s="22">
        <v>5.73214462787E11</v>
      </c>
      <c r="U559" s="53" t="s">
        <v>61</v>
      </c>
      <c r="V559" s="113"/>
      <c r="W559" s="113"/>
      <c r="X559" s="113"/>
      <c r="Y559" s="54">
        <v>5.0</v>
      </c>
      <c r="Z559" s="28"/>
      <c r="AA559" s="28"/>
      <c r="AB559" s="28"/>
      <c r="AC559" s="28"/>
      <c r="AD559" s="28"/>
      <c r="AE559" s="28"/>
      <c r="AF559" s="29"/>
      <c r="AG559" s="29"/>
      <c r="AH559" s="30"/>
      <c r="AI559" s="31"/>
      <c r="AJ559" s="28"/>
      <c r="AK559" s="32"/>
      <c r="AL559" s="32"/>
      <c r="AM559" s="32"/>
      <c r="AN559" s="32"/>
      <c r="AO559" s="28"/>
      <c r="AP559" s="29"/>
    </row>
    <row r="560">
      <c r="A560" s="53" t="s">
        <v>2344</v>
      </c>
      <c r="B560" s="53" t="s">
        <v>2345</v>
      </c>
      <c r="C560" s="53" t="s">
        <v>1202</v>
      </c>
      <c r="D560" s="53" t="s">
        <v>1203</v>
      </c>
      <c r="E560" s="53" t="s">
        <v>1204</v>
      </c>
      <c r="F560" s="53" t="s">
        <v>47</v>
      </c>
      <c r="G560" s="53" t="s">
        <v>1205</v>
      </c>
      <c r="H560" s="53" t="s">
        <v>1206</v>
      </c>
      <c r="I560" s="53" t="s">
        <v>50</v>
      </c>
      <c r="J560" s="53" t="s">
        <v>51</v>
      </c>
      <c r="K560" s="73" t="s">
        <v>52</v>
      </c>
      <c r="L560" s="53" t="s">
        <v>84</v>
      </c>
      <c r="M560" s="53" t="s">
        <v>54</v>
      </c>
      <c r="N560" s="53" t="s">
        <v>85</v>
      </c>
      <c r="O560" s="53" t="s">
        <v>70</v>
      </c>
      <c r="P560" s="20" t="s">
        <v>627</v>
      </c>
      <c r="Q560" s="21" t="s">
        <v>58</v>
      </c>
      <c r="R560" s="20" t="s">
        <v>918</v>
      </c>
      <c r="S560" s="20" t="s">
        <v>2346</v>
      </c>
      <c r="T560" s="22">
        <v>5.7300352676E11</v>
      </c>
      <c r="U560" s="53" t="s">
        <v>75</v>
      </c>
      <c r="V560" s="113"/>
      <c r="W560" s="113"/>
      <c r="X560" s="113"/>
      <c r="Y560" s="54">
        <v>5.0</v>
      </c>
      <c r="Z560" s="28"/>
      <c r="AA560" s="28"/>
      <c r="AB560" s="28"/>
      <c r="AC560" s="28"/>
      <c r="AD560" s="28"/>
      <c r="AE560" s="28"/>
      <c r="AF560" s="29"/>
      <c r="AG560" s="29"/>
      <c r="AH560" s="30"/>
      <c r="AI560" s="31"/>
      <c r="AJ560" s="28"/>
      <c r="AK560" s="32"/>
      <c r="AL560" s="32"/>
      <c r="AM560" s="32"/>
      <c r="AN560" s="32"/>
      <c r="AO560" s="28"/>
      <c r="AP560" s="29"/>
    </row>
    <row r="561">
      <c r="A561" s="53" t="s">
        <v>2347</v>
      </c>
      <c r="B561" s="53" t="s">
        <v>2348</v>
      </c>
      <c r="C561" s="53" t="s">
        <v>1202</v>
      </c>
      <c r="D561" s="53" t="s">
        <v>1203</v>
      </c>
      <c r="E561" s="53" t="s">
        <v>1204</v>
      </c>
      <c r="F561" s="53" t="s">
        <v>47</v>
      </c>
      <c r="G561" s="53" t="s">
        <v>1205</v>
      </c>
      <c r="H561" s="53" t="s">
        <v>1206</v>
      </c>
      <c r="I561" s="53" t="s">
        <v>50</v>
      </c>
      <c r="J561" s="53" t="s">
        <v>51</v>
      </c>
      <c r="K561" s="73" t="s">
        <v>52</v>
      </c>
      <c r="L561" s="53" t="s">
        <v>53</v>
      </c>
      <c r="M561" s="53" t="s">
        <v>54</v>
      </c>
      <c r="N561" s="8" t="s">
        <v>137</v>
      </c>
      <c r="O561" s="8" t="s">
        <v>86</v>
      </c>
      <c r="P561" s="8" t="s">
        <v>211</v>
      </c>
      <c r="Q561" s="9" t="s">
        <v>111</v>
      </c>
      <c r="R561" s="8" t="s">
        <v>1609</v>
      </c>
      <c r="S561" s="8" t="s">
        <v>2349</v>
      </c>
      <c r="T561" s="10">
        <v>5.73016323214E11</v>
      </c>
      <c r="U561" s="53" t="s">
        <v>75</v>
      </c>
      <c r="V561" s="113"/>
      <c r="W561" s="113"/>
      <c r="X561" s="113"/>
      <c r="Y561" s="33">
        <v>45779.0</v>
      </c>
      <c r="Z561" s="28"/>
      <c r="AA561" s="28"/>
      <c r="AB561" s="28"/>
      <c r="AC561" s="28"/>
      <c r="AD561" s="28"/>
      <c r="AE561" s="28"/>
      <c r="AF561" s="29"/>
      <c r="AG561" s="29"/>
      <c r="AH561" s="30"/>
      <c r="AI561" s="31"/>
      <c r="AJ561" s="28"/>
      <c r="AK561" s="32"/>
      <c r="AL561" s="32"/>
      <c r="AM561" s="32"/>
      <c r="AN561" s="32"/>
      <c r="AO561" s="28"/>
      <c r="AP561" s="29"/>
    </row>
    <row r="562">
      <c r="A562" s="53" t="s">
        <v>2350</v>
      </c>
      <c r="B562" s="53" t="s">
        <v>2351</v>
      </c>
      <c r="C562" s="53" t="s">
        <v>1202</v>
      </c>
      <c r="D562" s="53" t="s">
        <v>1203</v>
      </c>
      <c r="E562" s="53" t="s">
        <v>1204</v>
      </c>
      <c r="F562" s="53" t="s">
        <v>47</v>
      </c>
      <c r="G562" s="53" t="s">
        <v>1205</v>
      </c>
      <c r="H562" s="53" t="s">
        <v>1206</v>
      </c>
      <c r="I562" s="53" t="s">
        <v>50</v>
      </c>
      <c r="J562" s="53" t="s">
        <v>51</v>
      </c>
      <c r="K562" s="73" t="s">
        <v>52</v>
      </c>
      <c r="L562" s="53" t="s">
        <v>53</v>
      </c>
      <c r="M562" s="53" t="s">
        <v>69</v>
      </c>
      <c r="N562" s="53" t="s">
        <v>55</v>
      </c>
      <c r="O562" s="53" t="s">
        <v>70</v>
      </c>
      <c r="P562" s="20" t="s">
        <v>211</v>
      </c>
      <c r="Q562" s="21" t="s">
        <v>94</v>
      </c>
      <c r="R562" s="20" t="s">
        <v>2352</v>
      </c>
      <c r="S562" s="20" t="s">
        <v>2353</v>
      </c>
      <c r="T562" s="22">
        <v>5.73116278926E11</v>
      </c>
      <c r="U562" s="53" t="s">
        <v>61</v>
      </c>
      <c r="V562" s="113"/>
      <c r="W562" s="113"/>
      <c r="X562" s="113"/>
      <c r="Y562" s="54">
        <v>5.0</v>
      </c>
      <c r="Z562" s="28"/>
      <c r="AA562" s="28"/>
      <c r="AB562" s="28"/>
      <c r="AC562" s="28"/>
      <c r="AD562" s="28"/>
      <c r="AE562" s="28"/>
      <c r="AF562" s="29"/>
      <c r="AG562" s="29"/>
      <c r="AH562" s="30"/>
      <c r="AI562" s="31"/>
      <c r="AJ562" s="28"/>
      <c r="AK562" s="32"/>
      <c r="AL562" s="32"/>
      <c r="AM562" s="32"/>
      <c r="AN562" s="32"/>
      <c r="AO562" s="28"/>
      <c r="AP562" s="29"/>
    </row>
    <row r="563">
      <c r="A563" s="53" t="s">
        <v>2354</v>
      </c>
      <c r="B563" s="53" t="s">
        <v>2355</v>
      </c>
      <c r="C563" s="53" t="s">
        <v>1202</v>
      </c>
      <c r="D563" s="53" t="s">
        <v>1203</v>
      </c>
      <c r="E563" s="53" t="s">
        <v>1204</v>
      </c>
      <c r="F563" s="53" t="s">
        <v>47</v>
      </c>
      <c r="G563" s="53" t="s">
        <v>1205</v>
      </c>
      <c r="H563" s="53" t="s">
        <v>1206</v>
      </c>
      <c r="I563" s="53" t="s">
        <v>50</v>
      </c>
      <c r="J563" s="53" t="s">
        <v>51</v>
      </c>
      <c r="K563" s="73" t="s">
        <v>52</v>
      </c>
      <c r="L563" s="53" t="s">
        <v>53</v>
      </c>
      <c r="M563" s="53" t="s">
        <v>69</v>
      </c>
      <c r="N563" s="53" t="s">
        <v>137</v>
      </c>
      <c r="O563" s="53" t="s">
        <v>70</v>
      </c>
      <c r="P563" s="20" t="s">
        <v>141</v>
      </c>
      <c r="Q563" s="21" t="s">
        <v>94</v>
      </c>
      <c r="R563" s="20" t="s">
        <v>512</v>
      </c>
      <c r="S563" s="20" t="s">
        <v>2356</v>
      </c>
      <c r="T563" s="22">
        <v>5.73013215605E11</v>
      </c>
      <c r="U563" s="53" t="s">
        <v>75</v>
      </c>
      <c r="V563" s="113"/>
      <c r="W563" s="113"/>
      <c r="X563" s="113"/>
      <c r="Y563" s="54">
        <v>5.0</v>
      </c>
      <c r="Z563" s="28"/>
      <c r="AA563" s="28"/>
      <c r="AB563" s="28"/>
      <c r="AC563" s="28"/>
      <c r="AD563" s="28"/>
      <c r="AE563" s="28"/>
      <c r="AF563" s="29"/>
      <c r="AG563" s="29"/>
      <c r="AH563" s="30"/>
      <c r="AI563" s="31"/>
      <c r="AJ563" s="28"/>
      <c r="AK563" s="32"/>
      <c r="AL563" s="32"/>
      <c r="AM563" s="32"/>
      <c r="AN563" s="32"/>
      <c r="AO563" s="28"/>
      <c r="AP563" s="29"/>
    </row>
    <row r="564">
      <c r="A564" s="53" t="s">
        <v>2357</v>
      </c>
      <c r="B564" s="53" t="s">
        <v>2358</v>
      </c>
      <c r="C564" s="53" t="s">
        <v>1202</v>
      </c>
      <c r="D564" s="53" t="s">
        <v>1203</v>
      </c>
      <c r="E564" s="53" t="s">
        <v>1204</v>
      </c>
      <c r="F564" s="53" t="s">
        <v>47</v>
      </c>
      <c r="G564" s="53" t="s">
        <v>1205</v>
      </c>
      <c r="H564" s="53" t="s">
        <v>1206</v>
      </c>
      <c r="I564" s="53" t="s">
        <v>50</v>
      </c>
      <c r="J564" s="53" t="s">
        <v>51</v>
      </c>
      <c r="K564" s="73" t="s">
        <v>52</v>
      </c>
      <c r="L564" s="53" t="s">
        <v>53</v>
      </c>
      <c r="M564" s="53" t="s">
        <v>54</v>
      </c>
      <c r="N564" s="53" t="s">
        <v>55</v>
      </c>
      <c r="O564" s="53" t="s">
        <v>70</v>
      </c>
      <c r="P564" s="20" t="s">
        <v>1989</v>
      </c>
      <c r="Q564" s="21" t="s">
        <v>72</v>
      </c>
      <c r="R564" s="20" t="s">
        <v>207</v>
      </c>
      <c r="S564" s="20" t="s">
        <v>2359</v>
      </c>
      <c r="T564" s="22">
        <v>5.73006284359E11</v>
      </c>
      <c r="U564" s="53" t="s">
        <v>61</v>
      </c>
      <c r="V564" s="113"/>
      <c r="W564" s="113"/>
      <c r="X564" s="113"/>
      <c r="Y564" s="54">
        <v>5.0</v>
      </c>
      <c r="Z564" s="13"/>
      <c r="AA564" s="13"/>
      <c r="AB564" s="13"/>
      <c r="AC564" s="13"/>
      <c r="AD564" s="13"/>
      <c r="AE564" s="13"/>
      <c r="AF564" s="14"/>
      <c r="AG564" s="14"/>
      <c r="AH564" s="15"/>
      <c r="AI564" s="16"/>
      <c r="AJ564" s="13"/>
      <c r="AK564" s="17"/>
      <c r="AL564" s="17"/>
      <c r="AM564" s="17"/>
      <c r="AN564" s="17"/>
      <c r="AO564" s="13"/>
      <c r="AP564" s="14"/>
    </row>
    <row r="565">
      <c r="A565" s="53" t="s">
        <v>2360</v>
      </c>
      <c r="B565" s="53" t="s">
        <v>2361</v>
      </c>
      <c r="C565" s="53" t="s">
        <v>1202</v>
      </c>
      <c r="D565" s="53" t="s">
        <v>1203</v>
      </c>
      <c r="E565" s="53" t="s">
        <v>1204</v>
      </c>
      <c r="F565" s="53" t="s">
        <v>47</v>
      </c>
      <c r="G565" s="53" t="s">
        <v>1205</v>
      </c>
      <c r="H565" s="53" t="s">
        <v>1206</v>
      </c>
      <c r="I565" s="53" t="s">
        <v>50</v>
      </c>
      <c r="J565" s="53" t="s">
        <v>51</v>
      </c>
      <c r="K565" s="73" t="s">
        <v>52</v>
      </c>
      <c r="L565" s="53" t="s">
        <v>53</v>
      </c>
      <c r="M565" s="53" t="s">
        <v>69</v>
      </c>
      <c r="N565" s="53" t="s">
        <v>55</v>
      </c>
      <c r="O565" s="53" t="s">
        <v>70</v>
      </c>
      <c r="P565" s="20" t="s">
        <v>2362</v>
      </c>
      <c r="Q565" s="21" t="s">
        <v>58</v>
      </c>
      <c r="R565" s="20" t="s">
        <v>2363</v>
      </c>
      <c r="S565" s="20" t="s">
        <v>2364</v>
      </c>
      <c r="T565" s="22">
        <v>5.73229026735E11</v>
      </c>
      <c r="U565" s="53" t="s">
        <v>75</v>
      </c>
      <c r="V565" s="113"/>
      <c r="W565" s="113"/>
      <c r="X565" s="113"/>
      <c r="Y565" s="54">
        <v>5.0</v>
      </c>
      <c r="Z565" s="13"/>
      <c r="AA565" s="13"/>
      <c r="AB565" s="13"/>
      <c r="AC565" s="13"/>
      <c r="AD565" s="13"/>
      <c r="AE565" s="13"/>
      <c r="AF565" s="14"/>
      <c r="AG565" s="14"/>
      <c r="AH565" s="15"/>
      <c r="AI565" s="16"/>
      <c r="AJ565" s="13"/>
      <c r="AK565" s="17"/>
      <c r="AL565" s="17"/>
      <c r="AM565" s="17"/>
      <c r="AN565" s="17"/>
      <c r="AO565" s="13"/>
      <c r="AP565" s="14"/>
    </row>
    <row r="566">
      <c r="A566" s="53" t="s">
        <v>2365</v>
      </c>
      <c r="B566" s="53" t="s">
        <v>2366</v>
      </c>
      <c r="C566" s="53" t="s">
        <v>1202</v>
      </c>
      <c r="D566" s="53" t="s">
        <v>1203</v>
      </c>
      <c r="E566" s="53" t="s">
        <v>1204</v>
      </c>
      <c r="F566" s="53" t="s">
        <v>47</v>
      </c>
      <c r="G566" s="53" t="s">
        <v>1205</v>
      </c>
      <c r="H566" s="53" t="s">
        <v>1206</v>
      </c>
      <c r="I566" s="53" t="s">
        <v>50</v>
      </c>
      <c r="J566" s="53" t="s">
        <v>51</v>
      </c>
      <c r="K566" s="73" t="s">
        <v>52</v>
      </c>
      <c r="L566" s="53" t="s">
        <v>53</v>
      </c>
      <c r="M566" s="53" t="s">
        <v>54</v>
      </c>
      <c r="N566" s="53" t="s">
        <v>137</v>
      </c>
      <c r="O566" s="53" t="s">
        <v>70</v>
      </c>
      <c r="P566" s="20" t="s">
        <v>317</v>
      </c>
      <c r="Q566" s="21" t="s">
        <v>72</v>
      </c>
      <c r="R566" s="20" t="s">
        <v>1162</v>
      </c>
      <c r="S566" s="20" t="s">
        <v>2367</v>
      </c>
      <c r="T566" s="22">
        <v>5.73212200574E11</v>
      </c>
      <c r="U566" s="53" t="s">
        <v>61</v>
      </c>
      <c r="V566" s="113"/>
      <c r="W566" s="113"/>
      <c r="X566" s="113"/>
      <c r="Y566" s="54">
        <v>5.0</v>
      </c>
      <c r="Z566" s="13"/>
      <c r="AA566" s="13"/>
      <c r="AB566" s="13"/>
      <c r="AC566" s="13"/>
      <c r="AD566" s="13"/>
      <c r="AE566" s="13"/>
      <c r="AF566" s="14"/>
      <c r="AG566" s="14"/>
      <c r="AH566" s="15"/>
      <c r="AI566" s="16"/>
      <c r="AJ566" s="13"/>
      <c r="AK566" s="17"/>
      <c r="AL566" s="17"/>
      <c r="AM566" s="17"/>
      <c r="AN566" s="17"/>
      <c r="AO566" s="13"/>
      <c r="AP566" s="14"/>
    </row>
    <row r="567">
      <c r="A567" s="53" t="s">
        <v>2368</v>
      </c>
      <c r="B567" s="53" t="s">
        <v>2369</v>
      </c>
      <c r="C567" s="53" t="s">
        <v>1202</v>
      </c>
      <c r="D567" s="53" t="s">
        <v>1203</v>
      </c>
      <c r="E567" s="53" t="s">
        <v>1204</v>
      </c>
      <c r="F567" s="53" t="s">
        <v>47</v>
      </c>
      <c r="G567" s="53" t="s">
        <v>1205</v>
      </c>
      <c r="H567" s="53" t="s">
        <v>1206</v>
      </c>
      <c r="I567" s="53" t="s">
        <v>50</v>
      </c>
      <c r="J567" s="53" t="s">
        <v>51</v>
      </c>
      <c r="K567" s="73" t="s">
        <v>52</v>
      </c>
      <c r="L567" s="53" t="s">
        <v>53</v>
      </c>
      <c r="M567" s="53" t="s">
        <v>69</v>
      </c>
      <c r="N567" s="53" t="s">
        <v>55</v>
      </c>
      <c r="O567" s="53" t="s">
        <v>70</v>
      </c>
      <c r="P567" s="20" t="s">
        <v>317</v>
      </c>
      <c r="Q567" s="21" t="s">
        <v>111</v>
      </c>
      <c r="R567" s="20" t="s">
        <v>914</v>
      </c>
      <c r="S567" s="20" t="s">
        <v>2370</v>
      </c>
      <c r="T567" s="22">
        <v>5.73162441886E11</v>
      </c>
      <c r="U567" s="53" t="s">
        <v>61</v>
      </c>
      <c r="V567" s="113"/>
      <c r="W567" s="113"/>
      <c r="X567" s="113"/>
      <c r="Y567" s="54">
        <v>5.0</v>
      </c>
      <c r="Z567" s="13"/>
      <c r="AA567" s="13"/>
      <c r="AB567" s="13"/>
      <c r="AC567" s="13"/>
      <c r="AD567" s="13"/>
      <c r="AE567" s="13"/>
      <c r="AF567" s="14"/>
      <c r="AG567" s="14"/>
      <c r="AH567" s="15"/>
      <c r="AI567" s="16"/>
      <c r="AJ567" s="13"/>
      <c r="AK567" s="17"/>
      <c r="AL567" s="17"/>
      <c r="AM567" s="17"/>
      <c r="AN567" s="17"/>
      <c r="AO567" s="13"/>
      <c r="AP567" s="14"/>
    </row>
    <row r="568">
      <c r="A568" s="8" t="s">
        <v>2371</v>
      </c>
      <c r="B568" s="8" t="s">
        <v>2372</v>
      </c>
      <c r="C568" s="8" t="s">
        <v>2373</v>
      </c>
      <c r="D568" s="8" t="s">
        <v>2374</v>
      </c>
      <c r="E568" s="8" t="s">
        <v>2375</v>
      </c>
      <c r="F568" s="8" t="s">
        <v>2376</v>
      </c>
      <c r="G568" s="8" t="s">
        <v>2377</v>
      </c>
      <c r="H568" s="8" t="s">
        <v>2378</v>
      </c>
      <c r="I568" s="8" t="s">
        <v>50</v>
      </c>
      <c r="J568" s="8" t="s">
        <v>51</v>
      </c>
      <c r="K568" s="9" t="s">
        <v>52</v>
      </c>
      <c r="L568" s="8" t="s">
        <v>84</v>
      </c>
      <c r="M568" s="8" t="s">
        <v>69</v>
      </c>
      <c r="N568" s="8" t="s">
        <v>137</v>
      </c>
      <c r="O568" s="8" t="s">
        <v>56</v>
      </c>
      <c r="P568" s="8" t="s">
        <v>2379</v>
      </c>
      <c r="Q568" s="8" t="s">
        <v>2380</v>
      </c>
      <c r="R568" s="8" t="s">
        <v>2381</v>
      </c>
      <c r="S568" s="8" t="s">
        <v>2382</v>
      </c>
      <c r="T568" s="10">
        <v>5.218118758369E12</v>
      </c>
      <c r="U568" s="8" t="s">
        <v>75</v>
      </c>
      <c r="V568" s="11"/>
      <c r="W568" s="11"/>
      <c r="X568" s="11"/>
      <c r="Y568" s="12" t="s">
        <v>62</v>
      </c>
      <c r="Z568" s="13"/>
      <c r="AA568" s="13"/>
      <c r="AB568" s="13"/>
      <c r="AC568" s="13"/>
      <c r="AD568" s="13"/>
      <c r="AE568" s="13"/>
      <c r="AF568" s="14"/>
      <c r="AG568" s="14"/>
      <c r="AH568" s="15"/>
      <c r="AI568" s="16"/>
      <c r="AJ568" s="13"/>
      <c r="AK568" s="17"/>
      <c r="AL568" s="17"/>
      <c r="AM568" s="17"/>
      <c r="AN568" s="17"/>
      <c r="AO568" s="13"/>
      <c r="AP568" s="14"/>
    </row>
    <row r="569">
      <c r="A569" s="53" t="s">
        <v>2383</v>
      </c>
      <c r="B569" s="53" t="s">
        <v>2384</v>
      </c>
      <c r="C569" s="53" t="s">
        <v>2373</v>
      </c>
      <c r="D569" s="53" t="s">
        <v>2374</v>
      </c>
      <c r="E569" s="53" t="s">
        <v>2375</v>
      </c>
      <c r="F569" s="53" t="s">
        <v>2376</v>
      </c>
      <c r="G569" s="53" t="s">
        <v>2377</v>
      </c>
      <c r="H569" s="53" t="s">
        <v>2378</v>
      </c>
      <c r="I569" s="53" t="s">
        <v>50</v>
      </c>
      <c r="J569" s="53" t="s">
        <v>51</v>
      </c>
      <c r="K569" s="73" t="s">
        <v>52</v>
      </c>
      <c r="L569" s="53" t="s">
        <v>84</v>
      </c>
      <c r="M569" s="53" t="s">
        <v>69</v>
      </c>
      <c r="N569" s="53" t="s">
        <v>55</v>
      </c>
      <c r="O569" s="53" t="s">
        <v>70</v>
      </c>
      <c r="P569" s="20" t="s">
        <v>104</v>
      </c>
      <c r="Q569" s="21" t="s">
        <v>111</v>
      </c>
      <c r="R569" s="20" t="s">
        <v>304</v>
      </c>
      <c r="S569" s="20" t="s">
        <v>2385</v>
      </c>
      <c r="T569" s="22">
        <v>5.73203392988E11</v>
      </c>
      <c r="U569" s="53" t="s">
        <v>75</v>
      </c>
      <c r="V569" s="113"/>
      <c r="W569" s="113"/>
      <c r="X569" s="113"/>
      <c r="Y569" s="54">
        <v>5.0</v>
      </c>
      <c r="Z569" s="28"/>
      <c r="AA569" s="28"/>
      <c r="AB569" s="28"/>
      <c r="AC569" s="28"/>
      <c r="AD569" s="28"/>
      <c r="AE569" s="28"/>
      <c r="AF569" s="29"/>
      <c r="AG569" s="29"/>
      <c r="AH569" s="30"/>
      <c r="AI569" s="31"/>
      <c r="AJ569" s="28"/>
      <c r="AK569" s="32"/>
      <c r="AL569" s="32"/>
      <c r="AM569" s="32"/>
      <c r="AN569" s="32"/>
      <c r="AO569" s="28"/>
      <c r="AP569" s="29"/>
    </row>
    <row r="570">
      <c r="A570" s="53" t="s">
        <v>2386</v>
      </c>
      <c r="B570" s="53" t="s">
        <v>2387</v>
      </c>
      <c r="C570" s="53" t="s">
        <v>2373</v>
      </c>
      <c r="D570" s="53" t="s">
        <v>2374</v>
      </c>
      <c r="E570" s="53" t="s">
        <v>2375</v>
      </c>
      <c r="F570" s="53" t="s">
        <v>2376</v>
      </c>
      <c r="G570" s="53" t="s">
        <v>2377</v>
      </c>
      <c r="H570" s="53" t="s">
        <v>2378</v>
      </c>
      <c r="I570" s="53" t="s">
        <v>50</v>
      </c>
      <c r="J570" s="53" t="s">
        <v>51</v>
      </c>
      <c r="K570" s="73" t="s">
        <v>52</v>
      </c>
      <c r="L570" s="53" t="s">
        <v>84</v>
      </c>
      <c r="M570" s="53" t="s">
        <v>69</v>
      </c>
      <c r="N570" s="53" t="s">
        <v>55</v>
      </c>
      <c r="O570" s="53" t="s">
        <v>70</v>
      </c>
      <c r="P570" s="20" t="s">
        <v>1392</v>
      </c>
      <c r="Q570" s="21" t="s">
        <v>111</v>
      </c>
      <c r="R570" s="20" t="s">
        <v>123</v>
      </c>
      <c r="S570" s="20" t="s">
        <v>2388</v>
      </c>
      <c r="T570" s="22">
        <v>5.73143836911E11</v>
      </c>
      <c r="U570" s="53" t="s">
        <v>75</v>
      </c>
      <c r="V570" s="113"/>
      <c r="W570" s="113"/>
      <c r="X570" s="113"/>
      <c r="Y570" s="54">
        <v>5.0</v>
      </c>
      <c r="Z570" s="28"/>
      <c r="AA570" s="28"/>
      <c r="AB570" s="28"/>
      <c r="AC570" s="28"/>
      <c r="AD570" s="28"/>
      <c r="AE570" s="28"/>
      <c r="AF570" s="29"/>
      <c r="AG570" s="29"/>
      <c r="AH570" s="30"/>
      <c r="AI570" s="31"/>
      <c r="AJ570" s="28"/>
      <c r="AK570" s="32"/>
      <c r="AL570" s="32"/>
      <c r="AM570" s="32"/>
      <c r="AN570" s="32"/>
      <c r="AO570" s="28"/>
      <c r="AP570" s="29"/>
    </row>
    <row r="571">
      <c r="A571" s="8" t="s">
        <v>2389</v>
      </c>
      <c r="B571" s="8" t="s">
        <v>2390</v>
      </c>
      <c r="C571" s="8" t="s">
        <v>2373</v>
      </c>
      <c r="D571" s="8" t="s">
        <v>2374</v>
      </c>
      <c r="E571" s="8" t="s">
        <v>2375</v>
      </c>
      <c r="F571" s="8" t="s">
        <v>2376</v>
      </c>
      <c r="G571" s="8" t="s">
        <v>2377</v>
      </c>
      <c r="H571" s="8" t="s">
        <v>2378</v>
      </c>
      <c r="I571" s="8" t="s">
        <v>50</v>
      </c>
      <c r="J571" s="8" t="s">
        <v>51</v>
      </c>
      <c r="K571" s="9" t="s">
        <v>52</v>
      </c>
      <c r="L571" s="8" t="s">
        <v>84</v>
      </c>
      <c r="M571" s="8" t="s">
        <v>69</v>
      </c>
      <c r="N571" s="8" t="s">
        <v>55</v>
      </c>
      <c r="O571" s="8" t="s">
        <v>86</v>
      </c>
      <c r="P571" s="8" t="s">
        <v>2391</v>
      </c>
      <c r="Q571" s="8" t="s">
        <v>288</v>
      </c>
      <c r="R571" s="8" t="s">
        <v>1162</v>
      </c>
      <c r="S571" s="8" t="s">
        <v>2392</v>
      </c>
      <c r="T571" s="10">
        <v>5.219991180974E12</v>
      </c>
      <c r="U571" s="8" t="s">
        <v>2101</v>
      </c>
      <c r="V571" s="11"/>
      <c r="W571" s="11"/>
      <c r="X571" s="11"/>
      <c r="Y571" s="33">
        <v>45779.0</v>
      </c>
      <c r="Z571" s="13"/>
      <c r="AA571" s="13"/>
      <c r="AB571" s="13"/>
      <c r="AC571" s="13"/>
      <c r="AD571" s="13"/>
      <c r="AE571" s="13"/>
      <c r="AF571" s="14"/>
      <c r="AG571" s="14"/>
      <c r="AH571" s="15"/>
      <c r="AI571" s="16"/>
      <c r="AJ571" s="13"/>
      <c r="AK571" s="17"/>
      <c r="AL571" s="17"/>
      <c r="AM571" s="17"/>
      <c r="AN571" s="17"/>
      <c r="AO571" s="13"/>
      <c r="AP571" s="14"/>
    </row>
    <row r="572">
      <c r="A572" s="53" t="s">
        <v>2393</v>
      </c>
      <c r="B572" s="53" t="s">
        <v>2394</v>
      </c>
      <c r="C572" s="53" t="s">
        <v>2373</v>
      </c>
      <c r="D572" s="53" t="s">
        <v>2374</v>
      </c>
      <c r="E572" s="53" t="s">
        <v>2375</v>
      </c>
      <c r="F572" s="53" t="s">
        <v>2376</v>
      </c>
      <c r="G572" s="53" t="s">
        <v>2377</v>
      </c>
      <c r="H572" s="53" t="s">
        <v>2378</v>
      </c>
      <c r="I572" s="53" t="s">
        <v>50</v>
      </c>
      <c r="J572" s="53" t="s">
        <v>51</v>
      </c>
      <c r="K572" s="73" t="s">
        <v>52</v>
      </c>
      <c r="L572" s="53" t="s">
        <v>84</v>
      </c>
      <c r="M572" s="53" t="s">
        <v>69</v>
      </c>
      <c r="N572" s="53" t="s">
        <v>55</v>
      </c>
      <c r="O572" s="53" t="s">
        <v>70</v>
      </c>
      <c r="P572" s="20" t="s">
        <v>141</v>
      </c>
      <c r="Q572" s="21" t="s">
        <v>111</v>
      </c>
      <c r="R572" s="20" t="s">
        <v>2395</v>
      </c>
      <c r="S572" s="20" t="s">
        <v>2396</v>
      </c>
      <c r="T572" s="22">
        <v>5.73125277104E11</v>
      </c>
      <c r="U572" s="53" t="s">
        <v>75</v>
      </c>
      <c r="V572" s="113"/>
      <c r="W572" s="113"/>
      <c r="X572" s="113"/>
      <c r="Y572" s="54">
        <v>5.0</v>
      </c>
      <c r="Z572" s="28"/>
      <c r="AA572" s="28"/>
      <c r="AB572" s="28"/>
      <c r="AC572" s="28"/>
      <c r="AD572" s="28"/>
      <c r="AE572" s="28"/>
      <c r="AF572" s="29"/>
      <c r="AG572" s="29"/>
      <c r="AH572" s="30"/>
      <c r="AI572" s="31"/>
      <c r="AJ572" s="28"/>
      <c r="AK572" s="32"/>
      <c r="AL572" s="32"/>
      <c r="AM572" s="32"/>
      <c r="AN572" s="32"/>
      <c r="AO572" s="28"/>
      <c r="AP572" s="29"/>
    </row>
    <row r="573">
      <c r="A573" s="53" t="s">
        <v>2397</v>
      </c>
      <c r="B573" s="53" t="s">
        <v>2398</v>
      </c>
      <c r="C573" s="53" t="s">
        <v>2373</v>
      </c>
      <c r="D573" s="53" t="s">
        <v>2374</v>
      </c>
      <c r="E573" s="53" t="s">
        <v>2375</v>
      </c>
      <c r="F573" s="53" t="s">
        <v>2376</v>
      </c>
      <c r="G573" s="53" t="s">
        <v>2377</v>
      </c>
      <c r="H573" s="53" t="s">
        <v>2378</v>
      </c>
      <c r="I573" s="53" t="s">
        <v>50</v>
      </c>
      <c r="J573" s="53" t="s">
        <v>51</v>
      </c>
      <c r="K573" s="73" t="s">
        <v>52</v>
      </c>
      <c r="L573" s="53" t="s">
        <v>84</v>
      </c>
      <c r="M573" s="53" t="s">
        <v>69</v>
      </c>
      <c r="N573" s="53" t="s">
        <v>55</v>
      </c>
      <c r="O573" s="53" t="s">
        <v>70</v>
      </c>
      <c r="P573" s="20" t="s">
        <v>116</v>
      </c>
      <c r="Q573" s="21" t="s">
        <v>111</v>
      </c>
      <c r="R573" s="20" t="s">
        <v>918</v>
      </c>
      <c r="S573" s="20" t="s">
        <v>2399</v>
      </c>
      <c r="T573" s="22">
        <v>5.73007051973E11</v>
      </c>
      <c r="U573" s="53" t="s">
        <v>75</v>
      </c>
      <c r="V573" s="113"/>
      <c r="W573" s="113"/>
      <c r="X573" s="113"/>
      <c r="Y573" s="54">
        <v>5.0</v>
      </c>
      <c r="Z573" s="34"/>
      <c r="AA573" s="34"/>
      <c r="AB573" s="34"/>
      <c r="AC573" s="34"/>
      <c r="AD573" s="34"/>
      <c r="AE573" s="34"/>
      <c r="AF573" s="35"/>
      <c r="AG573" s="35"/>
      <c r="AH573" s="36"/>
      <c r="AI573" s="37"/>
      <c r="AJ573" s="34"/>
      <c r="AK573" s="38"/>
      <c r="AL573" s="38"/>
      <c r="AM573" s="38"/>
      <c r="AN573" s="38"/>
      <c r="AO573" s="34"/>
      <c r="AP573" s="35"/>
    </row>
    <row r="574">
      <c r="A574" s="53" t="s">
        <v>2400</v>
      </c>
      <c r="B574" s="53" t="s">
        <v>2401</v>
      </c>
      <c r="C574" s="53" t="s">
        <v>1202</v>
      </c>
      <c r="D574" s="53" t="s">
        <v>1203</v>
      </c>
      <c r="E574" s="53" t="s">
        <v>1204</v>
      </c>
      <c r="F574" s="53" t="s">
        <v>47</v>
      </c>
      <c r="G574" s="53" t="s">
        <v>1205</v>
      </c>
      <c r="H574" s="53" t="s">
        <v>1206</v>
      </c>
      <c r="I574" s="53" t="s">
        <v>50</v>
      </c>
      <c r="J574" s="53" t="s">
        <v>51</v>
      </c>
      <c r="K574" s="73" t="s">
        <v>52</v>
      </c>
      <c r="L574" s="53" t="s">
        <v>53</v>
      </c>
      <c r="M574" s="53" t="s">
        <v>54</v>
      </c>
      <c r="N574" s="53" t="s">
        <v>55</v>
      </c>
      <c r="O574" s="53" t="s">
        <v>86</v>
      </c>
      <c r="P574" s="20" t="s">
        <v>639</v>
      </c>
      <c r="Q574" s="21" t="s">
        <v>105</v>
      </c>
      <c r="R574" s="20" t="s">
        <v>207</v>
      </c>
      <c r="S574" s="20" t="s">
        <v>2402</v>
      </c>
      <c r="T574" s="22">
        <v>5.73145368607E11</v>
      </c>
      <c r="U574" s="53" t="s">
        <v>61</v>
      </c>
      <c r="V574" s="113"/>
      <c r="W574" s="113"/>
      <c r="X574" s="113"/>
      <c r="Y574" s="99">
        <v>45779.0</v>
      </c>
      <c r="Z574" s="28"/>
      <c r="AA574" s="28"/>
      <c r="AB574" s="28"/>
      <c r="AC574" s="28"/>
      <c r="AD574" s="28"/>
      <c r="AE574" s="28"/>
      <c r="AF574" s="29"/>
      <c r="AG574" s="29"/>
      <c r="AH574" s="30"/>
      <c r="AI574" s="31"/>
      <c r="AJ574" s="28"/>
      <c r="AK574" s="32"/>
      <c r="AL574" s="32"/>
      <c r="AM574" s="32"/>
      <c r="AN574" s="32"/>
      <c r="AO574" s="28"/>
      <c r="AP574" s="29"/>
    </row>
    <row r="575">
      <c r="A575" s="53" t="s">
        <v>2403</v>
      </c>
      <c r="B575" s="53" t="s">
        <v>2404</v>
      </c>
      <c r="C575" s="53" t="s">
        <v>788</v>
      </c>
      <c r="D575" s="53" t="s">
        <v>789</v>
      </c>
      <c r="E575" s="53" t="s">
        <v>619</v>
      </c>
      <c r="F575" s="53" t="s">
        <v>620</v>
      </c>
      <c r="G575" s="53" t="s">
        <v>621</v>
      </c>
      <c r="H575" s="53" t="s">
        <v>622</v>
      </c>
      <c r="I575" s="53" t="s">
        <v>50</v>
      </c>
      <c r="J575" s="53" t="s">
        <v>51</v>
      </c>
      <c r="K575" s="73" t="s">
        <v>52</v>
      </c>
      <c r="L575" s="53" t="s">
        <v>53</v>
      </c>
      <c r="M575" s="53" t="s">
        <v>69</v>
      </c>
      <c r="N575" s="53" t="s">
        <v>137</v>
      </c>
      <c r="O575" s="53" t="s">
        <v>70</v>
      </c>
      <c r="P575" s="20" t="s">
        <v>2040</v>
      </c>
      <c r="Q575" s="21" t="s">
        <v>72</v>
      </c>
      <c r="R575" s="20" t="s">
        <v>154</v>
      </c>
      <c r="S575" s="20" t="s">
        <v>2405</v>
      </c>
      <c r="T575" s="22">
        <v>5.73142059701E11</v>
      </c>
      <c r="U575" s="53" t="s">
        <v>2406</v>
      </c>
      <c r="V575" s="113"/>
      <c r="W575" s="113"/>
      <c r="X575" s="113"/>
      <c r="Y575" s="54">
        <v>5.0</v>
      </c>
      <c r="Z575" s="28"/>
      <c r="AA575" s="28"/>
      <c r="AB575" s="28"/>
      <c r="AC575" s="28"/>
      <c r="AD575" s="28"/>
      <c r="AE575" s="28"/>
      <c r="AF575" s="29"/>
      <c r="AG575" s="29"/>
      <c r="AH575" s="30"/>
      <c r="AI575" s="31"/>
      <c r="AJ575" s="28"/>
      <c r="AK575" s="32"/>
      <c r="AL575" s="32"/>
      <c r="AM575" s="32"/>
      <c r="AN575" s="32"/>
      <c r="AO575" s="28"/>
      <c r="AP575" s="29"/>
    </row>
    <row r="576">
      <c r="A576" s="53" t="s">
        <v>2407</v>
      </c>
      <c r="B576" s="53" t="s">
        <v>2408</v>
      </c>
      <c r="C576" s="53" t="s">
        <v>2409</v>
      </c>
      <c r="D576" s="53" t="s">
        <v>1203</v>
      </c>
      <c r="E576" s="53" t="s">
        <v>2410</v>
      </c>
      <c r="F576" s="53" t="s">
        <v>2411</v>
      </c>
      <c r="G576" s="53" t="s">
        <v>1205</v>
      </c>
      <c r="H576" s="53" t="s">
        <v>1206</v>
      </c>
      <c r="I576" s="53" t="s">
        <v>50</v>
      </c>
      <c r="J576" s="53" t="s">
        <v>51</v>
      </c>
      <c r="K576" s="73" t="s">
        <v>52</v>
      </c>
      <c r="L576" s="53" t="s">
        <v>53</v>
      </c>
      <c r="M576" s="53" t="s">
        <v>54</v>
      </c>
      <c r="N576" s="53" t="s">
        <v>137</v>
      </c>
      <c r="O576" s="53" t="s">
        <v>70</v>
      </c>
      <c r="P576" s="20" t="s">
        <v>2412</v>
      </c>
      <c r="Q576" s="21" t="s">
        <v>735</v>
      </c>
      <c r="R576" s="20" t="s">
        <v>1055</v>
      </c>
      <c r="S576" s="20" t="s">
        <v>2413</v>
      </c>
      <c r="T576" s="22">
        <v>5.73114190237E11</v>
      </c>
      <c r="U576" s="53" t="s">
        <v>61</v>
      </c>
      <c r="V576" s="113"/>
      <c r="W576" s="113"/>
      <c r="X576" s="113"/>
      <c r="Y576" s="54">
        <v>5.0</v>
      </c>
      <c r="Z576" s="13"/>
      <c r="AA576" s="13"/>
      <c r="AB576" s="13"/>
      <c r="AC576" s="13"/>
      <c r="AD576" s="13"/>
      <c r="AE576" s="13"/>
      <c r="AF576" s="14"/>
      <c r="AG576" s="14"/>
      <c r="AH576" s="15"/>
      <c r="AI576" s="16"/>
      <c r="AJ576" s="13"/>
      <c r="AK576" s="17"/>
      <c r="AL576" s="17"/>
      <c r="AM576" s="17"/>
      <c r="AN576" s="17"/>
      <c r="AO576" s="13"/>
      <c r="AP576" s="14"/>
    </row>
    <row r="577">
      <c r="A577" s="53" t="s">
        <v>2414</v>
      </c>
      <c r="B577" s="53" t="s">
        <v>2415</v>
      </c>
      <c r="C577" s="53" t="s">
        <v>2409</v>
      </c>
      <c r="D577" s="53" t="s">
        <v>1203</v>
      </c>
      <c r="E577" s="53" t="s">
        <v>2410</v>
      </c>
      <c r="F577" s="53" t="s">
        <v>2411</v>
      </c>
      <c r="G577" s="53" t="s">
        <v>1205</v>
      </c>
      <c r="H577" s="53" t="s">
        <v>1206</v>
      </c>
      <c r="I577" s="53" t="s">
        <v>50</v>
      </c>
      <c r="J577" s="53" t="s">
        <v>51</v>
      </c>
      <c r="K577" s="73" t="s">
        <v>52</v>
      </c>
      <c r="L577" s="53" t="s">
        <v>53</v>
      </c>
      <c r="M577" s="53" t="s">
        <v>69</v>
      </c>
      <c r="N577" s="53" t="s">
        <v>55</v>
      </c>
      <c r="O577" s="53" t="s">
        <v>70</v>
      </c>
      <c r="P577" s="20" t="s">
        <v>141</v>
      </c>
      <c r="Q577" s="21" t="s">
        <v>111</v>
      </c>
      <c r="R577" s="20" t="s">
        <v>2416</v>
      </c>
      <c r="S577" s="20" t="s">
        <v>2417</v>
      </c>
      <c r="T577" s="22">
        <v>5.732056795E11</v>
      </c>
      <c r="U577" s="53" t="s">
        <v>61</v>
      </c>
      <c r="V577" s="113"/>
      <c r="W577" s="113"/>
      <c r="X577" s="113"/>
      <c r="Y577" s="54">
        <v>5.0</v>
      </c>
      <c r="Z577" s="28"/>
      <c r="AA577" s="28"/>
      <c r="AB577" s="28"/>
      <c r="AC577" s="28"/>
      <c r="AD577" s="28"/>
      <c r="AE577" s="28"/>
      <c r="AF577" s="29"/>
      <c r="AG577" s="29"/>
      <c r="AH577" s="30"/>
      <c r="AI577" s="31"/>
      <c r="AJ577" s="28"/>
      <c r="AK577" s="32"/>
      <c r="AL577" s="32"/>
      <c r="AM577" s="32"/>
      <c r="AN577" s="32"/>
      <c r="AO577" s="28"/>
      <c r="AP577" s="29"/>
    </row>
    <row r="578">
      <c r="A578" s="53" t="s">
        <v>2418</v>
      </c>
      <c r="B578" s="53" t="s">
        <v>2419</v>
      </c>
      <c r="C578" s="53" t="s">
        <v>1202</v>
      </c>
      <c r="D578" s="53" t="s">
        <v>1203</v>
      </c>
      <c r="E578" s="53" t="s">
        <v>1204</v>
      </c>
      <c r="F578" s="53" t="s">
        <v>47</v>
      </c>
      <c r="G578" s="53" t="s">
        <v>1205</v>
      </c>
      <c r="H578" s="53" t="s">
        <v>1206</v>
      </c>
      <c r="I578" s="53" t="s">
        <v>50</v>
      </c>
      <c r="J578" s="53" t="s">
        <v>51</v>
      </c>
      <c r="K578" s="73" t="s">
        <v>52</v>
      </c>
      <c r="L578" s="53" t="s">
        <v>53</v>
      </c>
      <c r="M578" s="53" t="s">
        <v>54</v>
      </c>
      <c r="N578" s="53" t="s">
        <v>137</v>
      </c>
      <c r="O578" s="53" t="s">
        <v>70</v>
      </c>
      <c r="P578" s="20" t="s">
        <v>282</v>
      </c>
      <c r="Q578" s="21" t="s">
        <v>94</v>
      </c>
      <c r="R578" s="20" t="s">
        <v>2420</v>
      </c>
      <c r="S578" s="20" t="s">
        <v>2421</v>
      </c>
      <c r="T578" s="22">
        <v>5.73223698725E11</v>
      </c>
      <c r="U578" s="53" t="s">
        <v>61</v>
      </c>
      <c r="V578" s="113"/>
      <c r="W578" s="113"/>
      <c r="X578" s="113"/>
      <c r="Y578" s="54">
        <v>5.0</v>
      </c>
      <c r="Z578" s="28"/>
      <c r="AA578" s="28"/>
      <c r="AB578" s="28"/>
      <c r="AC578" s="28"/>
      <c r="AD578" s="28"/>
      <c r="AE578" s="28"/>
      <c r="AF578" s="29"/>
      <c r="AG578" s="29"/>
      <c r="AH578" s="30"/>
      <c r="AI578" s="31"/>
      <c r="AJ578" s="28"/>
      <c r="AK578" s="32"/>
      <c r="AL578" s="32"/>
      <c r="AM578" s="32"/>
      <c r="AN578" s="32"/>
      <c r="AO578" s="28"/>
      <c r="AP578" s="29"/>
    </row>
    <row r="579">
      <c r="A579" s="53" t="s">
        <v>2422</v>
      </c>
      <c r="B579" s="53" t="s">
        <v>2423</v>
      </c>
      <c r="C579" s="53" t="s">
        <v>1202</v>
      </c>
      <c r="D579" s="53" t="s">
        <v>1203</v>
      </c>
      <c r="E579" s="53" t="s">
        <v>1204</v>
      </c>
      <c r="F579" s="53" t="s">
        <v>47</v>
      </c>
      <c r="G579" s="53" t="s">
        <v>1205</v>
      </c>
      <c r="H579" s="53" t="s">
        <v>1206</v>
      </c>
      <c r="I579" s="53" t="s">
        <v>50</v>
      </c>
      <c r="J579" s="53" t="s">
        <v>51</v>
      </c>
      <c r="K579" s="73" t="s">
        <v>52</v>
      </c>
      <c r="L579" s="53" t="s">
        <v>53</v>
      </c>
      <c r="M579" s="53" t="s">
        <v>54</v>
      </c>
      <c r="N579" s="53" t="s">
        <v>85</v>
      </c>
      <c r="O579" s="53" t="s">
        <v>86</v>
      </c>
      <c r="P579" s="20" t="s">
        <v>132</v>
      </c>
      <c r="Q579" s="21" t="s">
        <v>111</v>
      </c>
      <c r="R579" s="20" t="s">
        <v>278</v>
      </c>
      <c r="S579" s="20" t="s">
        <v>2424</v>
      </c>
      <c r="T579" s="22">
        <v>5.73226365679E11</v>
      </c>
      <c r="U579" s="53" t="s">
        <v>75</v>
      </c>
      <c r="V579" s="113"/>
      <c r="W579" s="113"/>
      <c r="X579" s="113"/>
      <c r="Y579" s="99">
        <v>45779.0</v>
      </c>
      <c r="Z579" s="34"/>
      <c r="AA579" s="34"/>
      <c r="AB579" s="34"/>
      <c r="AC579" s="34"/>
      <c r="AD579" s="34"/>
      <c r="AE579" s="34"/>
      <c r="AF579" s="35"/>
      <c r="AG579" s="35"/>
      <c r="AH579" s="36"/>
      <c r="AI579" s="37"/>
      <c r="AJ579" s="34"/>
      <c r="AK579" s="38"/>
      <c r="AL579" s="38"/>
      <c r="AM579" s="38"/>
      <c r="AN579" s="38"/>
      <c r="AO579" s="34"/>
      <c r="AP579" s="35"/>
    </row>
    <row r="580">
      <c r="A580" s="53" t="s">
        <v>2425</v>
      </c>
      <c r="B580" s="53" t="s">
        <v>2426</v>
      </c>
      <c r="C580" s="53" t="s">
        <v>1202</v>
      </c>
      <c r="D580" s="53" t="s">
        <v>1203</v>
      </c>
      <c r="E580" s="53" t="s">
        <v>1204</v>
      </c>
      <c r="F580" s="53" t="s">
        <v>47</v>
      </c>
      <c r="G580" s="53" t="s">
        <v>1205</v>
      </c>
      <c r="H580" s="53" t="s">
        <v>1206</v>
      </c>
      <c r="I580" s="53" t="s">
        <v>50</v>
      </c>
      <c r="J580" s="53" t="s">
        <v>51</v>
      </c>
      <c r="K580" s="73" t="s">
        <v>52</v>
      </c>
      <c r="L580" s="53" t="s">
        <v>53</v>
      </c>
      <c r="M580" s="53" t="s">
        <v>69</v>
      </c>
      <c r="N580" s="53" t="s">
        <v>55</v>
      </c>
      <c r="O580" s="53" t="s">
        <v>70</v>
      </c>
      <c r="P580" s="20" t="s">
        <v>2427</v>
      </c>
      <c r="Q580" s="21" t="s">
        <v>58</v>
      </c>
      <c r="R580" s="20" t="s">
        <v>173</v>
      </c>
      <c r="S580" s="20" t="s">
        <v>2428</v>
      </c>
      <c r="T580" s="22">
        <v>5.73103689046E11</v>
      </c>
      <c r="U580" s="53" t="s">
        <v>61</v>
      </c>
      <c r="V580" s="113"/>
      <c r="W580" s="113"/>
      <c r="X580" s="113"/>
      <c r="Y580" s="54">
        <v>5.0</v>
      </c>
      <c r="Z580" s="28"/>
      <c r="AA580" s="28"/>
      <c r="AB580" s="28"/>
      <c r="AC580" s="28"/>
      <c r="AD580" s="28"/>
      <c r="AE580" s="28"/>
      <c r="AF580" s="29"/>
      <c r="AG580" s="29"/>
      <c r="AH580" s="30"/>
      <c r="AI580" s="31"/>
      <c r="AJ580" s="28"/>
      <c r="AK580" s="32"/>
      <c r="AL580" s="32"/>
      <c r="AM580" s="32"/>
      <c r="AN580" s="32"/>
      <c r="AO580" s="28"/>
      <c r="AP580" s="29"/>
    </row>
    <row r="581">
      <c r="A581" s="53" t="s">
        <v>2429</v>
      </c>
      <c r="B581" s="53" t="s">
        <v>2430</v>
      </c>
      <c r="C581" s="53" t="s">
        <v>788</v>
      </c>
      <c r="D581" s="53" t="s">
        <v>789</v>
      </c>
      <c r="E581" s="53" t="s">
        <v>619</v>
      </c>
      <c r="F581" s="53" t="s">
        <v>620</v>
      </c>
      <c r="G581" s="53" t="s">
        <v>621</v>
      </c>
      <c r="H581" s="53" t="s">
        <v>622</v>
      </c>
      <c r="I581" s="53" t="s">
        <v>50</v>
      </c>
      <c r="J581" s="53" t="s">
        <v>51</v>
      </c>
      <c r="K581" s="73" t="s">
        <v>52</v>
      </c>
      <c r="L581" s="53" t="s">
        <v>53</v>
      </c>
      <c r="M581" s="53" t="s">
        <v>69</v>
      </c>
      <c r="N581" s="53" t="s">
        <v>137</v>
      </c>
      <c r="O581" s="53" t="s">
        <v>70</v>
      </c>
      <c r="P581" s="20" t="s">
        <v>2431</v>
      </c>
      <c r="Q581" s="21" t="s">
        <v>111</v>
      </c>
      <c r="R581" s="20" t="s">
        <v>2432</v>
      </c>
      <c r="S581" s="20" t="s">
        <v>2433</v>
      </c>
      <c r="T581" s="22">
        <v>5.73108849264E11</v>
      </c>
      <c r="U581" s="53" t="s">
        <v>75</v>
      </c>
      <c r="V581" s="113"/>
      <c r="W581" s="113"/>
      <c r="X581" s="113"/>
      <c r="Y581" s="54">
        <v>5.0</v>
      </c>
      <c r="Z581" s="13"/>
      <c r="AA581" s="13"/>
      <c r="AB581" s="13"/>
      <c r="AC581" s="13"/>
      <c r="AD581" s="13"/>
      <c r="AE581" s="13"/>
      <c r="AF581" s="14"/>
      <c r="AG581" s="14"/>
      <c r="AH581" s="15"/>
      <c r="AI581" s="16"/>
      <c r="AJ581" s="13"/>
      <c r="AK581" s="17"/>
      <c r="AL581" s="17"/>
      <c r="AM581" s="17"/>
      <c r="AN581" s="17"/>
      <c r="AO581" s="13"/>
      <c r="AP581" s="14"/>
    </row>
    <row r="582">
      <c r="A582" s="53" t="s">
        <v>2434</v>
      </c>
      <c r="B582" s="53" t="s">
        <v>2435</v>
      </c>
      <c r="C582" s="53" t="s">
        <v>788</v>
      </c>
      <c r="D582" s="53" t="s">
        <v>789</v>
      </c>
      <c r="E582" s="53" t="s">
        <v>619</v>
      </c>
      <c r="F582" s="53" t="s">
        <v>620</v>
      </c>
      <c r="G582" s="53" t="s">
        <v>621</v>
      </c>
      <c r="H582" s="53" t="s">
        <v>622</v>
      </c>
      <c r="I582" s="53" t="s">
        <v>50</v>
      </c>
      <c r="J582" s="53" t="s">
        <v>51</v>
      </c>
      <c r="K582" s="73" t="s">
        <v>52</v>
      </c>
      <c r="L582" s="53" t="s">
        <v>53</v>
      </c>
      <c r="M582" s="53" t="s">
        <v>54</v>
      </c>
      <c r="N582" s="53" t="s">
        <v>55</v>
      </c>
      <c r="O582" s="53" t="s">
        <v>70</v>
      </c>
      <c r="P582" s="20" t="s">
        <v>2436</v>
      </c>
      <c r="Q582" s="21" t="s">
        <v>111</v>
      </c>
      <c r="R582" s="20" t="s">
        <v>2437</v>
      </c>
      <c r="S582" s="20" t="s">
        <v>2438</v>
      </c>
      <c r="T582" s="22">
        <v>5.73187878796E11</v>
      </c>
      <c r="U582" s="53" t="s">
        <v>75</v>
      </c>
      <c r="V582" s="113"/>
      <c r="W582" s="113"/>
      <c r="X582" s="113"/>
      <c r="Y582" s="54">
        <v>5.0</v>
      </c>
      <c r="Z582" s="13"/>
      <c r="AA582" s="13"/>
      <c r="AB582" s="13"/>
      <c r="AC582" s="13"/>
      <c r="AD582" s="13"/>
      <c r="AE582" s="13"/>
      <c r="AF582" s="14"/>
      <c r="AG582" s="14"/>
      <c r="AH582" s="15"/>
      <c r="AI582" s="16"/>
      <c r="AJ582" s="13"/>
      <c r="AK582" s="17"/>
      <c r="AL582" s="17"/>
      <c r="AM582" s="17"/>
      <c r="AN582" s="17"/>
      <c r="AO582" s="13"/>
      <c r="AP582" s="14"/>
    </row>
    <row r="583">
      <c r="A583" s="53" t="s">
        <v>2439</v>
      </c>
      <c r="B583" s="53" t="s">
        <v>2440</v>
      </c>
      <c r="C583" s="53" t="s">
        <v>2409</v>
      </c>
      <c r="D583" s="53" t="s">
        <v>1203</v>
      </c>
      <c r="E583" s="53" t="s">
        <v>2410</v>
      </c>
      <c r="F583" s="53" t="s">
        <v>2411</v>
      </c>
      <c r="G583" s="53" t="s">
        <v>1205</v>
      </c>
      <c r="H583" s="53" t="s">
        <v>1206</v>
      </c>
      <c r="I583" s="53" t="s">
        <v>50</v>
      </c>
      <c r="J583" s="53" t="s">
        <v>51</v>
      </c>
      <c r="K583" s="73" t="s">
        <v>52</v>
      </c>
      <c r="L583" s="53" t="s">
        <v>53</v>
      </c>
      <c r="M583" s="53" t="s">
        <v>69</v>
      </c>
      <c r="N583" s="53" t="s">
        <v>55</v>
      </c>
      <c r="O583" s="53" t="s">
        <v>70</v>
      </c>
      <c r="P583" s="20" t="s">
        <v>232</v>
      </c>
      <c r="Q583" s="21" t="s">
        <v>111</v>
      </c>
      <c r="R583" s="20" t="s">
        <v>2441</v>
      </c>
      <c r="S583" s="20" t="s">
        <v>2442</v>
      </c>
      <c r="T583" s="22">
        <v>5.73015923533E11</v>
      </c>
      <c r="U583" s="53" t="s">
        <v>681</v>
      </c>
      <c r="V583" s="113"/>
      <c r="W583" s="113"/>
      <c r="X583" s="113"/>
      <c r="Y583" s="54">
        <v>5.0</v>
      </c>
      <c r="Z583" s="28"/>
      <c r="AA583" s="28"/>
      <c r="AB583" s="28"/>
      <c r="AC583" s="28"/>
      <c r="AD583" s="28"/>
      <c r="AE583" s="28"/>
      <c r="AF583" s="28"/>
      <c r="AG583" s="29"/>
      <c r="AH583" s="30"/>
      <c r="AI583" s="31"/>
      <c r="AJ583" s="28"/>
      <c r="AK583" s="32"/>
      <c r="AL583" s="32"/>
      <c r="AM583" s="32"/>
      <c r="AN583" s="32"/>
      <c r="AO583" s="28"/>
      <c r="AP583" s="29"/>
    </row>
    <row r="584">
      <c r="A584" s="53" t="s">
        <v>2443</v>
      </c>
      <c r="B584" s="53" t="s">
        <v>2444</v>
      </c>
      <c r="C584" s="53" t="s">
        <v>2409</v>
      </c>
      <c r="D584" s="53" t="s">
        <v>1203</v>
      </c>
      <c r="E584" s="53" t="s">
        <v>2410</v>
      </c>
      <c r="F584" s="53" t="s">
        <v>2411</v>
      </c>
      <c r="G584" s="53" t="s">
        <v>1205</v>
      </c>
      <c r="H584" s="53" t="s">
        <v>1206</v>
      </c>
      <c r="I584" s="53" t="s">
        <v>50</v>
      </c>
      <c r="J584" s="53" t="s">
        <v>51</v>
      </c>
      <c r="K584" s="73" t="s">
        <v>52</v>
      </c>
      <c r="L584" s="53" t="s">
        <v>53</v>
      </c>
      <c r="M584" s="53" t="s">
        <v>54</v>
      </c>
      <c r="N584" s="53" t="s">
        <v>85</v>
      </c>
      <c r="O584" s="53" t="s">
        <v>86</v>
      </c>
      <c r="P584" s="8" t="s">
        <v>2445</v>
      </c>
      <c r="Q584" s="9" t="s">
        <v>72</v>
      </c>
      <c r="R584" s="8" t="s">
        <v>2446</v>
      </c>
      <c r="S584" s="8" t="s">
        <v>2447</v>
      </c>
      <c r="T584" s="10">
        <v>5.73158030563E11</v>
      </c>
      <c r="U584" s="53" t="s">
        <v>61</v>
      </c>
      <c r="V584" s="113"/>
      <c r="W584" s="113"/>
      <c r="X584" s="113"/>
      <c r="Y584" s="99">
        <v>45779.0</v>
      </c>
      <c r="Z584" s="28"/>
      <c r="AA584" s="28"/>
      <c r="AB584" s="28"/>
      <c r="AC584" s="28"/>
      <c r="AD584" s="28"/>
      <c r="AE584" s="28"/>
      <c r="AF584" s="29"/>
      <c r="AG584" s="29"/>
      <c r="AH584" s="30"/>
      <c r="AI584" s="31"/>
      <c r="AJ584" s="28"/>
      <c r="AK584" s="32"/>
      <c r="AL584" s="32"/>
      <c r="AM584" s="32"/>
      <c r="AN584" s="32"/>
      <c r="AO584" s="28"/>
      <c r="AP584" s="29"/>
    </row>
    <row r="585">
      <c r="A585" s="53" t="s">
        <v>2448</v>
      </c>
      <c r="B585" s="53" t="s">
        <v>2449</v>
      </c>
      <c r="C585" s="53" t="s">
        <v>2409</v>
      </c>
      <c r="D585" s="53" t="s">
        <v>1203</v>
      </c>
      <c r="E585" s="53" t="s">
        <v>2410</v>
      </c>
      <c r="F585" s="53" t="s">
        <v>2411</v>
      </c>
      <c r="G585" s="53" t="s">
        <v>1205</v>
      </c>
      <c r="H585" s="53" t="s">
        <v>1206</v>
      </c>
      <c r="I585" s="53" t="s">
        <v>50</v>
      </c>
      <c r="J585" s="53" t="s">
        <v>51</v>
      </c>
      <c r="K585" s="73" t="s">
        <v>52</v>
      </c>
      <c r="L585" s="53" t="s">
        <v>53</v>
      </c>
      <c r="M585" s="53" t="s">
        <v>69</v>
      </c>
      <c r="N585" s="53" t="s">
        <v>55</v>
      </c>
      <c r="O585" s="53" t="s">
        <v>70</v>
      </c>
      <c r="P585" s="20" t="s">
        <v>132</v>
      </c>
      <c r="Q585" s="21" t="s">
        <v>94</v>
      </c>
      <c r="R585" s="20" t="s">
        <v>2450</v>
      </c>
      <c r="S585" s="20" t="s">
        <v>2451</v>
      </c>
      <c r="T585" s="22">
        <v>3.14313031365E11</v>
      </c>
      <c r="U585" s="53" t="s">
        <v>75</v>
      </c>
      <c r="V585" s="113"/>
      <c r="W585" s="113"/>
      <c r="X585" s="113"/>
      <c r="Y585" s="54">
        <v>5.0</v>
      </c>
      <c r="Z585" s="28"/>
      <c r="AA585" s="28"/>
      <c r="AB585" s="28"/>
      <c r="AC585" s="28"/>
      <c r="AD585" s="28"/>
      <c r="AE585" s="28"/>
      <c r="AF585" s="29"/>
      <c r="AG585" s="29"/>
      <c r="AH585" s="30"/>
      <c r="AI585" s="31"/>
      <c r="AJ585" s="28"/>
      <c r="AK585" s="32"/>
      <c r="AL585" s="32"/>
      <c r="AM585" s="32"/>
      <c r="AN585" s="32"/>
      <c r="AO585" s="28"/>
      <c r="AP585" s="29"/>
    </row>
    <row r="586">
      <c r="A586" s="53" t="s">
        <v>2452</v>
      </c>
      <c r="B586" s="53" t="s">
        <v>2453</v>
      </c>
      <c r="C586" s="53" t="s">
        <v>2409</v>
      </c>
      <c r="D586" s="53" t="s">
        <v>1203</v>
      </c>
      <c r="E586" s="53" t="s">
        <v>2410</v>
      </c>
      <c r="F586" s="53" t="s">
        <v>2411</v>
      </c>
      <c r="G586" s="53" t="s">
        <v>1205</v>
      </c>
      <c r="H586" s="53" t="s">
        <v>1206</v>
      </c>
      <c r="I586" s="53" t="s">
        <v>50</v>
      </c>
      <c r="J586" s="53" t="s">
        <v>51</v>
      </c>
      <c r="K586" s="73" t="s">
        <v>52</v>
      </c>
      <c r="L586" s="53" t="s">
        <v>53</v>
      </c>
      <c r="M586" s="53" t="s">
        <v>69</v>
      </c>
      <c r="N586" s="53" t="s">
        <v>55</v>
      </c>
      <c r="O586" s="53" t="s">
        <v>70</v>
      </c>
      <c r="P586" s="20" t="s">
        <v>141</v>
      </c>
      <c r="Q586" s="21" t="s">
        <v>111</v>
      </c>
      <c r="R586" s="20" t="s">
        <v>2454</v>
      </c>
      <c r="S586" s="20" t="s">
        <v>2455</v>
      </c>
      <c r="T586" s="22">
        <v>5.73152370385E11</v>
      </c>
      <c r="U586" s="53" t="s">
        <v>75</v>
      </c>
      <c r="V586" s="113"/>
      <c r="W586" s="113"/>
      <c r="X586" s="113"/>
      <c r="Y586" s="54">
        <v>5.0</v>
      </c>
      <c r="Z586" s="28"/>
      <c r="AA586" s="28"/>
      <c r="AB586" s="28"/>
      <c r="AC586" s="28"/>
      <c r="AD586" s="28"/>
      <c r="AE586" s="28"/>
      <c r="AF586" s="29"/>
      <c r="AG586" s="29"/>
      <c r="AH586" s="30"/>
      <c r="AI586" s="31"/>
      <c r="AJ586" s="28"/>
      <c r="AK586" s="32"/>
      <c r="AL586" s="32"/>
      <c r="AM586" s="32"/>
      <c r="AN586" s="32"/>
      <c r="AO586" s="28"/>
      <c r="AP586" s="29"/>
    </row>
    <row r="587">
      <c r="A587" s="53" t="s">
        <v>2456</v>
      </c>
      <c r="B587" s="53" t="s">
        <v>2457</v>
      </c>
      <c r="C587" s="53" t="s">
        <v>1202</v>
      </c>
      <c r="D587" s="53" t="s">
        <v>1203</v>
      </c>
      <c r="E587" s="53" t="s">
        <v>1204</v>
      </c>
      <c r="F587" s="53" t="s">
        <v>47</v>
      </c>
      <c r="G587" s="53" t="s">
        <v>1205</v>
      </c>
      <c r="H587" s="53" t="s">
        <v>1206</v>
      </c>
      <c r="I587" s="53" t="s">
        <v>50</v>
      </c>
      <c r="J587" s="53" t="s">
        <v>51</v>
      </c>
      <c r="K587" s="73" t="s">
        <v>52</v>
      </c>
      <c r="L587" s="53" t="s">
        <v>53</v>
      </c>
      <c r="M587" s="53" t="s">
        <v>54</v>
      </c>
      <c r="N587" s="53" t="s">
        <v>85</v>
      </c>
      <c r="O587" s="53" t="s">
        <v>86</v>
      </c>
      <c r="P587" s="8" t="s">
        <v>2458</v>
      </c>
      <c r="Q587" s="9" t="s">
        <v>122</v>
      </c>
      <c r="R587" s="8" t="s">
        <v>466</v>
      </c>
      <c r="S587" s="8" t="s">
        <v>2459</v>
      </c>
      <c r="T587" s="10">
        <v>5.730008815423E12</v>
      </c>
      <c r="U587" s="53" t="s">
        <v>75</v>
      </c>
      <c r="V587" s="113"/>
      <c r="W587" s="113"/>
      <c r="X587" s="113"/>
      <c r="Y587" s="99">
        <v>45779.0</v>
      </c>
      <c r="Z587" s="13"/>
      <c r="AA587" s="13"/>
      <c r="AB587" s="13"/>
      <c r="AC587" s="13"/>
      <c r="AD587" s="13"/>
      <c r="AE587" s="13"/>
      <c r="AF587" s="14"/>
      <c r="AG587" s="14"/>
      <c r="AH587" s="15"/>
      <c r="AI587" s="16"/>
      <c r="AJ587" s="13"/>
      <c r="AK587" s="17"/>
      <c r="AL587" s="17"/>
      <c r="AM587" s="17"/>
      <c r="AN587" s="17"/>
      <c r="AO587" s="13"/>
      <c r="AP587" s="14"/>
    </row>
    <row r="588">
      <c r="A588" s="53" t="s">
        <v>2460</v>
      </c>
      <c r="B588" s="53" t="s">
        <v>2461</v>
      </c>
      <c r="C588" s="53" t="s">
        <v>788</v>
      </c>
      <c r="D588" s="53" t="s">
        <v>789</v>
      </c>
      <c r="E588" s="53" t="s">
        <v>619</v>
      </c>
      <c r="F588" s="53" t="s">
        <v>620</v>
      </c>
      <c r="G588" s="53" t="s">
        <v>621</v>
      </c>
      <c r="H588" s="53" t="s">
        <v>622</v>
      </c>
      <c r="I588" s="53" t="s">
        <v>50</v>
      </c>
      <c r="J588" s="53" t="s">
        <v>51</v>
      </c>
      <c r="K588" s="73" t="s">
        <v>52</v>
      </c>
      <c r="L588" s="53" t="s">
        <v>53</v>
      </c>
      <c r="M588" s="53" t="s">
        <v>54</v>
      </c>
      <c r="N588" s="53" t="s">
        <v>55</v>
      </c>
      <c r="O588" s="53" t="s">
        <v>70</v>
      </c>
      <c r="P588" s="20" t="s">
        <v>141</v>
      </c>
      <c r="Q588" s="21" t="s">
        <v>111</v>
      </c>
      <c r="R588" s="20" t="s">
        <v>168</v>
      </c>
      <c r="S588" s="20" t="s">
        <v>2462</v>
      </c>
      <c r="T588" s="22">
        <v>5.73138184668E11</v>
      </c>
      <c r="U588" s="53" t="s">
        <v>75</v>
      </c>
      <c r="V588" s="113"/>
      <c r="W588" s="113"/>
      <c r="X588" s="113"/>
      <c r="Y588" s="54">
        <v>5.0</v>
      </c>
      <c r="Z588" s="28"/>
      <c r="AA588" s="28"/>
      <c r="AB588" s="29"/>
      <c r="AC588" s="29"/>
      <c r="AD588" s="29"/>
      <c r="AE588" s="29"/>
      <c r="AF588" s="29"/>
      <c r="AG588" s="29"/>
      <c r="AH588" s="30"/>
      <c r="AI588" s="31"/>
      <c r="AJ588" s="28"/>
      <c r="AK588" s="32"/>
      <c r="AL588" s="32"/>
      <c r="AM588" s="32"/>
      <c r="AN588" s="32"/>
      <c r="AO588" s="28"/>
      <c r="AP588" s="29"/>
    </row>
    <row r="589">
      <c r="A589" s="53" t="s">
        <v>2463</v>
      </c>
      <c r="B589" s="53" t="s">
        <v>2464</v>
      </c>
      <c r="C589" s="53" t="s">
        <v>1202</v>
      </c>
      <c r="D589" s="53" t="s">
        <v>1203</v>
      </c>
      <c r="E589" s="53" t="s">
        <v>1204</v>
      </c>
      <c r="F589" s="53" t="s">
        <v>47</v>
      </c>
      <c r="G589" s="53" t="s">
        <v>1205</v>
      </c>
      <c r="H589" s="53" t="s">
        <v>1206</v>
      </c>
      <c r="I589" s="53" t="s">
        <v>50</v>
      </c>
      <c r="J589" s="53" t="s">
        <v>51</v>
      </c>
      <c r="K589" s="73" t="s">
        <v>52</v>
      </c>
      <c r="L589" s="53" t="s">
        <v>84</v>
      </c>
      <c r="M589" s="53" t="s">
        <v>69</v>
      </c>
      <c r="N589" s="53" t="s">
        <v>55</v>
      </c>
      <c r="O589" s="53" t="s">
        <v>70</v>
      </c>
      <c r="P589" s="20" t="s">
        <v>2465</v>
      </c>
      <c r="Q589" s="21" t="s">
        <v>94</v>
      </c>
      <c r="R589" s="20" t="s">
        <v>148</v>
      </c>
      <c r="S589" s="20" t="s">
        <v>2466</v>
      </c>
      <c r="T589" s="22">
        <v>5.73013886417E11</v>
      </c>
      <c r="U589" s="53" t="s">
        <v>75</v>
      </c>
      <c r="V589" s="113"/>
      <c r="W589" s="113"/>
      <c r="X589" s="113"/>
      <c r="Y589" s="54">
        <v>5.0</v>
      </c>
      <c r="Z589" s="28"/>
      <c r="AA589" s="28"/>
      <c r="AB589" s="28"/>
      <c r="AC589" s="28"/>
      <c r="AD589" s="28"/>
      <c r="AE589" s="28"/>
      <c r="AF589" s="29"/>
      <c r="AG589" s="29"/>
      <c r="AH589" s="30"/>
      <c r="AI589" s="31"/>
      <c r="AJ589" s="28"/>
      <c r="AK589" s="32"/>
      <c r="AL589" s="32"/>
      <c r="AM589" s="32"/>
      <c r="AN589" s="32"/>
      <c r="AO589" s="28"/>
      <c r="AP589" s="29"/>
    </row>
    <row r="590">
      <c r="A590" s="53" t="s">
        <v>2467</v>
      </c>
      <c r="B590" s="53" t="s">
        <v>2468</v>
      </c>
      <c r="C590" s="53" t="s">
        <v>2409</v>
      </c>
      <c r="D590" s="53" t="s">
        <v>1203</v>
      </c>
      <c r="E590" s="53" t="s">
        <v>2410</v>
      </c>
      <c r="F590" s="53" t="s">
        <v>2411</v>
      </c>
      <c r="G590" s="53" t="s">
        <v>1205</v>
      </c>
      <c r="H590" s="53" t="s">
        <v>1206</v>
      </c>
      <c r="I590" s="53" t="s">
        <v>50</v>
      </c>
      <c r="J590" s="53" t="s">
        <v>51</v>
      </c>
      <c r="K590" s="73" t="s">
        <v>52</v>
      </c>
      <c r="L590" s="53" t="s">
        <v>53</v>
      </c>
      <c r="M590" s="53" t="s">
        <v>69</v>
      </c>
      <c r="N590" s="53" t="s">
        <v>55</v>
      </c>
      <c r="O590" s="53" t="s">
        <v>70</v>
      </c>
      <c r="P590" s="20" t="s">
        <v>110</v>
      </c>
      <c r="Q590" s="21" t="s">
        <v>111</v>
      </c>
      <c r="R590" s="20" t="s">
        <v>512</v>
      </c>
      <c r="S590" s="20" t="s">
        <v>2469</v>
      </c>
      <c r="T590" s="22">
        <v>5.73008237341E11</v>
      </c>
      <c r="U590" s="53" t="s">
        <v>61</v>
      </c>
      <c r="V590" s="113"/>
      <c r="W590" s="113"/>
      <c r="X590" s="113"/>
      <c r="Y590" s="54">
        <v>5.0</v>
      </c>
      <c r="Z590" s="28"/>
      <c r="AA590" s="28"/>
      <c r="AB590" s="28"/>
      <c r="AC590" s="28"/>
      <c r="AD590" s="28"/>
      <c r="AE590" s="28"/>
      <c r="AF590" s="29"/>
      <c r="AG590" s="29"/>
      <c r="AH590" s="30"/>
      <c r="AI590" s="31"/>
      <c r="AJ590" s="28"/>
      <c r="AK590" s="32"/>
      <c r="AL590" s="32"/>
      <c r="AM590" s="32"/>
      <c r="AN590" s="32"/>
      <c r="AO590" s="28"/>
      <c r="AP590" s="29"/>
    </row>
    <row r="591">
      <c r="A591" s="53" t="s">
        <v>2470</v>
      </c>
      <c r="B591" s="53" t="s">
        <v>2471</v>
      </c>
      <c r="C591" s="53" t="s">
        <v>2409</v>
      </c>
      <c r="D591" s="53" t="s">
        <v>1203</v>
      </c>
      <c r="E591" s="53" t="s">
        <v>2410</v>
      </c>
      <c r="F591" s="53" t="s">
        <v>2411</v>
      </c>
      <c r="G591" s="53" t="s">
        <v>1205</v>
      </c>
      <c r="H591" s="53" t="s">
        <v>1206</v>
      </c>
      <c r="I591" s="53" t="s">
        <v>50</v>
      </c>
      <c r="J591" s="53" t="s">
        <v>51</v>
      </c>
      <c r="K591" s="73" t="s">
        <v>52</v>
      </c>
      <c r="L591" s="53" t="s">
        <v>53</v>
      </c>
      <c r="M591" s="53" t="s">
        <v>69</v>
      </c>
      <c r="N591" s="53" t="s">
        <v>85</v>
      </c>
      <c r="O591" s="53" t="s">
        <v>70</v>
      </c>
      <c r="P591" s="20" t="s">
        <v>141</v>
      </c>
      <c r="Q591" s="21" t="s">
        <v>94</v>
      </c>
      <c r="R591" s="20" t="s">
        <v>207</v>
      </c>
      <c r="S591" s="20" t="s">
        <v>2472</v>
      </c>
      <c r="T591" s="22">
        <v>5.73162666954E11</v>
      </c>
      <c r="U591" s="53" t="s">
        <v>61</v>
      </c>
      <c r="V591" s="113"/>
      <c r="W591" s="113"/>
      <c r="X591" s="113"/>
      <c r="Y591" s="54">
        <v>5.0</v>
      </c>
      <c r="Z591" s="28"/>
      <c r="AA591" s="28"/>
      <c r="AB591" s="28"/>
      <c r="AC591" s="28"/>
      <c r="AD591" s="28"/>
      <c r="AE591" s="28"/>
      <c r="AF591" s="29"/>
      <c r="AG591" s="29"/>
      <c r="AH591" s="30"/>
      <c r="AI591" s="31"/>
      <c r="AJ591" s="28"/>
      <c r="AK591" s="32"/>
      <c r="AL591" s="32"/>
      <c r="AM591" s="32"/>
      <c r="AN591" s="32"/>
      <c r="AO591" s="28"/>
      <c r="AP591" s="29"/>
    </row>
    <row r="592">
      <c r="A592" s="53" t="s">
        <v>2473</v>
      </c>
      <c r="B592" s="53" t="s">
        <v>2474</v>
      </c>
      <c r="C592" s="53" t="s">
        <v>1202</v>
      </c>
      <c r="D592" s="53" t="s">
        <v>1203</v>
      </c>
      <c r="E592" s="53" t="s">
        <v>1204</v>
      </c>
      <c r="F592" s="53" t="s">
        <v>47</v>
      </c>
      <c r="G592" s="53" t="s">
        <v>1205</v>
      </c>
      <c r="H592" s="53" t="s">
        <v>1206</v>
      </c>
      <c r="I592" s="53" t="s">
        <v>50</v>
      </c>
      <c r="J592" s="53" t="s">
        <v>51</v>
      </c>
      <c r="K592" s="73" t="s">
        <v>52</v>
      </c>
      <c r="L592" s="53" t="s">
        <v>53</v>
      </c>
      <c r="M592" s="53" t="s">
        <v>69</v>
      </c>
      <c r="N592" s="53" t="s">
        <v>137</v>
      </c>
      <c r="O592" s="53" t="s">
        <v>70</v>
      </c>
      <c r="P592" s="20" t="s">
        <v>211</v>
      </c>
      <c r="Q592" s="21" t="s">
        <v>111</v>
      </c>
      <c r="R592" s="20" t="s">
        <v>2475</v>
      </c>
      <c r="S592" s="20" t="s">
        <v>2476</v>
      </c>
      <c r="T592" s="22">
        <v>5.73157382566E11</v>
      </c>
      <c r="U592" s="53" t="s">
        <v>75</v>
      </c>
      <c r="V592" s="113"/>
      <c r="W592" s="113"/>
      <c r="X592" s="113"/>
      <c r="Y592" s="54">
        <v>5.0</v>
      </c>
      <c r="Z592" s="13"/>
      <c r="AA592" s="13"/>
      <c r="AB592" s="13"/>
      <c r="AC592" s="13"/>
      <c r="AD592" s="13"/>
      <c r="AE592" s="13"/>
      <c r="AF592" s="14"/>
      <c r="AG592" s="14"/>
      <c r="AH592" s="15"/>
      <c r="AI592" s="16"/>
      <c r="AJ592" s="13"/>
      <c r="AK592" s="17"/>
      <c r="AL592" s="17"/>
      <c r="AM592" s="17"/>
      <c r="AN592" s="17"/>
      <c r="AO592" s="13"/>
      <c r="AP592" s="14"/>
    </row>
    <row r="593">
      <c r="A593" s="53" t="s">
        <v>2477</v>
      </c>
      <c r="B593" s="53" t="s">
        <v>2478</v>
      </c>
      <c r="C593" s="53" t="s">
        <v>1202</v>
      </c>
      <c r="D593" s="53" t="s">
        <v>1203</v>
      </c>
      <c r="E593" s="53" t="s">
        <v>1204</v>
      </c>
      <c r="F593" s="53" t="s">
        <v>47</v>
      </c>
      <c r="G593" s="53" t="s">
        <v>1205</v>
      </c>
      <c r="H593" s="53" t="s">
        <v>1206</v>
      </c>
      <c r="I593" s="53" t="s">
        <v>50</v>
      </c>
      <c r="J593" s="53" t="s">
        <v>51</v>
      </c>
      <c r="K593" s="73" t="s">
        <v>52</v>
      </c>
      <c r="L593" s="53" t="s">
        <v>53</v>
      </c>
      <c r="M593" s="53" t="s">
        <v>69</v>
      </c>
      <c r="N593" s="53" t="s">
        <v>137</v>
      </c>
      <c r="O593" s="53" t="s">
        <v>70</v>
      </c>
      <c r="P593" s="20" t="s">
        <v>127</v>
      </c>
      <c r="Q593" s="21" t="s">
        <v>147</v>
      </c>
      <c r="R593" s="20" t="s">
        <v>2479</v>
      </c>
      <c r="S593" s="20" t="s">
        <v>2480</v>
      </c>
      <c r="T593" s="22">
        <v>5.73108056629E11</v>
      </c>
      <c r="U593" s="53" t="s">
        <v>75</v>
      </c>
      <c r="V593" s="113"/>
      <c r="W593" s="113"/>
      <c r="X593" s="113"/>
      <c r="Y593" s="54">
        <v>5.0</v>
      </c>
      <c r="Z593" s="13"/>
      <c r="AA593" s="13"/>
      <c r="AB593" s="13"/>
      <c r="AC593" s="13"/>
      <c r="AD593" s="13"/>
      <c r="AE593" s="13"/>
      <c r="AF593" s="14"/>
      <c r="AG593" s="14"/>
      <c r="AH593" s="15"/>
      <c r="AI593" s="16"/>
      <c r="AJ593" s="13"/>
      <c r="AK593" s="17"/>
      <c r="AL593" s="17"/>
      <c r="AM593" s="17"/>
      <c r="AN593" s="17"/>
      <c r="AO593" s="13"/>
      <c r="AP593" s="14"/>
    </row>
    <row r="594">
      <c r="A594" s="53" t="s">
        <v>2481</v>
      </c>
      <c r="B594" s="53" t="s">
        <v>2482</v>
      </c>
      <c r="C594" s="53" t="s">
        <v>788</v>
      </c>
      <c r="D594" s="53" t="s">
        <v>789</v>
      </c>
      <c r="E594" s="53" t="s">
        <v>619</v>
      </c>
      <c r="F594" s="53" t="s">
        <v>620</v>
      </c>
      <c r="G594" s="53" t="s">
        <v>621</v>
      </c>
      <c r="H594" s="53" t="s">
        <v>622</v>
      </c>
      <c r="I594" s="53" t="s">
        <v>50</v>
      </c>
      <c r="J594" s="53" t="s">
        <v>51</v>
      </c>
      <c r="K594" s="73" t="s">
        <v>52</v>
      </c>
      <c r="L594" s="53" t="s">
        <v>53</v>
      </c>
      <c r="M594" s="53" t="s">
        <v>69</v>
      </c>
      <c r="N594" s="53" t="s">
        <v>55</v>
      </c>
      <c r="O594" s="53" t="s">
        <v>70</v>
      </c>
      <c r="P594" s="20" t="s">
        <v>127</v>
      </c>
      <c r="Q594" s="21" t="s">
        <v>111</v>
      </c>
      <c r="R594" s="20" t="s">
        <v>466</v>
      </c>
      <c r="S594" s="20" t="s">
        <v>2483</v>
      </c>
      <c r="T594" s="22">
        <v>5.73025352186E11</v>
      </c>
      <c r="U594" s="53" t="s">
        <v>61</v>
      </c>
      <c r="V594" s="113"/>
      <c r="W594" s="113"/>
      <c r="X594" s="113"/>
      <c r="Y594" s="54">
        <v>5.0</v>
      </c>
      <c r="Z594" s="13"/>
      <c r="AA594" s="13"/>
      <c r="AB594" s="13"/>
      <c r="AC594" s="13"/>
      <c r="AD594" s="13"/>
      <c r="AE594" s="13"/>
      <c r="AF594" s="14"/>
      <c r="AG594" s="14"/>
      <c r="AH594" s="15"/>
      <c r="AI594" s="16"/>
      <c r="AJ594" s="13"/>
      <c r="AK594" s="17"/>
      <c r="AL594" s="17"/>
      <c r="AM594" s="17"/>
      <c r="AN594" s="17"/>
      <c r="AO594" s="13"/>
      <c r="AP594" s="14"/>
    </row>
    <row r="595">
      <c r="A595" s="53" t="s">
        <v>2484</v>
      </c>
      <c r="B595" s="53" t="s">
        <v>2485</v>
      </c>
      <c r="C595" s="53" t="s">
        <v>788</v>
      </c>
      <c r="D595" s="53" t="s">
        <v>789</v>
      </c>
      <c r="E595" s="53" t="s">
        <v>619</v>
      </c>
      <c r="F595" s="53" t="s">
        <v>620</v>
      </c>
      <c r="G595" s="53" t="s">
        <v>621</v>
      </c>
      <c r="H595" s="53" t="s">
        <v>622</v>
      </c>
      <c r="I595" s="53" t="s">
        <v>50</v>
      </c>
      <c r="J595" s="53" t="s">
        <v>51</v>
      </c>
      <c r="K595" s="73" t="s">
        <v>52</v>
      </c>
      <c r="L595" s="53" t="s">
        <v>84</v>
      </c>
      <c r="M595" s="53" t="s">
        <v>54</v>
      </c>
      <c r="N595" s="53" t="s">
        <v>85</v>
      </c>
      <c r="O595" s="53" t="s">
        <v>70</v>
      </c>
      <c r="P595" s="20" t="s">
        <v>2486</v>
      </c>
      <c r="Q595" s="21" t="s">
        <v>94</v>
      </c>
      <c r="R595" s="20" t="s">
        <v>2487</v>
      </c>
      <c r="S595" s="20" t="s">
        <v>2488</v>
      </c>
      <c r="T595" s="22">
        <v>5.73003362687E11</v>
      </c>
      <c r="U595" s="53" t="s">
        <v>75</v>
      </c>
      <c r="V595" s="113"/>
      <c r="W595" s="113"/>
      <c r="X595" s="113"/>
      <c r="Y595" s="54">
        <v>5.0</v>
      </c>
      <c r="Z595" s="13"/>
      <c r="AA595" s="13"/>
      <c r="AB595" s="13"/>
      <c r="AC595" s="13"/>
      <c r="AD595" s="13"/>
      <c r="AE595" s="13"/>
      <c r="AF595" s="14"/>
      <c r="AG595" s="14"/>
      <c r="AH595" s="15"/>
      <c r="AI595" s="16"/>
      <c r="AJ595" s="13"/>
      <c r="AK595" s="17"/>
      <c r="AL595" s="17"/>
      <c r="AM595" s="17"/>
      <c r="AN595" s="17"/>
      <c r="AO595" s="13"/>
      <c r="AP595" s="14"/>
    </row>
    <row r="596">
      <c r="A596" s="53" t="s">
        <v>2489</v>
      </c>
      <c r="B596" s="53" t="s">
        <v>2490</v>
      </c>
      <c r="C596" s="53" t="s">
        <v>1202</v>
      </c>
      <c r="D596" s="53" t="s">
        <v>1203</v>
      </c>
      <c r="E596" s="53" t="s">
        <v>1204</v>
      </c>
      <c r="F596" s="53" t="s">
        <v>47</v>
      </c>
      <c r="G596" s="53" t="s">
        <v>1205</v>
      </c>
      <c r="H596" s="53" t="s">
        <v>1206</v>
      </c>
      <c r="I596" s="53" t="s">
        <v>50</v>
      </c>
      <c r="J596" s="53" t="s">
        <v>51</v>
      </c>
      <c r="K596" s="73" t="s">
        <v>52</v>
      </c>
      <c r="L596" s="53" t="s">
        <v>53</v>
      </c>
      <c r="M596" s="53" t="s">
        <v>54</v>
      </c>
      <c r="N596" s="53" t="s">
        <v>55</v>
      </c>
      <c r="O596" s="53" t="s">
        <v>70</v>
      </c>
      <c r="P596" s="20" t="s">
        <v>211</v>
      </c>
      <c r="Q596" s="21" t="s">
        <v>58</v>
      </c>
      <c r="R596" s="20" t="s">
        <v>2491</v>
      </c>
      <c r="S596" s="20" t="s">
        <v>2492</v>
      </c>
      <c r="T596" s="22">
        <v>5.73184010773E11</v>
      </c>
      <c r="U596" s="53" t="s">
        <v>61</v>
      </c>
      <c r="V596" s="113"/>
      <c r="W596" s="113"/>
      <c r="X596" s="113"/>
      <c r="Y596" s="54">
        <v>5.0</v>
      </c>
      <c r="Z596" s="13"/>
      <c r="AA596" s="13"/>
      <c r="AB596" s="13"/>
      <c r="AC596" s="13"/>
      <c r="AD596" s="13"/>
      <c r="AE596" s="13"/>
      <c r="AF596" s="14"/>
      <c r="AG596" s="14"/>
      <c r="AH596" s="15"/>
      <c r="AI596" s="16"/>
      <c r="AJ596" s="13"/>
      <c r="AK596" s="17"/>
      <c r="AL596" s="17"/>
      <c r="AM596" s="17"/>
      <c r="AN596" s="17"/>
      <c r="AO596" s="13"/>
      <c r="AP596" s="14"/>
    </row>
    <row r="597">
      <c r="A597" s="53" t="s">
        <v>2493</v>
      </c>
      <c r="B597" s="53" t="s">
        <v>2494</v>
      </c>
      <c r="C597" s="53" t="s">
        <v>1202</v>
      </c>
      <c r="D597" s="53" t="s">
        <v>1203</v>
      </c>
      <c r="E597" s="53" t="s">
        <v>1204</v>
      </c>
      <c r="F597" s="53" t="s">
        <v>47</v>
      </c>
      <c r="G597" s="53" t="s">
        <v>1205</v>
      </c>
      <c r="H597" s="53" t="s">
        <v>1206</v>
      </c>
      <c r="I597" s="53" t="s">
        <v>50</v>
      </c>
      <c r="J597" s="53" t="s">
        <v>51</v>
      </c>
      <c r="K597" s="73" t="s">
        <v>52</v>
      </c>
      <c r="L597" s="53" t="s">
        <v>53</v>
      </c>
      <c r="M597" s="53" t="s">
        <v>69</v>
      </c>
      <c r="N597" s="53" t="s">
        <v>55</v>
      </c>
      <c r="O597" s="53" t="s">
        <v>70</v>
      </c>
      <c r="P597" s="20" t="s">
        <v>573</v>
      </c>
      <c r="Q597" s="21" t="s">
        <v>111</v>
      </c>
      <c r="R597" s="20" t="s">
        <v>2495</v>
      </c>
      <c r="S597" s="20" t="s">
        <v>2496</v>
      </c>
      <c r="T597" s="22">
        <v>5.73174407998E11</v>
      </c>
      <c r="U597" s="53" t="s">
        <v>75</v>
      </c>
      <c r="V597" s="113"/>
      <c r="W597" s="113"/>
      <c r="X597" s="113"/>
      <c r="Y597" s="54">
        <v>5.0</v>
      </c>
      <c r="Z597" s="13"/>
      <c r="AA597" s="13"/>
      <c r="AB597" s="13"/>
      <c r="AC597" s="13"/>
      <c r="AD597" s="13"/>
      <c r="AE597" s="13"/>
      <c r="AF597" s="14"/>
      <c r="AG597" s="14"/>
      <c r="AH597" s="15"/>
      <c r="AI597" s="16"/>
      <c r="AJ597" s="13"/>
      <c r="AK597" s="17"/>
      <c r="AL597" s="17"/>
      <c r="AM597" s="17"/>
      <c r="AN597" s="17"/>
      <c r="AO597" s="13"/>
      <c r="AP597" s="14"/>
    </row>
    <row r="598">
      <c r="A598" s="53" t="s">
        <v>2497</v>
      </c>
      <c r="B598" s="53" t="s">
        <v>2498</v>
      </c>
      <c r="C598" s="53" t="s">
        <v>1202</v>
      </c>
      <c r="D598" s="53" t="s">
        <v>1203</v>
      </c>
      <c r="E598" s="53" t="s">
        <v>1204</v>
      </c>
      <c r="F598" s="53" t="s">
        <v>47</v>
      </c>
      <c r="G598" s="53" t="s">
        <v>1205</v>
      </c>
      <c r="H598" s="53" t="s">
        <v>1206</v>
      </c>
      <c r="I598" s="53" t="s">
        <v>50</v>
      </c>
      <c r="J598" s="53" t="s">
        <v>51</v>
      </c>
      <c r="K598" s="73" t="s">
        <v>52</v>
      </c>
      <c r="L598" s="53" t="s">
        <v>53</v>
      </c>
      <c r="M598" s="53" t="s">
        <v>69</v>
      </c>
      <c r="N598" s="53" t="s">
        <v>137</v>
      </c>
      <c r="O598" s="53" t="s">
        <v>70</v>
      </c>
      <c r="P598" s="20" t="s">
        <v>2499</v>
      </c>
      <c r="Q598" s="21" t="s">
        <v>94</v>
      </c>
      <c r="R598" s="21" t="s">
        <v>58</v>
      </c>
      <c r="S598" s="20" t="s">
        <v>2500</v>
      </c>
      <c r="T598" s="22">
        <v>5.73213598615E11</v>
      </c>
      <c r="U598" s="53" t="s">
        <v>61</v>
      </c>
      <c r="V598" s="113"/>
      <c r="W598" s="113"/>
      <c r="X598" s="113"/>
      <c r="Y598" s="54">
        <v>5.0</v>
      </c>
      <c r="Z598" s="13"/>
      <c r="AA598" s="13"/>
      <c r="AB598" s="13"/>
      <c r="AC598" s="13"/>
      <c r="AD598" s="13"/>
      <c r="AE598" s="13"/>
      <c r="AF598" s="14"/>
      <c r="AG598" s="14"/>
      <c r="AH598" s="15"/>
      <c r="AI598" s="16"/>
      <c r="AJ598" s="13"/>
      <c r="AK598" s="17"/>
      <c r="AL598" s="17"/>
      <c r="AM598" s="17"/>
      <c r="AN598" s="17"/>
      <c r="AO598" s="13"/>
      <c r="AP598" s="14"/>
    </row>
    <row r="599">
      <c r="A599" s="53" t="s">
        <v>2501</v>
      </c>
      <c r="B599" s="53" t="s">
        <v>2502</v>
      </c>
      <c r="C599" s="53" t="s">
        <v>788</v>
      </c>
      <c r="D599" s="53" t="s">
        <v>789</v>
      </c>
      <c r="E599" s="53" t="s">
        <v>619</v>
      </c>
      <c r="F599" s="53" t="s">
        <v>620</v>
      </c>
      <c r="G599" s="53" t="s">
        <v>621</v>
      </c>
      <c r="H599" s="53" t="s">
        <v>622</v>
      </c>
      <c r="I599" s="53" t="s">
        <v>50</v>
      </c>
      <c r="J599" s="53" t="s">
        <v>51</v>
      </c>
      <c r="K599" s="73" t="s">
        <v>52</v>
      </c>
      <c r="L599" s="53" t="s">
        <v>84</v>
      </c>
      <c r="M599" s="53" t="s">
        <v>54</v>
      </c>
      <c r="N599" s="53" t="s">
        <v>55</v>
      </c>
      <c r="O599" s="53" t="s">
        <v>70</v>
      </c>
      <c r="P599" s="20" t="s">
        <v>2503</v>
      </c>
      <c r="Q599" s="21" t="s">
        <v>111</v>
      </c>
      <c r="R599" s="21" t="s">
        <v>2504</v>
      </c>
      <c r="S599" s="20" t="s">
        <v>2505</v>
      </c>
      <c r="T599" s="22">
        <v>5.73105300829E11</v>
      </c>
      <c r="U599" s="53" t="s">
        <v>75</v>
      </c>
      <c r="V599" s="113"/>
      <c r="W599" s="113"/>
      <c r="X599" s="113"/>
      <c r="Y599" s="54">
        <v>5.0</v>
      </c>
      <c r="Z599" s="28"/>
      <c r="AA599" s="28"/>
      <c r="AB599" s="28"/>
      <c r="AC599" s="28"/>
      <c r="AD599" s="28"/>
      <c r="AE599" s="28"/>
      <c r="AF599" s="29"/>
      <c r="AG599" s="29"/>
      <c r="AH599" s="30"/>
      <c r="AI599" s="31"/>
      <c r="AJ599" s="28"/>
      <c r="AK599" s="32"/>
      <c r="AL599" s="32"/>
      <c r="AM599" s="32"/>
      <c r="AN599" s="32"/>
      <c r="AO599" s="28"/>
      <c r="AP599" s="29"/>
    </row>
    <row r="600">
      <c r="A600" s="53" t="s">
        <v>2506</v>
      </c>
      <c r="B600" s="53" t="s">
        <v>2507</v>
      </c>
      <c r="C600" s="53" t="s">
        <v>1202</v>
      </c>
      <c r="D600" s="53" t="s">
        <v>1203</v>
      </c>
      <c r="E600" s="53" t="s">
        <v>1204</v>
      </c>
      <c r="F600" s="53" t="s">
        <v>47</v>
      </c>
      <c r="G600" s="53" t="s">
        <v>1205</v>
      </c>
      <c r="H600" s="53" t="s">
        <v>1206</v>
      </c>
      <c r="I600" s="53" t="s">
        <v>50</v>
      </c>
      <c r="J600" s="53" t="s">
        <v>51</v>
      </c>
      <c r="K600" s="73" t="s">
        <v>52</v>
      </c>
      <c r="L600" s="53" t="s">
        <v>53</v>
      </c>
      <c r="M600" s="53" t="s">
        <v>69</v>
      </c>
      <c r="N600" s="53" t="s">
        <v>55</v>
      </c>
      <c r="O600" s="53" t="s">
        <v>70</v>
      </c>
      <c r="P600" s="20" t="s">
        <v>141</v>
      </c>
      <c r="Q600" s="21" t="s">
        <v>72</v>
      </c>
      <c r="R600" s="20" t="s">
        <v>1107</v>
      </c>
      <c r="S600" s="20" t="s">
        <v>2508</v>
      </c>
      <c r="T600" s="22">
        <v>5.73002868336E11</v>
      </c>
      <c r="U600" s="53" t="s">
        <v>61</v>
      </c>
      <c r="V600" s="113"/>
      <c r="W600" s="113"/>
      <c r="X600" s="113"/>
      <c r="Y600" s="54">
        <v>5.0</v>
      </c>
      <c r="Z600" s="28"/>
      <c r="AA600" s="28"/>
      <c r="AB600" s="28"/>
      <c r="AC600" s="28"/>
      <c r="AD600" s="28"/>
      <c r="AE600" s="28"/>
      <c r="AF600" s="29"/>
      <c r="AG600" s="29"/>
      <c r="AH600" s="30"/>
      <c r="AI600" s="31"/>
      <c r="AJ600" s="28"/>
      <c r="AK600" s="32"/>
      <c r="AL600" s="32"/>
      <c r="AM600" s="32"/>
      <c r="AN600" s="32"/>
      <c r="AO600" s="28"/>
      <c r="AP600" s="29"/>
    </row>
    <row r="601">
      <c r="A601" s="53" t="s">
        <v>2509</v>
      </c>
      <c r="B601" s="53" t="s">
        <v>2510</v>
      </c>
      <c r="C601" s="53" t="s">
        <v>1202</v>
      </c>
      <c r="D601" s="53" t="s">
        <v>1203</v>
      </c>
      <c r="E601" s="53" t="s">
        <v>1204</v>
      </c>
      <c r="F601" s="53" t="s">
        <v>47</v>
      </c>
      <c r="G601" s="53" t="s">
        <v>1205</v>
      </c>
      <c r="H601" s="53" t="s">
        <v>1206</v>
      </c>
      <c r="I601" s="53" t="s">
        <v>50</v>
      </c>
      <c r="J601" s="53" t="s">
        <v>51</v>
      </c>
      <c r="K601" s="73" t="s">
        <v>52</v>
      </c>
      <c r="L601" s="53" t="s">
        <v>53</v>
      </c>
      <c r="M601" s="53" t="s">
        <v>69</v>
      </c>
      <c r="N601" s="53" t="s">
        <v>85</v>
      </c>
      <c r="O601" s="53" t="s">
        <v>70</v>
      </c>
      <c r="P601" s="20" t="s">
        <v>500</v>
      </c>
      <c r="Q601" s="21" t="s">
        <v>111</v>
      </c>
      <c r="R601" s="20" t="s">
        <v>2511</v>
      </c>
      <c r="S601" s="20" t="s">
        <v>2512</v>
      </c>
      <c r="T601" s="22">
        <v>5.73163654476E11</v>
      </c>
      <c r="U601" s="53" t="s">
        <v>75</v>
      </c>
      <c r="V601" s="113"/>
      <c r="W601" s="113"/>
      <c r="X601" s="113"/>
      <c r="Y601" s="54">
        <v>5.0</v>
      </c>
      <c r="Z601" s="28"/>
      <c r="AA601" s="28"/>
      <c r="AB601" s="28"/>
      <c r="AC601" s="28"/>
      <c r="AD601" s="28"/>
      <c r="AE601" s="28"/>
      <c r="AF601" s="29"/>
      <c r="AG601" s="29"/>
      <c r="AH601" s="30"/>
      <c r="AI601" s="31"/>
      <c r="AJ601" s="28"/>
      <c r="AK601" s="32"/>
      <c r="AL601" s="32"/>
      <c r="AM601" s="32"/>
      <c r="AN601" s="32"/>
      <c r="AO601" s="28"/>
      <c r="AP601" s="29"/>
    </row>
    <row r="602">
      <c r="A602" s="53" t="s">
        <v>2513</v>
      </c>
      <c r="B602" s="53" t="s">
        <v>2514</v>
      </c>
      <c r="C602" s="53" t="s">
        <v>1202</v>
      </c>
      <c r="D602" s="53" t="s">
        <v>1203</v>
      </c>
      <c r="E602" s="53" t="s">
        <v>1204</v>
      </c>
      <c r="F602" s="53" t="s">
        <v>47</v>
      </c>
      <c r="G602" s="53" t="s">
        <v>1205</v>
      </c>
      <c r="H602" s="53" t="s">
        <v>1206</v>
      </c>
      <c r="I602" s="53" t="s">
        <v>50</v>
      </c>
      <c r="J602" s="53" t="s">
        <v>51</v>
      </c>
      <c r="K602" s="73" t="s">
        <v>52</v>
      </c>
      <c r="L602" s="53" t="s">
        <v>53</v>
      </c>
      <c r="M602" s="53" t="s">
        <v>69</v>
      </c>
      <c r="N602" s="53" t="s">
        <v>137</v>
      </c>
      <c r="O602" s="53" t="s">
        <v>70</v>
      </c>
      <c r="P602" s="53" t="s">
        <v>2412</v>
      </c>
      <c r="Q602" s="53" t="s">
        <v>2515</v>
      </c>
      <c r="R602" s="53" t="s">
        <v>2516</v>
      </c>
      <c r="S602" s="53" t="s">
        <v>2517</v>
      </c>
      <c r="T602" s="74">
        <v>5.73143892574E11</v>
      </c>
      <c r="U602" s="53" t="s">
        <v>2518</v>
      </c>
      <c r="V602" s="113"/>
      <c r="W602" s="113"/>
      <c r="X602" s="113"/>
      <c r="Y602" s="54">
        <v>5.0</v>
      </c>
      <c r="Z602" s="28"/>
      <c r="AA602" s="28"/>
      <c r="AB602" s="28"/>
      <c r="AC602" s="28"/>
      <c r="AD602" s="28"/>
      <c r="AE602" s="28"/>
      <c r="AF602" s="29"/>
      <c r="AG602" s="29"/>
      <c r="AH602" s="30"/>
      <c r="AI602" s="31"/>
      <c r="AJ602" s="28"/>
      <c r="AK602" s="32"/>
      <c r="AL602" s="32"/>
      <c r="AM602" s="32"/>
      <c r="AN602" s="32"/>
      <c r="AO602" s="28"/>
      <c r="AP602" s="29"/>
    </row>
    <row r="603">
      <c r="A603" s="53" t="s">
        <v>2519</v>
      </c>
      <c r="B603" s="53" t="s">
        <v>2520</v>
      </c>
      <c r="C603" s="53" t="s">
        <v>788</v>
      </c>
      <c r="D603" s="53" t="s">
        <v>789</v>
      </c>
      <c r="E603" s="53" t="s">
        <v>619</v>
      </c>
      <c r="F603" s="53" t="s">
        <v>620</v>
      </c>
      <c r="G603" s="53" t="s">
        <v>621</v>
      </c>
      <c r="H603" s="53" t="s">
        <v>622</v>
      </c>
      <c r="I603" s="53" t="s">
        <v>50</v>
      </c>
      <c r="J603" s="53" t="s">
        <v>51</v>
      </c>
      <c r="K603" s="73" t="s">
        <v>52</v>
      </c>
      <c r="L603" s="53" t="s">
        <v>53</v>
      </c>
      <c r="M603" s="53" t="s">
        <v>54</v>
      </c>
      <c r="N603" s="53" t="s">
        <v>137</v>
      </c>
      <c r="O603" s="53" t="s">
        <v>70</v>
      </c>
      <c r="P603" s="20" t="s">
        <v>211</v>
      </c>
      <c r="Q603" s="21" t="s">
        <v>94</v>
      </c>
      <c r="R603" s="20" t="s">
        <v>2521</v>
      </c>
      <c r="S603" s="20" t="s">
        <v>2522</v>
      </c>
      <c r="T603" s="22">
        <v>3.04325287E9</v>
      </c>
      <c r="U603" s="53" t="s">
        <v>61</v>
      </c>
      <c r="V603" s="113"/>
      <c r="W603" s="113"/>
      <c r="X603" s="113"/>
      <c r="Y603" s="54">
        <v>5.0</v>
      </c>
      <c r="Z603" s="13"/>
      <c r="AA603" s="13"/>
      <c r="AB603" s="13"/>
      <c r="AC603" s="13"/>
      <c r="AD603" s="13"/>
      <c r="AE603" s="13"/>
      <c r="AF603" s="14"/>
      <c r="AG603" s="14"/>
      <c r="AH603" s="15"/>
      <c r="AI603" s="16"/>
      <c r="AJ603" s="13"/>
      <c r="AK603" s="17"/>
      <c r="AL603" s="17"/>
      <c r="AM603" s="17"/>
      <c r="AN603" s="17"/>
      <c r="AO603" s="13"/>
      <c r="AP603" s="14"/>
    </row>
    <row r="604">
      <c r="A604" s="53" t="s">
        <v>2523</v>
      </c>
      <c r="B604" s="53" t="s">
        <v>2524</v>
      </c>
      <c r="C604" s="53" t="s">
        <v>1202</v>
      </c>
      <c r="D604" s="53" t="s">
        <v>1203</v>
      </c>
      <c r="E604" s="53" t="s">
        <v>1204</v>
      </c>
      <c r="F604" s="53" t="s">
        <v>47</v>
      </c>
      <c r="G604" s="53" t="s">
        <v>1205</v>
      </c>
      <c r="H604" s="53" t="s">
        <v>1206</v>
      </c>
      <c r="I604" s="53" t="s">
        <v>50</v>
      </c>
      <c r="J604" s="53" t="s">
        <v>51</v>
      </c>
      <c r="K604" s="73" t="s">
        <v>52</v>
      </c>
      <c r="L604" s="53" t="s">
        <v>53</v>
      </c>
      <c r="M604" s="53" t="s">
        <v>69</v>
      </c>
      <c r="N604" s="53" t="s">
        <v>137</v>
      </c>
      <c r="O604" s="53" t="s">
        <v>70</v>
      </c>
      <c r="P604" s="20" t="s">
        <v>232</v>
      </c>
      <c r="Q604" s="21" t="s">
        <v>111</v>
      </c>
      <c r="R604" s="20" t="s">
        <v>2525</v>
      </c>
      <c r="S604" s="20" t="s">
        <v>2526</v>
      </c>
      <c r="T604" s="22">
        <v>3.13695184E9</v>
      </c>
      <c r="U604" s="53" t="s">
        <v>61</v>
      </c>
      <c r="V604" s="113"/>
      <c r="W604" s="113"/>
      <c r="X604" s="113"/>
      <c r="Y604" s="54">
        <v>5.0</v>
      </c>
      <c r="Z604" s="13"/>
      <c r="AA604" s="13"/>
      <c r="AB604" s="13"/>
      <c r="AC604" s="13"/>
      <c r="AD604" s="13"/>
      <c r="AE604" s="13"/>
      <c r="AF604" s="14"/>
      <c r="AG604" s="14"/>
      <c r="AH604" s="15"/>
      <c r="AI604" s="16"/>
      <c r="AJ604" s="13"/>
      <c r="AK604" s="17"/>
      <c r="AL604" s="17"/>
      <c r="AM604" s="17"/>
      <c r="AN604" s="17"/>
      <c r="AO604" s="13"/>
      <c r="AP604" s="14"/>
    </row>
    <row r="605">
      <c r="A605" s="53" t="s">
        <v>2527</v>
      </c>
      <c r="B605" s="53" t="s">
        <v>2528</v>
      </c>
      <c r="C605" s="53" t="s">
        <v>1202</v>
      </c>
      <c r="D605" s="53" t="s">
        <v>1203</v>
      </c>
      <c r="E605" s="53" t="s">
        <v>1204</v>
      </c>
      <c r="F605" s="53" t="s">
        <v>47</v>
      </c>
      <c r="G605" s="53" t="s">
        <v>1205</v>
      </c>
      <c r="H605" s="53" t="s">
        <v>1206</v>
      </c>
      <c r="I605" s="53" t="s">
        <v>50</v>
      </c>
      <c r="J605" s="53" t="s">
        <v>51</v>
      </c>
      <c r="K605" s="73" t="s">
        <v>52</v>
      </c>
      <c r="L605" s="53" t="s">
        <v>53</v>
      </c>
      <c r="M605" s="53" t="s">
        <v>69</v>
      </c>
      <c r="N605" s="53" t="s">
        <v>137</v>
      </c>
      <c r="O605" s="53" t="s">
        <v>70</v>
      </c>
      <c r="P605" s="20" t="s">
        <v>317</v>
      </c>
      <c r="Q605" s="21" t="s">
        <v>58</v>
      </c>
      <c r="R605" s="20" t="s">
        <v>79</v>
      </c>
      <c r="S605" s="20" t="s">
        <v>2529</v>
      </c>
      <c r="T605" s="22">
        <v>3.007624286E9</v>
      </c>
      <c r="U605" s="53" t="s">
        <v>61</v>
      </c>
      <c r="V605" s="113"/>
      <c r="W605" s="113"/>
      <c r="X605" s="113"/>
      <c r="Y605" s="54">
        <v>5.0</v>
      </c>
      <c r="Z605" s="13"/>
      <c r="AA605" s="13"/>
      <c r="AB605" s="13"/>
      <c r="AC605" s="13"/>
      <c r="AD605" s="13"/>
      <c r="AE605" s="13"/>
      <c r="AF605" s="14"/>
      <c r="AG605" s="14"/>
      <c r="AH605" s="15"/>
      <c r="AI605" s="16"/>
      <c r="AJ605" s="13"/>
      <c r="AK605" s="17"/>
      <c r="AL605" s="17"/>
      <c r="AM605" s="17"/>
      <c r="AN605" s="17"/>
      <c r="AO605" s="13"/>
      <c r="AP605" s="14"/>
    </row>
    <row r="606">
      <c r="A606" s="53" t="s">
        <v>2530</v>
      </c>
      <c r="B606" s="53" t="s">
        <v>2531</v>
      </c>
      <c r="C606" s="53" t="s">
        <v>1202</v>
      </c>
      <c r="D606" s="53" t="s">
        <v>1203</v>
      </c>
      <c r="E606" s="53" t="s">
        <v>1204</v>
      </c>
      <c r="F606" s="53" t="s">
        <v>47</v>
      </c>
      <c r="G606" s="53" t="s">
        <v>1205</v>
      </c>
      <c r="H606" s="53" t="s">
        <v>1206</v>
      </c>
      <c r="I606" s="53" t="s">
        <v>50</v>
      </c>
      <c r="J606" s="53" t="s">
        <v>51</v>
      </c>
      <c r="K606" s="73" t="s">
        <v>52</v>
      </c>
      <c r="L606" s="53" t="s">
        <v>53</v>
      </c>
      <c r="M606" s="53" t="s">
        <v>69</v>
      </c>
      <c r="N606" s="53" t="s">
        <v>85</v>
      </c>
      <c r="O606" s="53" t="s">
        <v>56</v>
      </c>
      <c r="P606" s="8" t="s">
        <v>470</v>
      </c>
      <c r="Q606" s="9" t="s">
        <v>94</v>
      </c>
      <c r="R606" s="8" t="s">
        <v>272</v>
      </c>
      <c r="S606" s="8" t="s">
        <v>2532</v>
      </c>
      <c r="T606" s="10">
        <v>3.104561896E9</v>
      </c>
      <c r="U606" s="53" t="s">
        <v>61</v>
      </c>
      <c r="V606" s="113"/>
      <c r="W606" s="113"/>
      <c r="X606" s="113"/>
      <c r="Y606" s="54" t="s">
        <v>62</v>
      </c>
      <c r="Z606" s="28"/>
      <c r="AA606" s="29"/>
      <c r="AB606" s="29"/>
      <c r="AC606" s="29"/>
      <c r="AD606" s="29"/>
      <c r="AE606" s="29"/>
      <c r="AF606" s="29"/>
      <c r="AG606" s="29"/>
      <c r="AH606" s="30"/>
      <c r="AI606" s="30"/>
      <c r="AJ606" s="28"/>
      <c r="AK606" s="28"/>
      <c r="AL606" s="28"/>
      <c r="AM606" s="32"/>
      <c r="AN606" s="32"/>
      <c r="AO606" s="28"/>
      <c r="AP606" s="28"/>
    </row>
    <row r="607">
      <c r="A607" s="53" t="s">
        <v>2533</v>
      </c>
      <c r="B607" s="53" t="s">
        <v>2534</v>
      </c>
      <c r="C607" s="53" t="s">
        <v>1202</v>
      </c>
      <c r="D607" s="53" t="s">
        <v>1203</v>
      </c>
      <c r="E607" s="53" t="s">
        <v>1204</v>
      </c>
      <c r="F607" s="53" t="s">
        <v>47</v>
      </c>
      <c r="G607" s="53" t="s">
        <v>1205</v>
      </c>
      <c r="H607" s="53" t="s">
        <v>1206</v>
      </c>
      <c r="I607" s="53" t="s">
        <v>50</v>
      </c>
      <c r="J607" s="53" t="s">
        <v>51</v>
      </c>
      <c r="K607" s="73" t="s">
        <v>52</v>
      </c>
      <c r="L607" s="53" t="s">
        <v>84</v>
      </c>
      <c r="M607" s="53" t="s">
        <v>69</v>
      </c>
      <c r="N607" s="53" t="s">
        <v>85</v>
      </c>
      <c r="O607" s="53" t="s">
        <v>70</v>
      </c>
      <c r="P607" s="20" t="s">
        <v>2412</v>
      </c>
      <c r="Q607" s="21" t="s">
        <v>111</v>
      </c>
      <c r="R607" s="20" t="s">
        <v>278</v>
      </c>
      <c r="S607" s="20" t="s">
        <v>2535</v>
      </c>
      <c r="T607" s="22">
        <v>5.73204271265E11</v>
      </c>
      <c r="U607" s="53" t="s">
        <v>75</v>
      </c>
      <c r="V607" s="113"/>
      <c r="W607" s="113"/>
      <c r="X607" s="113"/>
      <c r="Y607" s="54">
        <v>5.0</v>
      </c>
      <c r="Z607" s="13"/>
      <c r="AA607" s="13"/>
      <c r="AB607" s="13"/>
      <c r="AC607" s="13"/>
      <c r="AD607" s="13"/>
      <c r="AE607" s="13"/>
      <c r="AF607" s="14"/>
      <c r="AG607" s="14"/>
      <c r="AH607" s="15"/>
      <c r="AI607" s="16"/>
      <c r="AJ607" s="13"/>
      <c r="AK607" s="17"/>
      <c r="AL607" s="17"/>
      <c r="AM607" s="17"/>
      <c r="AN607" s="17"/>
      <c r="AO607" s="13"/>
      <c r="AP607" s="14"/>
    </row>
    <row r="608">
      <c r="A608" s="53" t="s">
        <v>2536</v>
      </c>
      <c r="B608" s="53" t="s">
        <v>2537</v>
      </c>
      <c r="C608" s="53" t="s">
        <v>1202</v>
      </c>
      <c r="D608" s="53" t="s">
        <v>1203</v>
      </c>
      <c r="E608" s="53" t="s">
        <v>1204</v>
      </c>
      <c r="F608" s="53" t="s">
        <v>47</v>
      </c>
      <c r="G608" s="53" t="s">
        <v>1205</v>
      </c>
      <c r="H608" s="53" t="s">
        <v>1206</v>
      </c>
      <c r="I608" s="53" t="s">
        <v>50</v>
      </c>
      <c r="J608" s="53" t="s">
        <v>51</v>
      </c>
      <c r="K608" s="73" t="s">
        <v>52</v>
      </c>
      <c r="L608" s="53" t="s">
        <v>53</v>
      </c>
      <c r="M608" s="53" t="s">
        <v>54</v>
      </c>
      <c r="N608" s="53" t="s">
        <v>55</v>
      </c>
      <c r="O608" s="53" t="s">
        <v>70</v>
      </c>
      <c r="P608" s="20" t="s">
        <v>1353</v>
      </c>
      <c r="Q608" s="21" t="s">
        <v>111</v>
      </c>
      <c r="R608" s="20" t="s">
        <v>904</v>
      </c>
      <c r="S608" s="20" t="s">
        <v>2538</v>
      </c>
      <c r="T608" s="22">
        <v>5.7312408518E11</v>
      </c>
      <c r="U608" s="53" t="s">
        <v>75</v>
      </c>
      <c r="V608" s="113"/>
      <c r="W608" s="113"/>
      <c r="X608" s="113"/>
      <c r="Y608" s="54">
        <v>5.0</v>
      </c>
      <c r="Z608" s="28"/>
      <c r="AA608" s="28"/>
      <c r="AB608" s="28"/>
      <c r="AC608" s="28"/>
      <c r="AD608" s="28"/>
      <c r="AE608" s="28"/>
      <c r="AF608" s="29"/>
      <c r="AG608" s="29"/>
      <c r="AH608" s="30"/>
      <c r="AI608" s="31"/>
      <c r="AJ608" s="28"/>
      <c r="AK608" s="32"/>
      <c r="AL608" s="32"/>
      <c r="AM608" s="32"/>
      <c r="AN608" s="32"/>
      <c r="AO608" s="28"/>
      <c r="AP608" s="29"/>
    </row>
    <row r="609">
      <c r="A609" s="53" t="s">
        <v>2539</v>
      </c>
      <c r="B609" s="53" t="s">
        <v>2540</v>
      </c>
      <c r="C609" s="53" t="s">
        <v>1202</v>
      </c>
      <c r="D609" s="53" t="s">
        <v>1203</v>
      </c>
      <c r="E609" s="53" t="s">
        <v>1204</v>
      </c>
      <c r="F609" s="53" t="s">
        <v>47</v>
      </c>
      <c r="G609" s="53" t="s">
        <v>1205</v>
      </c>
      <c r="H609" s="53" t="s">
        <v>1206</v>
      </c>
      <c r="I609" s="53" t="s">
        <v>50</v>
      </c>
      <c r="J609" s="53" t="s">
        <v>51</v>
      </c>
      <c r="K609" s="73" t="s">
        <v>52</v>
      </c>
      <c r="L609" s="53" t="s">
        <v>53</v>
      </c>
      <c r="M609" s="53" t="s">
        <v>69</v>
      </c>
      <c r="N609" s="53" t="s">
        <v>55</v>
      </c>
      <c r="O609" s="53" t="s">
        <v>70</v>
      </c>
      <c r="P609" s="20" t="s">
        <v>2541</v>
      </c>
      <c r="Q609" s="21" t="s">
        <v>58</v>
      </c>
      <c r="R609" s="20" t="s">
        <v>173</v>
      </c>
      <c r="S609" s="20" t="s">
        <v>2542</v>
      </c>
      <c r="T609" s="22">
        <v>5.73016889462E11</v>
      </c>
      <c r="U609" s="53" t="s">
        <v>61</v>
      </c>
      <c r="V609" s="113"/>
      <c r="W609" s="113"/>
      <c r="X609" s="113"/>
      <c r="Y609" s="54">
        <v>5.0</v>
      </c>
      <c r="Z609" s="34"/>
      <c r="AA609" s="34"/>
      <c r="AB609" s="34"/>
      <c r="AC609" s="34"/>
      <c r="AD609" s="34"/>
      <c r="AE609" s="34"/>
      <c r="AF609" s="35"/>
      <c r="AG609" s="35"/>
      <c r="AH609" s="36"/>
      <c r="AI609" s="37"/>
      <c r="AJ609" s="34"/>
      <c r="AK609" s="38"/>
      <c r="AL609" s="38"/>
      <c r="AM609" s="38"/>
      <c r="AN609" s="38"/>
      <c r="AO609" s="34"/>
      <c r="AP609" s="35"/>
    </row>
    <row r="610">
      <c r="A610" s="53" t="s">
        <v>2543</v>
      </c>
      <c r="B610" s="53" t="s">
        <v>2544</v>
      </c>
      <c r="C610" s="53" t="s">
        <v>1202</v>
      </c>
      <c r="D610" s="53" t="s">
        <v>1203</v>
      </c>
      <c r="E610" s="53" t="s">
        <v>1204</v>
      </c>
      <c r="F610" s="53" t="s">
        <v>47</v>
      </c>
      <c r="G610" s="53" t="s">
        <v>1205</v>
      </c>
      <c r="H610" s="53" t="s">
        <v>1206</v>
      </c>
      <c r="I610" s="53" t="s">
        <v>50</v>
      </c>
      <c r="J610" s="53" t="s">
        <v>51</v>
      </c>
      <c r="K610" s="73" t="s">
        <v>52</v>
      </c>
      <c r="L610" s="53" t="s">
        <v>53</v>
      </c>
      <c r="M610" s="53" t="s">
        <v>69</v>
      </c>
      <c r="N610" s="53" t="s">
        <v>55</v>
      </c>
      <c r="O610" s="53" t="s">
        <v>70</v>
      </c>
      <c r="P610" s="20" t="s">
        <v>2545</v>
      </c>
      <c r="Q610" s="21" t="s">
        <v>58</v>
      </c>
      <c r="R610" s="20" t="s">
        <v>2546</v>
      </c>
      <c r="S610" s="20" t="s">
        <v>2547</v>
      </c>
      <c r="T610" s="22">
        <v>5.73013832632E11</v>
      </c>
      <c r="U610" s="53" t="s">
        <v>61</v>
      </c>
      <c r="V610" s="113"/>
      <c r="W610" s="113"/>
      <c r="X610" s="113"/>
      <c r="Y610" s="54">
        <v>5.0</v>
      </c>
      <c r="Z610" s="13"/>
      <c r="AA610" s="13"/>
      <c r="AB610" s="13"/>
      <c r="AC610" s="13"/>
      <c r="AD610" s="13"/>
      <c r="AE610" s="13"/>
      <c r="AF610" s="14"/>
      <c r="AG610" s="14"/>
      <c r="AH610" s="15"/>
      <c r="AI610" s="16"/>
      <c r="AJ610" s="13"/>
      <c r="AK610" s="17"/>
      <c r="AL610" s="17"/>
      <c r="AM610" s="17"/>
      <c r="AN610" s="17"/>
      <c r="AO610" s="13"/>
      <c r="AP610" s="14"/>
    </row>
    <row r="611">
      <c r="A611" s="115"/>
      <c r="B611" s="116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O611" s="116"/>
      <c r="P611" s="117"/>
      <c r="Q611" s="117"/>
      <c r="R611" s="117"/>
      <c r="S611" s="117"/>
      <c r="T611" s="114"/>
      <c r="Y611" s="118"/>
      <c r="Z611" s="28"/>
      <c r="AA611" s="28"/>
      <c r="AB611" s="28"/>
      <c r="AC611" s="28"/>
      <c r="AD611" s="28"/>
      <c r="AE611" s="29"/>
      <c r="AF611" s="29"/>
      <c r="AG611" s="29"/>
      <c r="AH611" s="30"/>
      <c r="AI611" s="31"/>
      <c r="AJ611" s="28"/>
      <c r="AK611" s="32"/>
      <c r="AL611" s="32"/>
      <c r="AM611" s="32"/>
      <c r="AN611" s="32"/>
      <c r="AO611" s="28"/>
      <c r="AP611" s="29"/>
    </row>
    <row r="612">
      <c r="A612" s="115"/>
      <c r="B612" s="116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O612" s="116"/>
      <c r="Q612" s="116"/>
      <c r="T612" s="114"/>
      <c r="Y612" s="118"/>
      <c r="Z612" s="28"/>
      <c r="AA612" s="28"/>
      <c r="AB612" s="28"/>
      <c r="AC612" s="29"/>
      <c r="AD612" s="29"/>
      <c r="AE612" s="29"/>
      <c r="AF612" s="29"/>
      <c r="AG612" s="29"/>
      <c r="AH612" s="30"/>
      <c r="AI612" s="31"/>
      <c r="AJ612" s="28"/>
      <c r="AK612" s="32"/>
      <c r="AL612" s="32"/>
      <c r="AM612" s="32"/>
      <c r="AN612" s="32"/>
      <c r="AO612" s="28"/>
      <c r="AP612" s="29"/>
    </row>
    <row r="613">
      <c r="A613" s="115"/>
      <c r="B613" s="116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O613" s="116"/>
      <c r="Q613" s="116"/>
      <c r="T613" s="114"/>
      <c r="Y613" s="118"/>
      <c r="Z613" s="28"/>
      <c r="AA613" s="28"/>
      <c r="AB613" s="28"/>
      <c r="AC613" s="28"/>
      <c r="AD613" s="28"/>
      <c r="AE613" s="29"/>
      <c r="AF613" s="29"/>
      <c r="AG613" s="29"/>
      <c r="AH613" s="30"/>
      <c r="AI613" s="31"/>
      <c r="AJ613" s="28"/>
      <c r="AK613" s="32"/>
      <c r="AL613" s="32"/>
      <c r="AM613" s="32"/>
      <c r="AN613" s="32"/>
      <c r="AO613" s="28"/>
      <c r="AP613" s="29"/>
    </row>
    <row r="614">
      <c r="A614" s="115"/>
      <c r="B614" s="116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O614" s="116"/>
      <c r="Q614" s="116"/>
      <c r="T614" s="114"/>
      <c r="Y614" s="118"/>
      <c r="Z614" s="28"/>
      <c r="AA614" s="28"/>
      <c r="AB614" s="28"/>
      <c r="AC614" s="28"/>
      <c r="AD614" s="28"/>
      <c r="AE614" s="29"/>
      <c r="AF614" s="29"/>
      <c r="AG614" s="29"/>
      <c r="AH614" s="30"/>
      <c r="AI614" s="31"/>
      <c r="AJ614" s="32"/>
      <c r="AK614" s="32"/>
      <c r="AL614" s="32"/>
      <c r="AM614" s="32"/>
      <c r="AN614" s="32"/>
      <c r="AO614" s="28"/>
      <c r="AP614" s="28"/>
    </row>
    <row r="615">
      <c r="A615" s="115"/>
      <c r="B615" s="116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O615" s="116"/>
      <c r="Q615" s="116"/>
      <c r="T615" s="114"/>
      <c r="Y615" s="118"/>
      <c r="Z615" s="28"/>
      <c r="AA615" s="28"/>
      <c r="AB615" s="28"/>
      <c r="AC615" s="28"/>
      <c r="AD615" s="28"/>
      <c r="AE615" s="29"/>
      <c r="AF615" s="29"/>
      <c r="AG615" s="29"/>
      <c r="AH615" s="30"/>
      <c r="AI615" s="31"/>
      <c r="AJ615" s="28"/>
      <c r="AK615" s="28"/>
      <c r="AL615" s="28"/>
      <c r="AM615" s="28"/>
      <c r="AN615" s="28"/>
      <c r="AO615" s="28"/>
      <c r="AP615" s="29"/>
    </row>
    <row r="616">
      <c r="A616" s="115"/>
      <c r="B616" s="116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O616" s="116"/>
      <c r="Q616" s="116"/>
      <c r="T616" s="114"/>
      <c r="Y616" s="118"/>
      <c r="Z616" s="28"/>
      <c r="AA616" s="28"/>
      <c r="AB616" s="28"/>
      <c r="AC616" s="28"/>
      <c r="AD616" s="28"/>
      <c r="AE616" s="29"/>
      <c r="AF616" s="29"/>
      <c r="AG616" s="29"/>
      <c r="AH616" s="30"/>
      <c r="AI616" s="31"/>
      <c r="AJ616" s="28"/>
      <c r="AK616" s="32"/>
      <c r="AL616" s="32"/>
      <c r="AM616" s="32"/>
      <c r="AN616" s="32"/>
      <c r="AO616" s="28"/>
      <c r="AP616" s="29"/>
    </row>
    <row r="617">
      <c r="A617" s="115"/>
      <c r="B617" s="116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O617" s="116"/>
      <c r="Q617" s="116"/>
      <c r="T617" s="114"/>
      <c r="Y617" s="118"/>
      <c r="Z617" s="28"/>
      <c r="AA617" s="28"/>
      <c r="AB617" s="28"/>
      <c r="AC617" s="28"/>
      <c r="AD617" s="28"/>
      <c r="AE617" s="29"/>
      <c r="AF617" s="29"/>
      <c r="AG617" s="29"/>
      <c r="AH617" s="30"/>
      <c r="AI617" s="31"/>
      <c r="AJ617" s="28"/>
      <c r="AK617" s="32"/>
      <c r="AL617" s="32"/>
      <c r="AM617" s="32"/>
      <c r="AN617" s="32"/>
      <c r="AO617" s="28"/>
      <c r="AP617" s="29"/>
    </row>
    <row r="618">
      <c r="A618" s="115"/>
      <c r="B618" s="116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O618" s="116"/>
      <c r="Q618" s="116"/>
      <c r="T618" s="114"/>
      <c r="Y618" s="118"/>
      <c r="Z618" s="28"/>
      <c r="AA618" s="28"/>
      <c r="AB618" s="28"/>
      <c r="AC618" s="28"/>
      <c r="AD618" s="28"/>
      <c r="AE618" s="29"/>
      <c r="AF618" s="29"/>
      <c r="AG618" s="29"/>
      <c r="AH618" s="30"/>
      <c r="AI618" s="31"/>
      <c r="AJ618" s="28"/>
      <c r="AK618" s="32"/>
      <c r="AL618" s="32"/>
      <c r="AM618" s="32"/>
      <c r="AN618" s="32"/>
      <c r="AO618" s="28"/>
      <c r="AP618" s="29"/>
    </row>
    <row r="619">
      <c r="A619" s="115"/>
      <c r="B619" s="116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O619" s="116"/>
      <c r="Q619" s="116"/>
      <c r="T619" s="114"/>
      <c r="Y619" s="118"/>
      <c r="Z619" s="28"/>
      <c r="AA619" s="28"/>
      <c r="AB619" s="29"/>
      <c r="AC619" s="29"/>
      <c r="AD619" s="29"/>
      <c r="AE619" s="29"/>
      <c r="AF619" s="29"/>
      <c r="AG619" s="29"/>
      <c r="AH619" s="30"/>
      <c r="AI619" s="31"/>
      <c r="AJ619" s="28"/>
      <c r="AK619" s="28"/>
      <c r="AL619" s="32"/>
      <c r="AM619" s="32"/>
      <c r="AN619" s="32"/>
      <c r="AO619" s="28"/>
      <c r="AP619" s="29"/>
    </row>
    <row r="620">
      <c r="A620" s="115"/>
      <c r="B620" s="116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O620" s="116"/>
      <c r="Q620" s="116"/>
      <c r="T620" s="114"/>
      <c r="Y620" s="118"/>
      <c r="Z620" s="28"/>
      <c r="AA620" s="28"/>
      <c r="AB620" s="28"/>
      <c r="AC620" s="28"/>
      <c r="AD620" s="28"/>
      <c r="AE620" s="28"/>
      <c r="AF620" s="29"/>
      <c r="AG620" s="29"/>
      <c r="AH620" s="30"/>
      <c r="AI620" s="31"/>
      <c r="AJ620" s="28"/>
      <c r="AK620" s="28"/>
      <c r="AL620" s="28"/>
      <c r="AM620" s="32"/>
      <c r="AN620" s="32"/>
      <c r="AO620" s="28"/>
      <c r="AP620" s="29"/>
    </row>
    <row r="621">
      <c r="A621" s="115"/>
      <c r="B621" s="116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O621" s="116"/>
      <c r="Q621" s="116"/>
      <c r="T621" s="114"/>
      <c r="Y621" s="118"/>
      <c r="Z621" s="28"/>
      <c r="AA621" s="28"/>
      <c r="AB621" s="28"/>
      <c r="AC621" s="29"/>
      <c r="AD621" s="29"/>
      <c r="AE621" s="29"/>
      <c r="AF621" s="29"/>
      <c r="AG621" s="29"/>
      <c r="AH621" s="30"/>
      <c r="AI621" s="31"/>
      <c r="AJ621" s="28"/>
      <c r="AK621" s="32"/>
      <c r="AL621" s="32"/>
      <c r="AM621" s="32"/>
      <c r="AN621" s="32"/>
      <c r="AO621" s="28"/>
      <c r="AP621" s="29"/>
    </row>
    <row r="622">
      <c r="A622" s="115"/>
      <c r="B622" s="116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O622" s="116"/>
      <c r="Q622" s="116"/>
      <c r="T622" s="114"/>
      <c r="Y622" s="118"/>
      <c r="Z622" s="28"/>
      <c r="AA622" s="28"/>
      <c r="AB622" s="28"/>
      <c r="AC622" s="28"/>
      <c r="AD622" s="29"/>
      <c r="AE622" s="29"/>
      <c r="AF622" s="29"/>
      <c r="AG622" s="29"/>
      <c r="AH622" s="30"/>
      <c r="AI622" s="31"/>
      <c r="AJ622" s="28"/>
      <c r="AK622" s="28"/>
      <c r="AL622" s="28"/>
      <c r="AM622" s="32"/>
      <c r="AN622" s="32"/>
      <c r="AO622" s="32"/>
      <c r="AP622" s="29"/>
    </row>
    <row r="623">
      <c r="A623" s="115"/>
      <c r="B623" s="116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O623" s="116"/>
      <c r="Q623" s="116"/>
      <c r="T623" s="114"/>
      <c r="Y623" s="118"/>
      <c r="Z623" s="28"/>
      <c r="AA623" s="28"/>
      <c r="AB623" s="28"/>
      <c r="AC623" s="28"/>
      <c r="AD623" s="28"/>
      <c r="AE623" s="29"/>
      <c r="AF623" s="29"/>
      <c r="AG623" s="29"/>
      <c r="AH623" s="30"/>
      <c r="AI623" s="31"/>
      <c r="AJ623" s="28"/>
      <c r="AK623" s="32"/>
      <c r="AL623" s="32"/>
      <c r="AM623" s="32"/>
      <c r="AN623" s="32"/>
      <c r="AO623" s="28"/>
      <c r="AP623" s="29"/>
    </row>
    <row r="624">
      <c r="A624" s="115"/>
      <c r="B624" s="116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O624" s="116"/>
      <c r="Q624" s="116"/>
      <c r="T624" s="114"/>
      <c r="Y624" s="118"/>
      <c r="Z624" s="28"/>
      <c r="AA624" s="28"/>
      <c r="AB624" s="28"/>
      <c r="AC624" s="28"/>
      <c r="AD624" s="29"/>
      <c r="AE624" s="29"/>
      <c r="AF624" s="29"/>
      <c r="AG624" s="29"/>
      <c r="AH624" s="30"/>
      <c r="AI624" s="31"/>
      <c r="AJ624" s="28"/>
      <c r="AK624" s="32"/>
      <c r="AL624" s="32"/>
      <c r="AM624" s="32"/>
      <c r="AN624" s="32"/>
      <c r="AO624" s="32"/>
      <c r="AP624" s="29"/>
    </row>
    <row r="625">
      <c r="A625" s="115"/>
      <c r="B625" s="116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O625" s="116"/>
      <c r="Q625" s="116"/>
      <c r="T625" s="114"/>
      <c r="Y625" s="118"/>
      <c r="Z625" s="28"/>
      <c r="AA625" s="28"/>
      <c r="AB625" s="28"/>
      <c r="AC625" s="28"/>
      <c r="AD625" s="28"/>
      <c r="AE625" s="28"/>
      <c r="AF625" s="29"/>
      <c r="AG625" s="29"/>
      <c r="AH625" s="30"/>
      <c r="AI625" s="31"/>
      <c r="AJ625" s="32"/>
      <c r="AK625" s="32"/>
      <c r="AL625" s="32"/>
      <c r="AM625" s="32"/>
      <c r="AN625" s="32"/>
      <c r="AO625" s="32"/>
      <c r="AP625" s="29"/>
    </row>
    <row r="626">
      <c r="A626" s="115"/>
      <c r="B626" s="116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O626" s="116"/>
      <c r="Q626" s="116"/>
      <c r="T626" s="114"/>
      <c r="Y626" s="118"/>
      <c r="Z626" s="28"/>
      <c r="AA626" s="28"/>
      <c r="AB626" s="28"/>
      <c r="AC626" s="28"/>
      <c r="AD626" s="29"/>
      <c r="AE626" s="29"/>
      <c r="AF626" s="29"/>
      <c r="AG626" s="29"/>
      <c r="AH626" s="30"/>
      <c r="AI626" s="31"/>
      <c r="AJ626" s="28"/>
      <c r="AK626" s="32"/>
      <c r="AL626" s="32"/>
      <c r="AM626" s="32"/>
      <c r="AN626" s="32"/>
      <c r="AO626" s="28"/>
      <c r="AP626" s="29"/>
    </row>
    <row r="627">
      <c r="A627" s="115"/>
      <c r="B627" s="116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O627" s="116"/>
      <c r="Q627" s="116"/>
      <c r="T627" s="114"/>
      <c r="Y627" s="118"/>
      <c r="Z627" s="28"/>
      <c r="AA627" s="28"/>
      <c r="AB627" s="28"/>
      <c r="AC627" s="28"/>
      <c r="AD627" s="28"/>
      <c r="AE627" s="29"/>
      <c r="AF627" s="29"/>
      <c r="AG627" s="29"/>
      <c r="AH627" s="30"/>
      <c r="AI627" s="31"/>
      <c r="AJ627" s="32"/>
      <c r="AK627" s="32"/>
      <c r="AL627" s="32"/>
      <c r="AM627" s="32"/>
      <c r="AN627" s="32"/>
      <c r="AO627" s="32"/>
      <c r="AP627" s="29"/>
    </row>
    <row r="628">
      <c r="A628" s="115"/>
      <c r="B628" s="116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O628" s="116"/>
      <c r="Q628" s="116"/>
      <c r="T628" s="114"/>
      <c r="Y628" s="118"/>
      <c r="Z628" s="28"/>
      <c r="AA628" s="28"/>
      <c r="AB628" s="28"/>
      <c r="AC628" s="29"/>
      <c r="AD628" s="29"/>
      <c r="AE628" s="29"/>
      <c r="AF628" s="29"/>
      <c r="AG628" s="29"/>
      <c r="AH628" s="30"/>
      <c r="AI628" s="31"/>
      <c r="AJ628" s="28"/>
      <c r="AK628" s="28"/>
      <c r="AL628" s="28"/>
      <c r="AM628" s="32"/>
      <c r="AN628" s="32"/>
      <c r="AO628" s="28"/>
      <c r="AP628" s="29"/>
    </row>
    <row r="629">
      <c r="A629" s="115"/>
      <c r="B629" s="116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O629" s="116"/>
      <c r="Q629" s="116"/>
      <c r="T629" s="114"/>
      <c r="V629" s="23"/>
      <c r="W629" s="23"/>
      <c r="X629" s="23"/>
      <c r="Y629" s="118"/>
      <c r="Z629" s="28"/>
      <c r="AA629" s="28"/>
      <c r="AB629" s="29"/>
      <c r="AC629" s="29"/>
      <c r="AD629" s="29"/>
      <c r="AE629" s="29"/>
      <c r="AF629" s="29"/>
      <c r="AG629" s="29"/>
      <c r="AH629" s="30"/>
      <c r="AI629" s="32"/>
      <c r="AJ629" s="28"/>
      <c r="AK629" s="32"/>
      <c r="AL629" s="32"/>
      <c r="AM629" s="32"/>
      <c r="AN629" s="32"/>
      <c r="AO629" s="28"/>
      <c r="AP629" s="29"/>
    </row>
    <row r="630">
      <c r="A630" s="115"/>
      <c r="B630" s="116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O630" s="116"/>
      <c r="Q630" s="116"/>
      <c r="T630" s="114"/>
      <c r="Y630" s="118"/>
      <c r="Z630" s="28"/>
      <c r="AA630" s="28"/>
      <c r="AB630" s="28"/>
      <c r="AC630" s="29"/>
      <c r="AD630" s="29"/>
      <c r="AE630" s="29"/>
      <c r="AF630" s="29"/>
      <c r="AG630" s="29"/>
      <c r="AH630" s="30"/>
      <c r="AI630" s="31"/>
      <c r="AJ630" s="28"/>
      <c r="AK630" s="32"/>
      <c r="AL630" s="32"/>
      <c r="AM630" s="32"/>
      <c r="AN630" s="32"/>
      <c r="AO630" s="28"/>
      <c r="AP630" s="29"/>
    </row>
    <row r="631">
      <c r="A631" s="115"/>
      <c r="B631" s="116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O631" s="116"/>
      <c r="Q631" s="116"/>
      <c r="T631" s="114"/>
      <c r="Y631" s="118"/>
      <c r="Z631" s="28"/>
      <c r="AA631" s="28"/>
      <c r="AB631" s="28"/>
      <c r="AC631" s="28"/>
      <c r="AD631" s="28"/>
      <c r="AE631" s="28"/>
      <c r="AF631" s="29"/>
      <c r="AG631" s="29"/>
      <c r="AH631" s="30"/>
      <c r="AI631" s="31"/>
      <c r="AJ631" s="28"/>
      <c r="AK631" s="32"/>
      <c r="AL631" s="32"/>
      <c r="AM631" s="32"/>
      <c r="AN631" s="32"/>
      <c r="AO631" s="28"/>
      <c r="AP631" s="29"/>
    </row>
    <row r="632">
      <c r="A632" s="115"/>
      <c r="B632" s="116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O632" s="116"/>
      <c r="Q632" s="116"/>
      <c r="T632" s="114"/>
      <c r="Y632" s="118"/>
      <c r="Z632" s="28"/>
      <c r="AA632" s="28"/>
      <c r="AB632" s="28"/>
      <c r="AC632" s="28"/>
      <c r="AD632" s="28"/>
      <c r="AE632" s="28"/>
      <c r="AF632" s="29"/>
      <c r="AG632" s="29"/>
      <c r="AH632" s="30"/>
      <c r="AI632" s="31"/>
      <c r="AJ632" s="28"/>
      <c r="AK632" s="32"/>
      <c r="AL632" s="32"/>
      <c r="AM632" s="32"/>
      <c r="AN632" s="32"/>
      <c r="AO632" s="32"/>
      <c r="AP632" s="29"/>
    </row>
    <row r="633">
      <c r="A633" s="115"/>
      <c r="B633" s="116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O633" s="116"/>
      <c r="Q633" s="116"/>
      <c r="T633" s="114"/>
      <c r="Y633" s="118"/>
      <c r="Z633" s="28"/>
      <c r="AA633" s="28"/>
      <c r="AB633" s="28"/>
      <c r="AC633" s="29"/>
      <c r="AD633" s="29"/>
      <c r="AE633" s="29"/>
      <c r="AF633" s="29"/>
      <c r="AG633" s="29"/>
      <c r="AH633" s="30"/>
      <c r="AI633" s="31"/>
      <c r="AJ633" s="28"/>
      <c r="AK633" s="32"/>
      <c r="AL633" s="32"/>
      <c r="AM633" s="32"/>
      <c r="AN633" s="32"/>
      <c r="AO633" s="28"/>
      <c r="AP633" s="29"/>
    </row>
    <row r="634">
      <c r="A634" s="115"/>
      <c r="B634" s="116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O634" s="116"/>
      <c r="Q634" s="116"/>
      <c r="T634" s="114"/>
      <c r="Y634" s="118"/>
      <c r="Z634" s="28"/>
      <c r="AA634" s="28"/>
      <c r="AB634" s="28"/>
      <c r="AC634" s="28"/>
      <c r="AD634" s="28"/>
      <c r="AE634" s="28"/>
      <c r="AF634" s="29"/>
      <c r="AG634" s="29"/>
      <c r="AH634" s="30"/>
      <c r="AI634" s="31"/>
      <c r="AJ634" s="28"/>
      <c r="AK634" s="32"/>
      <c r="AL634" s="32"/>
      <c r="AM634" s="32"/>
      <c r="AN634" s="32"/>
      <c r="AO634" s="28"/>
      <c r="AP634" s="29"/>
    </row>
    <row r="635">
      <c r="A635" s="115"/>
      <c r="B635" s="116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O635" s="116"/>
      <c r="Q635" s="116"/>
      <c r="T635" s="114"/>
      <c r="Y635" s="118"/>
      <c r="Z635" s="28"/>
      <c r="AA635" s="28"/>
      <c r="AB635" s="28"/>
      <c r="AC635" s="28"/>
      <c r="AD635" s="28"/>
      <c r="AE635" s="29"/>
      <c r="AF635" s="29"/>
      <c r="AG635" s="29"/>
      <c r="AH635" s="30"/>
      <c r="AI635" s="31"/>
      <c r="AJ635" s="28"/>
      <c r="AK635" s="32"/>
      <c r="AL635" s="32"/>
      <c r="AM635" s="32"/>
      <c r="AN635" s="32"/>
      <c r="AO635" s="28"/>
      <c r="AP635" s="29"/>
    </row>
    <row r="636">
      <c r="A636" s="115"/>
      <c r="B636" s="116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O636" s="116"/>
      <c r="Q636" s="116"/>
      <c r="T636" s="114"/>
      <c r="Y636" s="118"/>
      <c r="Z636" s="28"/>
      <c r="AA636" s="28"/>
      <c r="AB636" s="28"/>
      <c r="AC636" s="29"/>
      <c r="AD636" s="29"/>
      <c r="AE636" s="29"/>
      <c r="AF636" s="29"/>
      <c r="AG636" s="29"/>
      <c r="AH636" s="30"/>
      <c r="AI636" s="31"/>
      <c r="AJ636" s="28"/>
      <c r="AK636" s="32"/>
      <c r="AL636" s="32"/>
      <c r="AM636" s="32"/>
      <c r="AN636" s="32"/>
      <c r="AO636" s="28"/>
      <c r="AP636" s="29"/>
    </row>
    <row r="637">
      <c r="A637" s="115"/>
      <c r="B637" s="116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O637" s="116"/>
      <c r="Q637" s="116"/>
      <c r="T637" s="114"/>
      <c r="Y637" s="118"/>
      <c r="Z637" s="28"/>
      <c r="AA637" s="28"/>
      <c r="AB637" s="28"/>
      <c r="AC637" s="29"/>
      <c r="AD637" s="29"/>
      <c r="AE637" s="29"/>
      <c r="AF637" s="29"/>
      <c r="AG637" s="29"/>
      <c r="AH637" s="30"/>
      <c r="AI637" s="31"/>
      <c r="AJ637" s="28"/>
      <c r="AK637" s="32"/>
      <c r="AL637" s="32"/>
      <c r="AM637" s="32"/>
      <c r="AN637" s="32"/>
      <c r="AO637" s="28"/>
      <c r="AP637" s="29"/>
    </row>
    <row r="638">
      <c r="A638" s="115"/>
      <c r="B638" s="116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O638" s="116"/>
      <c r="Q638" s="116"/>
      <c r="T638" s="114"/>
      <c r="Y638" s="118"/>
      <c r="Z638" s="28"/>
      <c r="AA638" s="28"/>
      <c r="AB638" s="28"/>
      <c r="AC638" s="29"/>
      <c r="AD638" s="29"/>
      <c r="AE638" s="29"/>
      <c r="AF638" s="29"/>
      <c r="AG638" s="29"/>
      <c r="AH638" s="30"/>
      <c r="AI638" s="31"/>
      <c r="AJ638" s="32"/>
      <c r="AK638" s="32"/>
      <c r="AL638" s="32"/>
      <c r="AM638" s="32"/>
      <c r="AN638" s="32"/>
      <c r="AO638" s="32"/>
      <c r="AP638" s="29"/>
    </row>
    <row r="639">
      <c r="A639" s="115"/>
      <c r="B639" s="116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O639" s="116"/>
      <c r="Q639" s="116"/>
      <c r="T639" s="114"/>
      <c r="Y639" s="118"/>
      <c r="Z639" s="28"/>
      <c r="AA639" s="28"/>
      <c r="AB639" s="28"/>
      <c r="AC639" s="28"/>
      <c r="AD639" s="28"/>
      <c r="AE639" s="29"/>
      <c r="AF639" s="29"/>
      <c r="AG639" s="29"/>
      <c r="AH639" s="30"/>
      <c r="AI639" s="31"/>
      <c r="AJ639" s="28"/>
      <c r="AK639" s="32"/>
      <c r="AL639" s="32"/>
      <c r="AM639" s="32"/>
      <c r="AN639" s="32"/>
      <c r="AO639" s="28"/>
      <c r="AP639" s="29"/>
    </row>
    <row r="640">
      <c r="A640" s="115"/>
      <c r="B640" s="116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O640" s="116"/>
      <c r="Q640" s="116"/>
      <c r="T640" s="114"/>
      <c r="Y640" s="118"/>
      <c r="Z640" s="28"/>
      <c r="AA640" s="28"/>
      <c r="AB640" s="28"/>
      <c r="AC640" s="28"/>
      <c r="AD640" s="28"/>
      <c r="AE640" s="28"/>
      <c r="AF640" s="29"/>
      <c r="AG640" s="29"/>
      <c r="AH640" s="30"/>
      <c r="AI640" s="31"/>
      <c r="AJ640" s="28"/>
      <c r="AK640" s="32"/>
      <c r="AL640" s="32"/>
      <c r="AM640" s="32"/>
      <c r="AN640" s="32"/>
      <c r="AO640" s="28"/>
      <c r="AP640" s="29"/>
    </row>
    <row r="641">
      <c r="A641" s="115"/>
      <c r="B641" s="116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O641" s="116"/>
      <c r="Q641" s="116"/>
      <c r="T641" s="114"/>
      <c r="Y641" s="118"/>
      <c r="Z641" s="28"/>
      <c r="AA641" s="28"/>
      <c r="AB641" s="28"/>
      <c r="AC641" s="28"/>
      <c r="AD641" s="28"/>
      <c r="AE641" s="29"/>
      <c r="AF641" s="29"/>
      <c r="AG641" s="29"/>
      <c r="AH641" s="30"/>
      <c r="AI641" s="31"/>
      <c r="AJ641" s="32"/>
      <c r="AK641" s="32"/>
      <c r="AL641" s="32"/>
      <c r="AM641" s="32"/>
      <c r="AN641" s="32"/>
      <c r="AO641" s="32"/>
      <c r="AP641" s="29"/>
    </row>
    <row r="642">
      <c r="A642" s="115"/>
      <c r="B642" s="116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O642" s="116"/>
      <c r="Q642" s="116"/>
      <c r="T642" s="114"/>
      <c r="Y642" s="118"/>
      <c r="Z642" s="28"/>
      <c r="AA642" s="29"/>
      <c r="AB642" s="29"/>
      <c r="AC642" s="29"/>
      <c r="AD642" s="29"/>
      <c r="AE642" s="29"/>
      <c r="AF642" s="29"/>
      <c r="AG642" s="29"/>
      <c r="AH642" s="30"/>
      <c r="AI642" s="32"/>
      <c r="AJ642" s="28"/>
      <c r="AK642" s="32"/>
      <c r="AL642" s="32"/>
      <c r="AM642" s="32"/>
      <c r="AN642" s="32"/>
      <c r="AO642" s="28"/>
      <c r="AP642" s="29"/>
    </row>
    <row r="643">
      <c r="A643" s="115"/>
      <c r="B643" s="116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O643" s="116"/>
      <c r="Q643" s="116"/>
      <c r="T643" s="114"/>
      <c r="Y643" s="118"/>
      <c r="Z643" s="28"/>
      <c r="AA643" s="28"/>
      <c r="AB643" s="28"/>
      <c r="AC643" s="29"/>
      <c r="AD643" s="29"/>
      <c r="AE643" s="29"/>
      <c r="AF643" s="29"/>
      <c r="AG643" s="29"/>
      <c r="AH643" s="30"/>
      <c r="AI643" s="31"/>
      <c r="AJ643" s="32"/>
      <c r="AK643" s="32"/>
      <c r="AL643" s="32"/>
      <c r="AM643" s="32"/>
      <c r="AN643" s="32"/>
      <c r="AO643" s="32"/>
      <c r="AP643" s="29"/>
    </row>
    <row r="644">
      <c r="A644" s="115"/>
      <c r="B644" s="116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O644" s="116"/>
      <c r="Q644" s="116"/>
      <c r="T644" s="114"/>
      <c r="Y644" s="118"/>
      <c r="Z644" s="28"/>
      <c r="AA644" s="29"/>
      <c r="AB644" s="29"/>
      <c r="AC644" s="29"/>
      <c r="AD644" s="29"/>
      <c r="AE644" s="29"/>
      <c r="AF644" s="29"/>
      <c r="AG644" s="29"/>
      <c r="AH644" s="30"/>
      <c r="AI644" s="31"/>
      <c r="AJ644" s="28"/>
      <c r="AK644" s="32"/>
      <c r="AL644" s="32"/>
      <c r="AM644" s="32"/>
      <c r="AN644" s="32"/>
      <c r="AO644" s="28"/>
      <c r="AP644" s="29"/>
    </row>
    <row r="645">
      <c r="A645" s="115"/>
      <c r="B645" s="116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O645" s="116"/>
      <c r="Q645" s="116"/>
      <c r="T645" s="114"/>
      <c r="Y645" s="118"/>
      <c r="Z645" s="28"/>
      <c r="AA645" s="28"/>
      <c r="AB645" s="29"/>
      <c r="AC645" s="29"/>
      <c r="AD645" s="29"/>
      <c r="AE645" s="29"/>
      <c r="AF645" s="29"/>
      <c r="AG645" s="29"/>
      <c r="AH645" s="30"/>
      <c r="AI645" s="31"/>
      <c r="AJ645" s="28"/>
      <c r="AK645" s="32"/>
      <c r="AL645" s="32"/>
      <c r="AM645" s="32"/>
      <c r="AN645" s="32"/>
      <c r="AO645" s="28"/>
      <c r="AP645" s="29"/>
    </row>
    <row r="646">
      <c r="A646" s="115"/>
      <c r="B646" s="116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O646" s="116"/>
      <c r="Q646" s="116"/>
      <c r="T646" s="114"/>
      <c r="Y646" s="118"/>
      <c r="Z646" s="28"/>
      <c r="AA646" s="28"/>
      <c r="AB646" s="28"/>
      <c r="AC646" s="28"/>
      <c r="AD646" s="29"/>
      <c r="AE646" s="29"/>
      <c r="AF646" s="29"/>
      <c r="AG646" s="29"/>
      <c r="AH646" s="30"/>
      <c r="AI646" s="31"/>
      <c r="AJ646" s="28"/>
      <c r="AK646" s="28"/>
      <c r="AL646" s="32"/>
      <c r="AM646" s="32"/>
      <c r="AN646" s="32"/>
      <c r="AO646" s="28"/>
      <c r="AP646" s="29"/>
    </row>
    <row r="647">
      <c r="A647" s="115"/>
      <c r="B647" s="116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O647" s="116"/>
      <c r="Q647" s="116"/>
      <c r="T647" s="114"/>
      <c r="Y647" s="118"/>
      <c r="Z647" s="28"/>
      <c r="AA647" s="28"/>
      <c r="AB647" s="28"/>
      <c r="AC647" s="28"/>
      <c r="AD647" s="28"/>
      <c r="AE647" s="29"/>
      <c r="AF647" s="29"/>
      <c r="AG647" s="29"/>
      <c r="AH647" s="30"/>
      <c r="AI647" s="31"/>
      <c r="AJ647" s="28"/>
      <c r="AK647" s="32"/>
      <c r="AL647" s="32"/>
      <c r="AM647" s="32"/>
      <c r="AN647" s="32"/>
      <c r="AO647" s="28"/>
      <c r="AP647" s="29"/>
    </row>
    <row r="648">
      <c r="A648" s="115"/>
      <c r="B648" s="116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O648" s="116"/>
      <c r="Q648" s="116"/>
      <c r="T648" s="114"/>
      <c r="Y648" s="118"/>
      <c r="Z648" s="28"/>
      <c r="AA648" s="28"/>
      <c r="AB648" s="28"/>
      <c r="AC648" s="28"/>
      <c r="AD648" s="29"/>
      <c r="AE648" s="29"/>
      <c r="AF648" s="29"/>
      <c r="AG648" s="29"/>
      <c r="AH648" s="30"/>
      <c r="AI648" s="31"/>
      <c r="AJ648" s="28"/>
      <c r="AK648" s="28"/>
      <c r="AL648" s="28"/>
      <c r="AM648" s="32"/>
      <c r="AN648" s="32"/>
      <c r="AO648" s="28"/>
      <c r="AP648" s="29"/>
    </row>
    <row r="649">
      <c r="A649" s="115"/>
      <c r="B649" s="116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O649" s="116"/>
      <c r="Q649" s="116"/>
      <c r="T649" s="114"/>
      <c r="Y649" s="118"/>
      <c r="Z649" s="28"/>
      <c r="AA649" s="28"/>
      <c r="AB649" s="28"/>
      <c r="AC649" s="29"/>
      <c r="AD649" s="29"/>
      <c r="AE649" s="29"/>
      <c r="AF649" s="29"/>
      <c r="AG649" s="29"/>
      <c r="AH649" s="30"/>
      <c r="AI649" s="31"/>
      <c r="AJ649" s="28"/>
      <c r="AK649" s="32"/>
      <c r="AL649" s="32"/>
      <c r="AM649" s="32"/>
      <c r="AN649" s="32"/>
      <c r="AO649" s="32"/>
      <c r="AP649" s="29"/>
    </row>
    <row r="650">
      <c r="A650" s="115"/>
      <c r="B650" s="116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O650" s="116"/>
      <c r="Q650" s="116"/>
      <c r="T650" s="114"/>
      <c r="Y650" s="118"/>
      <c r="Z650" s="28"/>
      <c r="AA650" s="28"/>
      <c r="AB650" s="28"/>
      <c r="AC650" s="28"/>
      <c r="AD650" s="29"/>
      <c r="AE650" s="29"/>
      <c r="AF650" s="29"/>
      <c r="AG650" s="29"/>
      <c r="AH650" s="30"/>
      <c r="AI650" s="31"/>
      <c r="AJ650" s="32"/>
      <c r="AK650" s="32"/>
      <c r="AL650" s="32"/>
      <c r="AM650" s="32"/>
      <c r="AN650" s="32"/>
      <c r="AO650" s="32"/>
      <c r="AP650" s="29"/>
    </row>
    <row r="651">
      <c r="A651" s="115"/>
      <c r="B651" s="116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O651" s="116"/>
      <c r="Q651" s="116"/>
      <c r="T651" s="114"/>
      <c r="Y651" s="118"/>
      <c r="Z651" s="28"/>
      <c r="AA651" s="28"/>
      <c r="AB651" s="28"/>
      <c r="AC651" s="29"/>
      <c r="AD651" s="29"/>
      <c r="AE651" s="29"/>
      <c r="AF651" s="29"/>
      <c r="AG651" s="29"/>
      <c r="AH651" s="30"/>
      <c r="AI651" s="31"/>
      <c r="AJ651" s="28"/>
      <c r="AK651" s="32"/>
      <c r="AL651" s="32"/>
      <c r="AM651" s="32"/>
      <c r="AN651" s="32"/>
      <c r="AO651" s="28"/>
      <c r="AP651" s="29"/>
    </row>
    <row r="652">
      <c r="A652" s="115"/>
      <c r="B652" s="116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O652" s="116"/>
      <c r="Q652" s="116"/>
      <c r="T652" s="114"/>
      <c r="Y652" s="118"/>
      <c r="Z652" s="28"/>
      <c r="AA652" s="28"/>
      <c r="AB652" s="29"/>
      <c r="AC652" s="29"/>
      <c r="AD652" s="29"/>
      <c r="AE652" s="29"/>
      <c r="AF652" s="29"/>
      <c r="AG652" s="29"/>
      <c r="AH652" s="30"/>
      <c r="AI652" s="31"/>
      <c r="AJ652" s="28"/>
      <c r="AK652" s="32"/>
      <c r="AL652" s="32"/>
      <c r="AM652" s="32"/>
      <c r="AN652" s="32"/>
      <c r="AO652" s="32"/>
      <c r="AP652" s="29"/>
    </row>
    <row r="653">
      <c r="A653" s="115"/>
      <c r="B653" s="116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O653" s="116"/>
      <c r="Q653" s="116"/>
      <c r="T653" s="114"/>
      <c r="Y653" s="118"/>
      <c r="Z653" s="28"/>
      <c r="AA653" s="28"/>
      <c r="AB653" s="28"/>
      <c r="AC653" s="28"/>
      <c r="AD653" s="28"/>
      <c r="AE653" s="29"/>
      <c r="AF653" s="29"/>
      <c r="AG653" s="29"/>
      <c r="AH653" s="30"/>
      <c r="AI653" s="31"/>
      <c r="AJ653" s="28"/>
      <c r="AK653" s="32"/>
      <c r="AL653" s="32"/>
      <c r="AM653" s="32"/>
      <c r="AN653" s="32"/>
      <c r="AO653" s="28"/>
      <c r="AP653" s="29"/>
    </row>
    <row r="654">
      <c r="A654" s="115"/>
      <c r="B654" s="116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O654" s="116"/>
      <c r="Q654" s="116"/>
      <c r="T654" s="114"/>
      <c r="Y654" s="118"/>
      <c r="Z654" s="28"/>
      <c r="AA654" s="28"/>
      <c r="AB654" s="28"/>
      <c r="AC654" s="29"/>
      <c r="AD654" s="29"/>
      <c r="AE654" s="29"/>
      <c r="AF654" s="29"/>
      <c r="AG654" s="29"/>
      <c r="AH654" s="30"/>
      <c r="AI654" s="31"/>
      <c r="AJ654" s="28"/>
      <c r="AK654" s="32"/>
      <c r="AL654" s="32"/>
      <c r="AM654" s="32"/>
      <c r="AN654" s="32"/>
      <c r="AO654" s="32"/>
      <c r="AP654" s="29"/>
    </row>
    <row r="655">
      <c r="A655" s="115"/>
      <c r="B655" s="116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O655" s="116"/>
      <c r="Q655" s="116"/>
      <c r="T655" s="114"/>
      <c r="Y655" s="118"/>
      <c r="Z655" s="28"/>
      <c r="AA655" s="28"/>
      <c r="AB655" s="28"/>
      <c r="AC655" s="29"/>
      <c r="AD655" s="29"/>
      <c r="AE655" s="29"/>
      <c r="AF655" s="29"/>
      <c r="AG655" s="29"/>
      <c r="AH655" s="30"/>
      <c r="AI655" s="31"/>
      <c r="AJ655" s="28"/>
      <c r="AK655" s="32"/>
      <c r="AL655" s="32"/>
      <c r="AM655" s="32"/>
      <c r="AN655" s="32"/>
      <c r="AO655" s="28"/>
      <c r="AP655" s="29"/>
    </row>
    <row r="656">
      <c r="A656" s="115"/>
      <c r="B656" s="116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O656" s="116"/>
      <c r="Q656" s="116"/>
      <c r="T656" s="114"/>
      <c r="Y656" s="118"/>
      <c r="Z656" s="28"/>
      <c r="AA656" s="28"/>
      <c r="AB656" s="28"/>
      <c r="AC656" s="28"/>
      <c r="AD656" s="28"/>
      <c r="AE656" s="29"/>
      <c r="AF656" s="29"/>
      <c r="AG656" s="29"/>
      <c r="AH656" s="30"/>
      <c r="AI656" s="31"/>
      <c r="AJ656" s="28"/>
      <c r="AK656" s="32"/>
      <c r="AL656" s="32"/>
      <c r="AM656" s="32"/>
      <c r="AN656" s="32"/>
      <c r="AO656" s="28"/>
      <c r="AP656" s="29"/>
    </row>
    <row r="657">
      <c r="A657" s="115"/>
      <c r="B657" s="116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O657" s="116"/>
      <c r="Q657" s="116"/>
      <c r="T657" s="114"/>
      <c r="Y657" s="118"/>
      <c r="Z657" s="28"/>
      <c r="AA657" s="28"/>
      <c r="AB657" s="29"/>
      <c r="AC657" s="29"/>
      <c r="AD657" s="29"/>
      <c r="AE657" s="29"/>
      <c r="AF657" s="29"/>
      <c r="AG657" s="29"/>
      <c r="AH657" s="30"/>
      <c r="AI657" s="31"/>
      <c r="AJ657" s="28"/>
      <c r="AK657" s="32"/>
      <c r="AL657" s="32"/>
      <c r="AM657" s="32"/>
      <c r="AN657" s="32"/>
      <c r="AO657" s="28"/>
      <c r="AP657" s="29"/>
    </row>
    <row r="658">
      <c r="A658" s="115"/>
      <c r="B658" s="116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O658" s="116"/>
      <c r="Q658" s="116"/>
      <c r="T658" s="114"/>
      <c r="Y658" s="118"/>
      <c r="Z658" s="28"/>
      <c r="AA658" s="28"/>
      <c r="AB658" s="28"/>
      <c r="AC658" s="28"/>
      <c r="AD658" s="28"/>
      <c r="AE658" s="29"/>
      <c r="AF658" s="29"/>
      <c r="AG658" s="29"/>
      <c r="AH658" s="30"/>
      <c r="AI658" s="31"/>
      <c r="AJ658" s="28"/>
      <c r="AK658" s="32"/>
      <c r="AL658" s="32"/>
      <c r="AM658" s="32"/>
      <c r="AN658" s="32"/>
      <c r="AO658" s="32"/>
      <c r="AP658" s="29"/>
    </row>
    <row r="659">
      <c r="A659" s="115"/>
      <c r="B659" s="116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O659" s="116"/>
      <c r="Q659" s="116"/>
      <c r="T659" s="114"/>
      <c r="Y659" s="118"/>
      <c r="Z659" s="28"/>
      <c r="AA659" s="28"/>
      <c r="AB659" s="28"/>
      <c r="AC659" s="28"/>
      <c r="AD659" s="29"/>
      <c r="AE659" s="29"/>
      <c r="AF659" s="29"/>
      <c r="AG659" s="29"/>
      <c r="AH659" s="30"/>
      <c r="AI659" s="31"/>
      <c r="AJ659" s="28"/>
      <c r="AK659" s="32"/>
      <c r="AL659" s="32"/>
      <c r="AM659" s="32"/>
      <c r="AN659" s="32"/>
      <c r="AO659" s="28"/>
      <c r="AP659" s="29"/>
    </row>
    <row r="660">
      <c r="A660" s="115"/>
      <c r="B660" s="116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O660" s="116"/>
      <c r="Q660" s="116"/>
      <c r="T660" s="114"/>
      <c r="Y660" s="118"/>
      <c r="Z660" s="28"/>
      <c r="AA660" s="28"/>
      <c r="AB660" s="28"/>
      <c r="AC660" s="28"/>
      <c r="AD660" s="29"/>
      <c r="AE660" s="29"/>
      <c r="AF660" s="29"/>
      <c r="AG660" s="29"/>
      <c r="AH660" s="30"/>
      <c r="AI660" s="31"/>
      <c r="AJ660" s="28"/>
      <c r="AK660" s="32"/>
      <c r="AL660" s="32"/>
      <c r="AM660" s="32"/>
      <c r="AN660" s="32"/>
      <c r="AO660" s="28"/>
      <c r="AP660" s="29"/>
    </row>
    <row r="661">
      <c r="A661" s="115"/>
      <c r="B661" s="116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O661" s="116"/>
      <c r="Q661" s="116"/>
      <c r="T661" s="114"/>
      <c r="Y661" s="118"/>
      <c r="Z661" s="28"/>
      <c r="AA661" s="28"/>
      <c r="AB661" s="28"/>
      <c r="AC661" s="28"/>
      <c r="AD661" s="29"/>
      <c r="AE661" s="29"/>
      <c r="AF661" s="29"/>
      <c r="AG661" s="29"/>
      <c r="AH661" s="30"/>
      <c r="AI661" s="31"/>
      <c r="AJ661" s="28"/>
      <c r="AK661" s="32"/>
      <c r="AL661" s="32"/>
      <c r="AM661" s="32"/>
      <c r="AN661" s="32"/>
      <c r="AO661" s="28"/>
      <c r="AP661" s="29"/>
    </row>
    <row r="662">
      <c r="A662" s="115"/>
      <c r="B662" s="116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O662" s="116"/>
      <c r="Q662" s="116"/>
      <c r="T662" s="114"/>
      <c r="Y662" s="118"/>
      <c r="Z662" s="28"/>
      <c r="AA662" s="28"/>
      <c r="AB662" s="28"/>
      <c r="AC662" s="29"/>
      <c r="AD662" s="29"/>
      <c r="AE662" s="29"/>
      <c r="AF662" s="29"/>
      <c r="AG662" s="29"/>
      <c r="AH662" s="30"/>
      <c r="AI662" s="31"/>
      <c r="AJ662" s="28"/>
      <c r="AK662" s="32"/>
      <c r="AL662" s="32"/>
      <c r="AM662" s="32"/>
      <c r="AN662" s="32"/>
      <c r="AO662" s="28"/>
      <c r="AP662" s="29"/>
    </row>
    <row r="663">
      <c r="A663" s="115"/>
      <c r="B663" s="116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O663" s="116"/>
      <c r="Q663" s="116"/>
      <c r="T663" s="114"/>
      <c r="Y663" s="118"/>
      <c r="Z663" s="28"/>
      <c r="AA663" s="28"/>
      <c r="AB663" s="29"/>
      <c r="AC663" s="29"/>
      <c r="AD663" s="29"/>
      <c r="AE663" s="29"/>
      <c r="AF663" s="29"/>
      <c r="AG663" s="29"/>
      <c r="AH663" s="30"/>
      <c r="AI663" s="31"/>
      <c r="AJ663" s="28"/>
      <c r="AK663" s="32"/>
      <c r="AL663" s="32"/>
      <c r="AM663" s="32"/>
      <c r="AN663" s="32"/>
      <c r="AO663" s="28"/>
      <c r="AP663" s="29"/>
    </row>
    <row r="664">
      <c r="A664" s="115"/>
      <c r="B664" s="116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O664" s="116"/>
      <c r="Q664" s="116"/>
      <c r="T664" s="114"/>
      <c r="Y664" s="118"/>
      <c r="Z664" s="28"/>
      <c r="AA664" s="28"/>
      <c r="AB664" s="28"/>
      <c r="AC664" s="28"/>
      <c r="AD664" s="29"/>
      <c r="AE664" s="29"/>
      <c r="AF664" s="29"/>
      <c r="AG664" s="29"/>
      <c r="AH664" s="30"/>
      <c r="AI664" s="31"/>
      <c r="AJ664" s="28"/>
      <c r="AK664" s="32"/>
      <c r="AL664" s="32"/>
      <c r="AM664" s="32"/>
      <c r="AN664" s="32"/>
      <c r="AO664" s="28"/>
      <c r="AP664" s="29"/>
    </row>
    <row r="665">
      <c r="A665" s="115"/>
      <c r="B665" s="116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O665" s="116"/>
      <c r="Q665" s="116"/>
      <c r="T665" s="114"/>
      <c r="Y665" s="118"/>
      <c r="Z665" s="28"/>
      <c r="AA665" s="28"/>
      <c r="AB665" s="28"/>
      <c r="AC665" s="29"/>
      <c r="AD665" s="29"/>
      <c r="AE665" s="29"/>
      <c r="AF665" s="29"/>
      <c r="AG665" s="29"/>
      <c r="AH665" s="30"/>
      <c r="AI665" s="31"/>
      <c r="AJ665" s="28"/>
      <c r="AK665" s="32"/>
      <c r="AL665" s="32"/>
      <c r="AM665" s="32"/>
      <c r="AN665" s="32"/>
      <c r="AO665" s="28"/>
      <c r="AP665" s="29"/>
    </row>
    <row r="666">
      <c r="A666" s="115"/>
      <c r="B666" s="116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O666" s="116"/>
      <c r="Q666" s="116"/>
      <c r="T666" s="114"/>
      <c r="Y666" s="118"/>
      <c r="Z666" s="28"/>
      <c r="AA666" s="28"/>
      <c r="AB666" s="29"/>
      <c r="AC666" s="29"/>
      <c r="AD666" s="29"/>
      <c r="AE666" s="29"/>
      <c r="AF666" s="29"/>
      <c r="AG666" s="29"/>
      <c r="AH666" s="30"/>
      <c r="AI666" s="31"/>
      <c r="AJ666" s="28"/>
      <c r="AK666" s="28"/>
      <c r="AL666" s="32"/>
      <c r="AM666" s="32"/>
      <c r="AN666" s="32"/>
      <c r="AO666" s="28"/>
      <c r="AP666" s="29"/>
    </row>
    <row r="667">
      <c r="A667" s="115"/>
      <c r="B667" s="116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O667" s="116"/>
      <c r="Q667" s="116"/>
      <c r="T667" s="114"/>
      <c r="Y667" s="118"/>
      <c r="Z667" s="28"/>
      <c r="AA667" s="29"/>
      <c r="AB667" s="29"/>
      <c r="AC667" s="29"/>
      <c r="AD667" s="29"/>
      <c r="AE667" s="29"/>
      <c r="AF667" s="29"/>
      <c r="AG667" s="29"/>
      <c r="AH667" s="30"/>
      <c r="AI667" s="32"/>
      <c r="AJ667" s="32"/>
      <c r="AK667" s="32"/>
      <c r="AL667" s="32"/>
      <c r="AM667" s="32"/>
      <c r="AN667" s="32"/>
      <c r="AO667" s="32"/>
      <c r="AP667" s="29"/>
    </row>
    <row r="668">
      <c r="A668" s="115"/>
      <c r="B668" s="116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O668" s="116"/>
      <c r="Q668" s="116"/>
      <c r="T668" s="114"/>
      <c r="Y668" s="118"/>
      <c r="Z668" s="28"/>
      <c r="AA668" s="28"/>
      <c r="AB668" s="28"/>
      <c r="AC668" s="28"/>
      <c r="AD668" s="29"/>
      <c r="AE668" s="29"/>
      <c r="AF668" s="29"/>
      <c r="AG668" s="29"/>
      <c r="AH668" s="30"/>
      <c r="AI668" s="31"/>
      <c r="AJ668" s="32"/>
      <c r="AK668" s="32"/>
      <c r="AL668" s="32"/>
      <c r="AM668" s="32"/>
      <c r="AN668" s="32"/>
      <c r="AO668" s="32"/>
      <c r="AP668" s="29"/>
    </row>
    <row r="669">
      <c r="A669" s="115"/>
      <c r="B669" s="116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O669" s="116"/>
      <c r="Q669" s="116"/>
      <c r="T669" s="114"/>
      <c r="Y669" s="118"/>
      <c r="Z669" s="28"/>
      <c r="AA669" s="28"/>
      <c r="AB669" s="28"/>
      <c r="AC669" s="28"/>
      <c r="AD669" s="29"/>
      <c r="AE669" s="29"/>
      <c r="AF669" s="29"/>
      <c r="AG669" s="29"/>
      <c r="AH669" s="30"/>
      <c r="AI669" s="31"/>
      <c r="AJ669" s="28"/>
      <c r="AK669" s="28"/>
      <c r="AL669" s="32"/>
      <c r="AM669" s="32"/>
      <c r="AN669" s="32"/>
      <c r="AO669" s="28"/>
      <c r="AP669" s="29"/>
    </row>
    <row r="670">
      <c r="A670" s="115"/>
      <c r="B670" s="116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O670" s="116"/>
      <c r="Q670" s="116"/>
      <c r="T670" s="114"/>
      <c r="Y670" s="118"/>
      <c r="Z670" s="28"/>
      <c r="AA670" s="28"/>
      <c r="AB670" s="28"/>
      <c r="AC670" s="28"/>
      <c r="AD670" s="29"/>
      <c r="AE670" s="29"/>
      <c r="AF670" s="29"/>
      <c r="AG670" s="29"/>
      <c r="AH670" s="30"/>
      <c r="AI670" s="31"/>
      <c r="AJ670" s="28"/>
      <c r="AK670" s="32"/>
      <c r="AL670" s="32"/>
      <c r="AM670" s="32"/>
      <c r="AN670" s="32"/>
      <c r="AO670" s="28"/>
      <c r="AP670" s="29"/>
    </row>
    <row r="671">
      <c r="A671" s="115"/>
      <c r="B671" s="116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O671" s="116"/>
      <c r="Q671" s="116"/>
      <c r="T671" s="114"/>
      <c r="Y671" s="118"/>
      <c r="Z671" s="28"/>
      <c r="AA671" s="28"/>
      <c r="AB671" s="29"/>
      <c r="AC671" s="29"/>
      <c r="AD671" s="29"/>
      <c r="AE671" s="29"/>
      <c r="AF671" s="29"/>
      <c r="AG671" s="29"/>
      <c r="AH671" s="30"/>
      <c r="AI671" s="31"/>
      <c r="AJ671" s="28"/>
      <c r="AK671" s="32"/>
      <c r="AL671" s="32"/>
      <c r="AM671" s="32"/>
      <c r="AN671" s="32"/>
      <c r="AO671" s="28"/>
      <c r="AP671" s="29"/>
    </row>
    <row r="672">
      <c r="A672" s="115"/>
      <c r="B672" s="116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O672" s="116"/>
      <c r="Q672" s="116"/>
      <c r="T672" s="114"/>
      <c r="Y672" s="118"/>
      <c r="Z672" s="28"/>
      <c r="AA672" s="28"/>
      <c r="AB672" s="28"/>
      <c r="AC672" s="29"/>
      <c r="AD672" s="29"/>
      <c r="AE672" s="29"/>
      <c r="AF672" s="29"/>
      <c r="AG672" s="29"/>
      <c r="AH672" s="30"/>
      <c r="AI672" s="31"/>
      <c r="AJ672" s="28"/>
      <c r="AK672" s="32"/>
      <c r="AL672" s="32"/>
      <c r="AM672" s="32"/>
      <c r="AN672" s="32"/>
      <c r="AO672" s="28"/>
      <c r="AP672" s="29"/>
    </row>
    <row r="673">
      <c r="A673" s="115"/>
      <c r="B673" s="116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O673" s="116"/>
      <c r="Q673" s="116"/>
      <c r="T673" s="114"/>
      <c r="Y673" s="118"/>
      <c r="Z673" s="28"/>
      <c r="AA673" s="28"/>
      <c r="AB673" s="28"/>
      <c r="AC673" s="29"/>
      <c r="AD673" s="29"/>
      <c r="AE673" s="29"/>
      <c r="AF673" s="29"/>
      <c r="AG673" s="29"/>
      <c r="AH673" s="30"/>
      <c r="AI673" s="31"/>
      <c r="AJ673" s="28"/>
      <c r="AK673" s="32"/>
      <c r="AL673" s="32"/>
      <c r="AM673" s="32"/>
      <c r="AN673" s="32"/>
      <c r="AO673" s="28"/>
      <c r="AP673" s="29"/>
    </row>
    <row r="674">
      <c r="A674" s="115"/>
      <c r="B674" s="116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O674" s="116"/>
      <c r="Q674" s="116"/>
      <c r="T674" s="114"/>
      <c r="Y674" s="118"/>
      <c r="Z674" s="28"/>
      <c r="AA674" s="28"/>
      <c r="AB674" s="28"/>
      <c r="AC674" s="29"/>
      <c r="AD674" s="29"/>
      <c r="AE674" s="29"/>
      <c r="AF674" s="29"/>
      <c r="AG674" s="29"/>
      <c r="AH674" s="30"/>
      <c r="AI674" s="31"/>
      <c r="AJ674" s="28"/>
      <c r="AK674" s="28"/>
      <c r="AL674" s="28"/>
      <c r="AM674" s="28"/>
      <c r="AN674" s="32"/>
      <c r="AO674" s="28"/>
      <c r="AP674" s="29"/>
    </row>
    <row r="675">
      <c r="A675" s="115"/>
      <c r="B675" s="116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O675" s="116"/>
      <c r="Q675" s="116"/>
      <c r="T675" s="114"/>
      <c r="Y675" s="118"/>
      <c r="Z675" s="28"/>
      <c r="AA675" s="28"/>
      <c r="AB675" s="28"/>
      <c r="AC675" s="28"/>
      <c r="AD675" s="29"/>
      <c r="AE675" s="29"/>
      <c r="AF675" s="29"/>
      <c r="AG675" s="29"/>
      <c r="AH675" s="30"/>
      <c r="AI675" s="31"/>
      <c r="AJ675" s="32"/>
      <c r="AK675" s="32"/>
      <c r="AL675" s="32"/>
      <c r="AM675" s="32"/>
      <c r="AN675" s="32"/>
      <c r="AO675" s="32"/>
      <c r="AP675" s="29"/>
    </row>
    <row r="676">
      <c r="A676" s="115"/>
      <c r="B676" s="116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O676" s="116"/>
      <c r="Q676" s="116"/>
      <c r="T676" s="114"/>
      <c r="Y676" s="118"/>
      <c r="Z676" s="28"/>
      <c r="AA676" s="28"/>
      <c r="AB676" s="28"/>
      <c r="AC676" s="28"/>
      <c r="AD676" s="28"/>
      <c r="AE676" s="29"/>
      <c r="AF676" s="29"/>
      <c r="AG676" s="29"/>
      <c r="AH676" s="30"/>
      <c r="AI676" s="31"/>
      <c r="AJ676" s="28"/>
      <c r="AK676" s="32"/>
      <c r="AL676" s="32"/>
      <c r="AM676" s="32"/>
      <c r="AN676" s="32"/>
      <c r="AO676" s="28"/>
      <c r="AP676" s="29"/>
    </row>
    <row r="677">
      <c r="A677" s="115"/>
      <c r="B677" s="116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O677" s="116"/>
      <c r="Q677" s="116"/>
      <c r="T677" s="114"/>
      <c r="Y677" s="118"/>
      <c r="Z677" s="28"/>
      <c r="AA677" s="28"/>
      <c r="AB677" s="28"/>
      <c r="AC677" s="29"/>
      <c r="AD677" s="29"/>
      <c r="AE677" s="29"/>
      <c r="AF677" s="29"/>
      <c r="AG677" s="29"/>
      <c r="AH677" s="30"/>
      <c r="AI677" s="31"/>
      <c r="AJ677" s="32"/>
      <c r="AK677" s="32"/>
      <c r="AL677" s="32"/>
      <c r="AM677" s="32"/>
      <c r="AN677" s="32"/>
      <c r="AO677" s="32"/>
      <c r="AP677" s="29"/>
    </row>
    <row r="678">
      <c r="A678" s="115"/>
      <c r="B678" s="116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O678" s="116"/>
      <c r="Q678" s="116"/>
      <c r="T678" s="114"/>
      <c r="Y678" s="118"/>
      <c r="Z678" s="28"/>
      <c r="AA678" s="28"/>
      <c r="AB678" s="28"/>
      <c r="AC678" s="28"/>
      <c r="AD678" s="28"/>
      <c r="AE678" s="29"/>
      <c r="AF678" s="29"/>
      <c r="AG678" s="29"/>
      <c r="AH678" s="30"/>
      <c r="AI678" s="31"/>
      <c r="AJ678" s="28"/>
      <c r="AK678" s="32"/>
      <c r="AL678" s="32"/>
      <c r="AM678" s="32"/>
      <c r="AN678" s="32"/>
      <c r="AO678" s="28"/>
      <c r="AP678" s="29"/>
    </row>
    <row r="679">
      <c r="A679" s="115"/>
      <c r="B679" s="116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O679" s="116"/>
      <c r="Q679" s="116"/>
      <c r="T679" s="114"/>
      <c r="Y679" s="118"/>
      <c r="Z679" s="28"/>
      <c r="AA679" s="28"/>
      <c r="AB679" s="28"/>
      <c r="AC679" s="28"/>
      <c r="AD679" s="28"/>
      <c r="AE679" s="29"/>
      <c r="AF679" s="29"/>
      <c r="AG679" s="29"/>
      <c r="AH679" s="30"/>
      <c r="AI679" s="31"/>
      <c r="AJ679" s="28"/>
      <c r="AK679" s="32"/>
      <c r="AL679" s="32"/>
      <c r="AM679" s="32"/>
      <c r="AN679" s="32"/>
      <c r="AO679" s="28"/>
      <c r="AP679" s="29"/>
    </row>
    <row r="680">
      <c r="A680" s="115"/>
      <c r="B680" s="116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O680" s="116"/>
      <c r="Q680" s="116"/>
      <c r="T680" s="114"/>
      <c r="Y680" s="118"/>
      <c r="Z680" s="28"/>
      <c r="AA680" s="28"/>
      <c r="AB680" s="29"/>
      <c r="AC680" s="29"/>
      <c r="AD680" s="29"/>
      <c r="AE680" s="29"/>
      <c r="AF680" s="29"/>
      <c r="AG680" s="29"/>
      <c r="AH680" s="30"/>
      <c r="AI680" s="31"/>
      <c r="AJ680" s="28"/>
      <c r="AK680" s="28"/>
      <c r="AL680" s="28"/>
      <c r="AM680" s="28"/>
      <c r="AN680" s="28"/>
      <c r="AO680" s="28"/>
      <c r="AP680" s="29"/>
    </row>
    <row r="681">
      <c r="A681" s="115"/>
      <c r="B681" s="116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O681" s="116"/>
      <c r="Q681" s="116"/>
      <c r="T681" s="114"/>
      <c r="Y681" s="118"/>
      <c r="Z681" s="28"/>
      <c r="AA681" s="28"/>
      <c r="AB681" s="28"/>
      <c r="AC681" s="28"/>
      <c r="AD681" s="28"/>
      <c r="AE681" s="29"/>
      <c r="AF681" s="29"/>
      <c r="AG681" s="29"/>
      <c r="AH681" s="30"/>
      <c r="AI681" s="31"/>
      <c r="AJ681" s="32"/>
      <c r="AK681" s="32"/>
      <c r="AL681" s="32"/>
      <c r="AM681" s="32"/>
      <c r="AN681" s="32"/>
      <c r="AO681" s="32"/>
      <c r="AP681" s="29"/>
    </row>
    <row r="682">
      <c r="A682" s="115"/>
      <c r="B682" s="116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O682" s="116"/>
      <c r="Q682" s="116"/>
      <c r="T682" s="114"/>
      <c r="Y682" s="118"/>
      <c r="Z682" s="28"/>
      <c r="AA682" s="28"/>
      <c r="AB682" s="28"/>
      <c r="AC682" s="29"/>
      <c r="AD682" s="29"/>
      <c r="AE682" s="29"/>
      <c r="AF682" s="29"/>
      <c r="AG682" s="29"/>
      <c r="AH682" s="30"/>
      <c r="AI682" s="31"/>
      <c r="AJ682" s="28"/>
      <c r="AK682" s="28"/>
      <c r="AL682" s="32"/>
      <c r="AM682" s="32"/>
      <c r="AN682" s="32"/>
      <c r="AO682" s="32"/>
      <c r="AP682" s="29"/>
    </row>
    <row r="683">
      <c r="A683" s="115"/>
      <c r="B683" s="116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O683" s="116"/>
      <c r="Q683" s="116"/>
      <c r="T683" s="114"/>
      <c r="Y683" s="118"/>
      <c r="Z683" s="28"/>
      <c r="AA683" s="28"/>
      <c r="AB683" s="28"/>
      <c r="AC683" s="29"/>
      <c r="AD683" s="29"/>
      <c r="AE683" s="29"/>
      <c r="AF683" s="29"/>
      <c r="AG683" s="29"/>
      <c r="AH683" s="30"/>
      <c r="AI683" s="31"/>
      <c r="AJ683" s="28"/>
      <c r="AK683" s="32"/>
      <c r="AL683" s="32"/>
      <c r="AM683" s="32"/>
      <c r="AN683" s="32"/>
      <c r="AO683" s="28"/>
      <c r="AP683" s="29"/>
    </row>
    <row r="684">
      <c r="A684" s="115"/>
      <c r="B684" s="116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O684" s="116"/>
      <c r="Q684" s="116"/>
      <c r="T684" s="114"/>
      <c r="Y684" s="118"/>
      <c r="Z684" s="28"/>
      <c r="AA684" s="28"/>
      <c r="AB684" s="28"/>
      <c r="AC684" s="28"/>
      <c r="AD684" s="28"/>
      <c r="AE684" s="29"/>
      <c r="AF684" s="29"/>
      <c r="AG684" s="29"/>
      <c r="AH684" s="30"/>
      <c r="AI684" s="31"/>
      <c r="AJ684" s="28"/>
      <c r="AK684" s="28"/>
      <c r="AL684" s="28"/>
      <c r="AM684" s="32"/>
      <c r="AN684" s="32"/>
      <c r="AO684" s="28"/>
      <c r="AP684" s="29"/>
    </row>
    <row r="685">
      <c r="A685" s="115"/>
      <c r="B685" s="116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O685" s="116"/>
      <c r="Q685" s="116"/>
      <c r="T685" s="114"/>
      <c r="Y685" s="118"/>
      <c r="Z685" s="28"/>
      <c r="AA685" s="28"/>
      <c r="AB685" s="28"/>
      <c r="AC685" s="28"/>
      <c r="AD685" s="28"/>
      <c r="AE685" s="29"/>
      <c r="AF685" s="29"/>
      <c r="AG685" s="29"/>
      <c r="AH685" s="30"/>
      <c r="AI685" s="31"/>
      <c r="AJ685" s="28"/>
      <c r="AK685" s="32"/>
      <c r="AL685" s="32"/>
      <c r="AM685" s="32"/>
      <c r="AN685" s="32"/>
      <c r="AO685" s="28"/>
      <c r="AP685" s="29"/>
    </row>
    <row r="686">
      <c r="A686" s="115"/>
      <c r="B686" s="116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O686" s="116"/>
      <c r="Q686" s="116"/>
      <c r="T686" s="114"/>
      <c r="Y686" s="118"/>
      <c r="Z686" s="28"/>
      <c r="AA686" s="28"/>
      <c r="AB686" s="28"/>
      <c r="AC686" s="29"/>
      <c r="AD686" s="29"/>
      <c r="AE686" s="29"/>
      <c r="AF686" s="29"/>
      <c r="AG686" s="29"/>
      <c r="AH686" s="30"/>
      <c r="AI686" s="30"/>
      <c r="AJ686" s="28"/>
      <c r="AK686" s="28"/>
      <c r="AL686" s="28"/>
      <c r="AM686" s="28"/>
      <c r="AN686" s="32"/>
      <c r="AO686" s="28"/>
      <c r="AP686" s="29"/>
    </row>
    <row r="687">
      <c r="A687" s="115"/>
      <c r="B687" s="116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O687" s="116"/>
      <c r="Q687" s="116"/>
      <c r="T687" s="114"/>
      <c r="Y687" s="118"/>
      <c r="Z687" s="28"/>
      <c r="AA687" s="28"/>
      <c r="AB687" s="29"/>
      <c r="AC687" s="29"/>
      <c r="AD687" s="29"/>
      <c r="AE687" s="29"/>
      <c r="AF687" s="29"/>
      <c r="AG687" s="29"/>
      <c r="AH687" s="30"/>
      <c r="AI687" s="31"/>
      <c r="AJ687" s="28"/>
      <c r="AK687" s="32"/>
      <c r="AL687" s="32"/>
      <c r="AM687" s="32"/>
      <c r="AN687" s="32"/>
      <c r="AO687" s="28"/>
      <c r="AP687" s="29"/>
    </row>
    <row r="688">
      <c r="A688" s="115"/>
      <c r="B688" s="116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O688" s="116"/>
      <c r="Q688" s="116"/>
      <c r="T688" s="114"/>
      <c r="Y688" s="118"/>
      <c r="Z688" s="28"/>
      <c r="AA688" s="28"/>
      <c r="AB688" s="28"/>
      <c r="AC688" s="29"/>
      <c r="AD688" s="29"/>
      <c r="AE688" s="29"/>
      <c r="AF688" s="29"/>
      <c r="AG688" s="29"/>
      <c r="AH688" s="30"/>
      <c r="AI688" s="31"/>
      <c r="AJ688" s="28"/>
      <c r="AK688" s="32"/>
      <c r="AL688" s="32"/>
      <c r="AM688" s="32"/>
      <c r="AN688" s="32"/>
      <c r="AO688" s="28"/>
      <c r="AP688" s="29"/>
    </row>
    <row r="689">
      <c r="A689" s="115"/>
      <c r="B689" s="116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O689" s="116"/>
      <c r="Q689" s="116"/>
      <c r="T689" s="114"/>
      <c r="Y689" s="118"/>
      <c r="Z689" s="28"/>
      <c r="AA689" s="28"/>
      <c r="AB689" s="28"/>
      <c r="AC689" s="28"/>
      <c r="AD689" s="28"/>
      <c r="AE689" s="28"/>
      <c r="AF689" s="28"/>
      <c r="AG689" s="29"/>
      <c r="AH689" s="30"/>
      <c r="AI689" s="31"/>
      <c r="AJ689" s="28"/>
      <c r="AK689" s="32"/>
      <c r="AL689" s="32"/>
      <c r="AM689" s="32"/>
      <c r="AN689" s="32"/>
      <c r="AO689" s="28"/>
      <c r="AP689" s="29"/>
    </row>
    <row r="690">
      <c r="A690" s="115"/>
      <c r="B690" s="116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O690" s="116"/>
      <c r="Q690" s="116"/>
      <c r="T690" s="114"/>
      <c r="Y690" s="118"/>
      <c r="Z690" s="28"/>
      <c r="AA690" s="28"/>
      <c r="AB690" s="28"/>
      <c r="AC690" s="29"/>
      <c r="AD690" s="29"/>
      <c r="AE690" s="29"/>
      <c r="AF690" s="29"/>
      <c r="AG690" s="29"/>
      <c r="AH690" s="30"/>
      <c r="AI690" s="31"/>
      <c r="AJ690" s="28"/>
      <c r="AK690" s="32"/>
      <c r="AL690" s="32"/>
      <c r="AM690" s="32"/>
      <c r="AN690" s="32"/>
      <c r="AO690" s="28"/>
      <c r="AP690" s="29"/>
    </row>
    <row r="691">
      <c r="A691" s="115"/>
      <c r="B691" s="116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O691" s="116"/>
      <c r="Q691" s="116"/>
      <c r="T691" s="114"/>
      <c r="Y691" s="118"/>
      <c r="Z691" s="28"/>
      <c r="AA691" s="28"/>
      <c r="AB691" s="28"/>
      <c r="AC691" s="28"/>
      <c r="AD691" s="28"/>
      <c r="AE691" s="29"/>
      <c r="AF691" s="29"/>
      <c r="AG691" s="29"/>
      <c r="AH691" s="30"/>
      <c r="AI691" s="31"/>
      <c r="AJ691" s="28"/>
      <c r="AK691" s="32"/>
      <c r="AL691" s="32"/>
      <c r="AM691" s="32"/>
      <c r="AN691" s="32"/>
      <c r="AO691" s="28"/>
      <c r="AP691" s="29"/>
    </row>
    <row r="692">
      <c r="A692" s="115"/>
      <c r="B692" s="116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O692" s="116"/>
      <c r="Q692" s="116"/>
      <c r="T692" s="114"/>
      <c r="Y692" s="118"/>
      <c r="Z692" s="28"/>
      <c r="AA692" s="28"/>
      <c r="AB692" s="28"/>
      <c r="AC692" s="28"/>
      <c r="AD692" s="29"/>
      <c r="AE692" s="29"/>
      <c r="AF692" s="29"/>
      <c r="AG692" s="29"/>
      <c r="AH692" s="30"/>
      <c r="AI692" s="31"/>
      <c r="AJ692" s="28"/>
      <c r="AK692" s="32"/>
      <c r="AL692" s="32"/>
      <c r="AM692" s="32"/>
      <c r="AN692" s="32"/>
      <c r="AO692" s="28"/>
      <c r="AP692" s="29"/>
    </row>
    <row r="693">
      <c r="A693" s="115"/>
      <c r="B693" s="116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O693" s="116"/>
      <c r="Q693" s="116"/>
      <c r="T693" s="114"/>
      <c r="Y693" s="118"/>
      <c r="Z693" s="28"/>
      <c r="AA693" s="28"/>
      <c r="AB693" s="28"/>
      <c r="AC693" s="28"/>
      <c r="AD693" s="29"/>
      <c r="AE693" s="29"/>
      <c r="AF693" s="29"/>
      <c r="AG693" s="29"/>
      <c r="AH693" s="30"/>
      <c r="AI693" s="31"/>
      <c r="AJ693" s="28"/>
      <c r="AK693" s="32"/>
      <c r="AL693" s="32"/>
      <c r="AM693" s="32"/>
      <c r="AN693" s="32"/>
      <c r="AO693" s="28"/>
      <c r="AP693" s="29"/>
    </row>
    <row r="694">
      <c r="A694" s="115"/>
      <c r="B694" s="116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O694" s="116"/>
      <c r="Q694" s="116"/>
      <c r="T694" s="114"/>
      <c r="Y694" s="118"/>
      <c r="Z694" s="28"/>
      <c r="AA694" s="28"/>
      <c r="AB694" s="28"/>
      <c r="AC694" s="28"/>
      <c r="AD694" s="28"/>
      <c r="AE694" s="29"/>
      <c r="AF694" s="29"/>
      <c r="AG694" s="29"/>
      <c r="AH694" s="30"/>
      <c r="AI694" s="31"/>
      <c r="AJ694" s="28"/>
      <c r="AK694" s="32"/>
      <c r="AL694" s="32"/>
      <c r="AM694" s="32"/>
      <c r="AN694" s="32"/>
      <c r="AO694" s="28"/>
      <c r="AP694" s="29"/>
    </row>
    <row r="695">
      <c r="A695" s="115"/>
      <c r="B695" s="116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O695" s="116"/>
      <c r="Q695" s="116"/>
      <c r="T695" s="114"/>
      <c r="Y695" s="118"/>
      <c r="Z695" s="28"/>
      <c r="AA695" s="29"/>
      <c r="AB695" s="29"/>
      <c r="AC695" s="29"/>
      <c r="AD695" s="29"/>
      <c r="AE695" s="29"/>
      <c r="AF695" s="29"/>
      <c r="AG695" s="29"/>
      <c r="AH695" s="30"/>
      <c r="AI695" s="32"/>
      <c r="AJ695" s="28"/>
      <c r="AK695" s="32"/>
      <c r="AL695" s="32"/>
      <c r="AM695" s="32"/>
      <c r="AN695" s="32"/>
      <c r="AO695" s="28"/>
      <c r="AP695" s="28"/>
    </row>
    <row r="696">
      <c r="A696" s="115"/>
      <c r="B696" s="116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O696" s="116"/>
      <c r="Q696" s="116"/>
      <c r="T696" s="114"/>
      <c r="Y696" s="118"/>
      <c r="Z696" s="28"/>
      <c r="AA696" s="28"/>
      <c r="AB696" s="28"/>
      <c r="AC696" s="28"/>
      <c r="AD696" s="29"/>
      <c r="AE696" s="29"/>
      <c r="AF696" s="29"/>
      <c r="AG696" s="29"/>
      <c r="AH696" s="30"/>
      <c r="AI696" s="31"/>
      <c r="AJ696" s="28"/>
      <c r="AK696" s="32"/>
      <c r="AL696" s="32"/>
      <c r="AM696" s="32"/>
      <c r="AN696" s="32"/>
      <c r="AO696" s="28"/>
      <c r="AP696" s="29"/>
    </row>
    <row r="697">
      <c r="A697" s="115"/>
      <c r="B697" s="116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O697" s="116"/>
      <c r="Q697" s="116"/>
      <c r="T697" s="114"/>
      <c r="Y697" s="118"/>
      <c r="Z697" s="28"/>
      <c r="AA697" s="28"/>
      <c r="AB697" s="28"/>
      <c r="AC697" s="28"/>
      <c r="AD697" s="29"/>
      <c r="AE697" s="29"/>
      <c r="AF697" s="29"/>
      <c r="AG697" s="29"/>
      <c r="AH697" s="30"/>
      <c r="AI697" s="31"/>
      <c r="AJ697" s="28"/>
      <c r="AK697" s="28"/>
      <c r="AL697" s="28"/>
      <c r="AM697" s="32"/>
      <c r="AN697" s="32"/>
      <c r="AO697" s="28"/>
      <c r="AP697" s="29"/>
    </row>
    <row r="698">
      <c r="A698" s="115"/>
      <c r="B698" s="116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O698" s="116"/>
      <c r="Q698" s="116"/>
      <c r="T698" s="114"/>
      <c r="Y698" s="118"/>
      <c r="Z698" s="28"/>
      <c r="AA698" s="28"/>
      <c r="AB698" s="29"/>
      <c r="AC698" s="29"/>
      <c r="AD698" s="29"/>
      <c r="AE698" s="29"/>
      <c r="AF698" s="29"/>
      <c r="AG698" s="29"/>
      <c r="AH698" s="30"/>
      <c r="AI698" s="31"/>
      <c r="AJ698" s="28"/>
      <c r="AK698" s="32"/>
      <c r="AL698" s="32"/>
      <c r="AM698" s="32"/>
      <c r="AN698" s="32"/>
      <c r="AO698" s="28"/>
      <c r="AP698" s="29"/>
    </row>
    <row r="699">
      <c r="A699" s="115"/>
      <c r="B699" s="116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O699" s="116"/>
      <c r="Q699" s="116"/>
      <c r="T699" s="114"/>
      <c r="Y699" s="118"/>
      <c r="Z699" s="28"/>
      <c r="AA699" s="28"/>
      <c r="AB699" s="28"/>
      <c r="AC699" s="29"/>
      <c r="AD699" s="29"/>
      <c r="AE699" s="29"/>
      <c r="AF699" s="29"/>
      <c r="AG699" s="29"/>
      <c r="AH699" s="30"/>
      <c r="AI699" s="31"/>
      <c r="AJ699" s="28"/>
      <c r="AK699" s="28"/>
      <c r="AL699" s="32"/>
      <c r="AM699" s="32"/>
      <c r="AN699" s="32"/>
      <c r="AO699" s="28"/>
      <c r="AP699" s="29"/>
    </row>
    <row r="700">
      <c r="A700" s="115"/>
      <c r="B700" s="116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O700" s="116"/>
      <c r="Q700" s="116"/>
      <c r="T700" s="114"/>
      <c r="Y700" s="118"/>
      <c r="Z700" s="28"/>
      <c r="AA700" s="28"/>
      <c r="AB700" s="28"/>
      <c r="AC700" s="28"/>
      <c r="AD700" s="29"/>
      <c r="AE700" s="29"/>
      <c r="AF700" s="29"/>
      <c r="AG700" s="29"/>
      <c r="AH700" s="30"/>
      <c r="AI700" s="31"/>
      <c r="AJ700" s="32"/>
      <c r="AK700" s="32"/>
      <c r="AL700" s="32"/>
      <c r="AM700" s="32"/>
      <c r="AN700" s="32"/>
      <c r="AO700" s="32"/>
      <c r="AP700" s="29"/>
    </row>
    <row r="701">
      <c r="A701" s="115"/>
      <c r="B701" s="116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O701" s="116"/>
      <c r="Q701" s="116"/>
      <c r="T701" s="114"/>
      <c r="Y701" s="118"/>
      <c r="Z701" s="28"/>
      <c r="AA701" s="28"/>
      <c r="AB701" s="28"/>
      <c r="AC701" s="28"/>
      <c r="AD701" s="29"/>
      <c r="AE701" s="29"/>
      <c r="AF701" s="29"/>
      <c r="AG701" s="29"/>
      <c r="AH701" s="30"/>
      <c r="AI701" s="31"/>
      <c r="AJ701" s="28"/>
      <c r="AK701" s="32"/>
      <c r="AL701" s="32"/>
      <c r="AM701" s="32"/>
      <c r="AN701" s="32"/>
      <c r="AO701" s="28"/>
      <c r="AP701" s="29"/>
    </row>
    <row r="702">
      <c r="A702" s="115"/>
      <c r="B702" s="116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O702" s="116"/>
      <c r="Q702" s="116"/>
      <c r="T702" s="114"/>
      <c r="Y702" s="118"/>
      <c r="Z702" s="28"/>
      <c r="AA702" s="29"/>
      <c r="AB702" s="29"/>
      <c r="AC702" s="29"/>
      <c r="AD702" s="29"/>
      <c r="AE702" s="29"/>
      <c r="AF702" s="29"/>
      <c r="AG702" s="29"/>
      <c r="AH702" s="30"/>
      <c r="AI702" s="31"/>
      <c r="AJ702" s="28"/>
      <c r="AK702" s="32"/>
      <c r="AL702" s="32"/>
      <c r="AM702" s="32"/>
      <c r="AN702" s="32"/>
      <c r="AO702" s="32"/>
      <c r="AP702" s="29"/>
    </row>
    <row r="703">
      <c r="A703" s="115"/>
      <c r="B703" s="116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O703" s="116"/>
      <c r="Q703" s="116"/>
      <c r="T703" s="114"/>
      <c r="Y703" s="118"/>
      <c r="Z703" s="28"/>
      <c r="AA703" s="28"/>
      <c r="AB703" s="28"/>
      <c r="AC703" s="28"/>
      <c r="AD703" s="29"/>
      <c r="AE703" s="29"/>
      <c r="AF703" s="29"/>
      <c r="AG703" s="29"/>
      <c r="AH703" s="30"/>
      <c r="AI703" s="31"/>
      <c r="AJ703" s="28"/>
      <c r="AK703" s="32"/>
      <c r="AL703" s="32"/>
      <c r="AM703" s="32"/>
      <c r="AN703" s="32"/>
      <c r="AO703" s="28"/>
      <c r="AP703" s="29"/>
    </row>
    <row r="704">
      <c r="A704" s="115"/>
      <c r="B704" s="116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O704" s="116"/>
      <c r="Q704" s="116"/>
      <c r="T704" s="114"/>
      <c r="Y704" s="118"/>
      <c r="Z704" s="28"/>
      <c r="AA704" s="28"/>
      <c r="AB704" s="29"/>
      <c r="AC704" s="29"/>
      <c r="AD704" s="29"/>
      <c r="AE704" s="29"/>
      <c r="AF704" s="29"/>
      <c r="AG704" s="29"/>
      <c r="AH704" s="30"/>
      <c r="AI704" s="31"/>
      <c r="AJ704" s="28"/>
      <c r="AK704" s="28"/>
      <c r="AL704" s="32"/>
      <c r="AM704" s="32"/>
      <c r="AN704" s="32"/>
      <c r="AO704" s="28"/>
      <c r="AP704" s="29"/>
    </row>
    <row r="705">
      <c r="A705" s="115"/>
      <c r="B705" s="116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O705" s="116"/>
      <c r="Q705" s="116"/>
      <c r="T705" s="114"/>
      <c r="Y705" s="118"/>
      <c r="Z705" s="28"/>
      <c r="AA705" s="28"/>
      <c r="AB705" s="28"/>
      <c r="AC705" s="28"/>
      <c r="AD705" s="28"/>
      <c r="AE705" s="29"/>
      <c r="AF705" s="29"/>
      <c r="AG705" s="29"/>
      <c r="AH705" s="119"/>
      <c r="AI705" s="31"/>
      <c r="AJ705" s="28"/>
      <c r="AK705" s="28"/>
      <c r="AL705" s="32"/>
      <c r="AM705" s="32"/>
      <c r="AN705" s="32"/>
      <c r="AO705" s="32"/>
      <c r="AP705" s="29"/>
    </row>
    <row r="706">
      <c r="A706" s="115"/>
      <c r="B706" s="116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O706" s="116"/>
      <c r="Q706" s="116"/>
      <c r="T706" s="114"/>
      <c r="Y706" s="118"/>
      <c r="Z706" s="28"/>
      <c r="AA706" s="28"/>
      <c r="AB706" s="28"/>
      <c r="AC706" s="29"/>
      <c r="AD706" s="29"/>
      <c r="AE706" s="29"/>
      <c r="AF706" s="29"/>
      <c r="AG706" s="29"/>
      <c r="AH706" s="30"/>
      <c r="AI706" s="31"/>
      <c r="AJ706" s="28"/>
      <c r="AK706" s="28"/>
      <c r="AL706" s="32"/>
      <c r="AM706" s="32"/>
      <c r="AN706" s="32"/>
      <c r="AO706" s="28"/>
      <c r="AP706" s="29"/>
    </row>
    <row r="707">
      <c r="A707" s="115"/>
      <c r="B707" s="116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O707" s="116"/>
      <c r="Q707" s="116"/>
      <c r="T707" s="114"/>
      <c r="Y707" s="118"/>
      <c r="Z707" s="28"/>
      <c r="AA707" s="28"/>
      <c r="AB707" s="28"/>
      <c r="AC707" s="29"/>
      <c r="AD707" s="29"/>
      <c r="AE707" s="29"/>
      <c r="AF707" s="29"/>
      <c r="AG707" s="29"/>
      <c r="AH707" s="30"/>
      <c r="AI707" s="31"/>
      <c r="AJ707" s="28"/>
      <c r="AK707" s="28"/>
      <c r="AL707" s="32"/>
      <c r="AM707" s="32"/>
      <c r="AN707" s="32"/>
      <c r="AO707" s="28"/>
      <c r="AP707" s="29"/>
    </row>
    <row r="708">
      <c r="A708" s="115"/>
      <c r="B708" s="116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O708" s="116"/>
      <c r="Q708" s="116"/>
      <c r="T708" s="114"/>
      <c r="Y708" s="118"/>
      <c r="Z708" s="28"/>
      <c r="AA708" s="28"/>
      <c r="AB708" s="28"/>
      <c r="AC708" s="28"/>
      <c r="AD708" s="29"/>
      <c r="AE708" s="29"/>
      <c r="AF708" s="29"/>
      <c r="AG708" s="29"/>
      <c r="AH708" s="30"/>
      <c r="AI708" s="31"/>
      <c r="AJ708" s="28"/>
      <c r="AK708" s="32"/>
      <c r="AL708" s="32"/>
      <c r="AM708" s="32"/>
      <c r="AN708" s="32"/>
      <c r="AO708" s="28"/>
      <c r="AP708" s="29"/>
    </row>
    <row r="709">
      <c r="A709" s="115"/>
      <c r="B709" s="116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O709" s="116"/>
      <c r="Q709" s="116"/>
      <c r="T709" s="114"/>
      <c r="Y709" s="118"/>
      <c r="Z709" s="28"/>
      <c r="AA709" s="28"/>
      <c r="AB709" s="28"/>
      <c r="AC709" s="28"/>
      <c r="AD709" s="29"/>
      <c r="AE709" s="29"/>
      <c r="AF709" s="29"/>
      <c r="AG709" s="29"/>
      <c r="AH709" s="30"/>
      <c r="AI709" s="31"/>
      <c r="AJ709" s="28"/>
      <c r="AK709" s="32"/>
      <c r="AL709" s="32"/>
      <c r="AM709" s="32"/>
      <c r="AN709" s="32"/>
      <c r="AO709" s="28"/>
      <c r="AP709" s="29"/>
    </row>
    <row r="710">
      <c r="A710" s="115"/>
      <c r="B710" s="116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O710" s="116"/>
      <c r="Q710" s="116"/>
      <c r="T710" s="114"/>
      <c r="Y710" s="118"/>
      <c r="Z710" s="28"/>
      <c r="AA710" s="28"/>
      <c r="AB710" s="28"/>
      <c r="AC710" s="28"/>
      <c r="AD710" s="28"/>
      <c r="AE710" s="29"/>
      <c r="AF710" s="29"/>
      <c r="AG710" s="29"/>
      <c r="AH710" s="30"/>
      <c r="AI710" s="31"/>
      <c r="AJ710" s="28"/>
      <c r="AK710" s="32"/>
      <c r="AL710" s="32"/>
      <c r="AM710" s="32"/>
      <c r="AN710" s="32"/>
      <c r="AO710" s="28"/>
      <c r="AP710" s="29"/>
    </row>
    <row r="711">
      <c r="A711" s="115"/>
      <c r="B711" s="116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O711" s="116"/>
      <c r="Q711" s="116"/>
      <c r="T711" s="114"/>
      <c r="Y711" s="118"/>
      <c r="Z711" s="28"/>
      <c r="AA711" s="28"/>
      <c r="AB711" s="29"/>
      <c r="AC711" s="29"/>
      <c r="AD711" s="29"/>
      <c r="AE711" s="29"/>
      <c r="AF711" s="29"/>
      <c r="AG711" s="29"/>
      <c r="AH711" s="30"/>
      <c r="AI711" s="31"/>
      <c r="AJ711" s="28"/>
      <c r="AK711" s="28"/>
      <c r="AL711" s="32"/>
      <c r="AM711" s="32"/>
      <c r="AN711" s="32"/>
      <c r="AO711" s="28"/>
      <c r="AP711" s="29"/>
    </row>
    <row r="712">
      <c r="A712" s="115"/>
      <c r="B712" s="116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O712" s="116"/>
      <c r="Q712" s="116"/>
      <c r="T712" s="114"/>
      <c r="Y712" s="118"/>
      <c r="Z712" s="28"/>
      <c r="AA712" s="28"/>
      <c r="AB712" s="28"/>
      <c r="AC712" s="28"/>
      <c r="AD712" s="29"/>
      <c r="AE712" s="29"/>
      <c r="AF712" s="29"/>
      <c r="AG712" s="29"/>
      <c r="AH712" s="30"/>
      <c r="AI712" s="31"/>
      <c r="AJ712" s="28"/>
      <c r="AK712" s="28"/>
      <c r="AL712" s="28"/>
      <c r="AM712" s="32"/>
      <c r="AN712" s="32"/>
      <c r="AO712" s="28"/>
      <c r="AP712" s="29"/>
    </row>
    <row r="713">
      <c r="A713" s="115"/>
      <c r="B713" s="116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O713" s="116"/>
      <c r="Q713" s="116"/>
      <c r="T713" s="114"/>
      <c r="Y713" s="118"/>
      <c r="Z713" s="28"/>
      <c r="AA713" s="28"/>
      <c r="AB713" s="29"/>
      <c r="AC713" s="29"/>
      <c r="AD713" s="29"/>
      <c r="AE713" s="29"/>
      <c r="AF713" s="29"/>
      <c r="AG713" s="29"/>
      <c r="AH713" s="30"/>
      <c r="AI713" s="31"/>
      <c r="AJ713" s="28"/>
      <c r="AK713" s="32"/>
      <c r="AL713" s="32"/>
      <c r="AM713" s="32"/>
      <c r="AN713" s="32"/>
      <c r="AO713" s="28"/>
      <c r="AP713" s="29"/>
    </row>
    <row r="714">
      <c r="A714" s="115"/>
      <c r="B714" s="116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O714" s="116"/>
      <c r="Q714" s="116"/>
      <c r="T714" s="114"/>
      <c r="Y714" s="118"/>
      <c r="Z714" s="28"/>
      <c r="AA714" s="28"/>
      <c r="AB714" s="28"/>
      <c r="AC714" s="28"/>
      <c r="AD714" s="29"/>
      <c r="AE714" s="29"/>
      <c r="AF714" s="29"/>
      <c r="AG714" s="29"/>
      <c r="AH714" s="30"/>
      <c r="AI714" s="31"/>
      <c r="AJ714" s="28"/>
      <c r="AK714" s="32"/>
      <c r="AL714" s="32"/>
      <c r="AM714" s="32"/>
      <c r="AN714" s="32"/>
      <c r="AO714" s="28"/>
      <c r="AP714" s="29"/>
    </row>
    <row r="715">
      <c r="A715" s="115"/>
      <c r="B715" s="116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O715" s="116"/>
      <c r="Q715" s="116"/>
      <c r="T715" s="114"/>
      <c r="Y715" s="118"/>
      <c r="Z715" s="28"/>
      <c r="AA715" s="28"/>
      <c r="AB715" s="28"/>
      <c r="AC715" s="28"/>
      <c r="AD715" s="28"/>
      <c r="AE715" s="29"/>
      <c r="AF715" s="29"/>
      <c r="AG715" s="29"/>
      <c r="AH715" s="30"/>
      <c r="AI715" s="31"/>
      <c r="AJ715" s="28"/>
      <c r="AK715" s="32"/>
      <c r="AL715" s="32"/>
      <c r="AM715" s="32"/>
      <c r="AN715" s="32"/>
      <c r="AO715" s="28"/>
      <c r="AP715" s="29"/>
    </row>
    <row r="716">
      <c r="A716" s="115"/>
      <c r="B716" s="116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O716" s="116"/>
      <c r="Q716" s="116"/>
      <c r="T716" s="114"/>
      <c r="Y716" s="118"/>
      <c r="Z716" s="28"/>
      <c r="AA716" s="28"/>
      <c r="AB716" s="28"/>
      <c r="AC716" s="29"/>
      <c r="AD716" s="29"/>
      <c r="AE716" s="29"/>
      <c r="AF716" s="29"/>
      <c r="AG716" s="29"/>
      <c r="AH716" s="30"/>
      <c r="AI716" s="31"/>
      <c r="AJ716" s="28"/>
      <c r="AK716" s="32"/>
      <c r="AL716" s="32"/>
      <c r="AM716" s="32"/>
      <c r="AN716" s="32"/>
      <c r="AO716" s="28"/>
      <c r="AP716" s="29"/>
    </row>
    <row r="717">
      <c r="A717" s="115"/>
      <c r="B717" s="116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O717" s="116"/>
      <c r="Q717" s="116"/>
      <c r="T717" s="114"/>
      <c r="Y717" s="118"/>
      <c r="Z717" s="28"/>
      <c r="AA717" s="28"/>
      <c r="AB717" s="28"/>
      <c r="AC717" s="29"/>
      <c r="AD717" s="29"/>
      <c r="AE717" s="29"/>
      <c r="AF717" s="29"/>
      <c r="AG717" s="29"/>
      <c r="AH717" s="30"/>
      <c r="AI717" s="31"/>
      <c r="AJ717" s="28"/>
      <c r="AK717" s="32"/>
      <c r="AL717" s="32"/>
      <c r="AM717" s="32"/>
      <c r="AN717" s="32"/>
      <c r="AO717" s="28"/>
      <c r="AP717" s="29"/>
    </row>
    <row r="718">
      <c r="A718" s="115"/>
      <c r="B718" s="116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O718" s="116"/>
      <c r="Q718" s="116"/>
      <c r="T718" s="114"/>
      <c r="Y718" s="118"/>
      <c r="Z718" s="28"/>
      <c r="AA718" s="28"/>
      <c r="AB718" s="28"/>
      <c r="AC718" s="28"/>
      <c r="AD718" s="28"/>
      <c r="AE718" s="29"/>
      <c r="AF718" s="29"/>
      <c r="AG718" s="29"/>
      <c r="AH718" s="30"/>
      <c r="AI718" s="31"/>
      <c r="AJ718" s="32"/>
      <c r="AK718" s="32"/>
      <c r="AL718" s="32"/>
      <c r="AM718" s="32"/>
      <c r="AN718" s="32"/>
      <c r="AO718" s="32"/>
      <c r="AP718" s="29"/>
    </row>
    <row r="719">
      <c r="A719" s="115"/>
      <c r="B719" s="116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O719" s="116"/>
      <c r="Q719" s="116"/>
      <c r="T719" s="114"/>
      <c r="Y719" s="118"/>
      <c r="Z719" s="28"/>
      <c r="AA719" s="28"/>
      <c r="AB719" s="28"/>
      <c r="AC719" s="28"/>
      <c r="AD719" s="28"/>
      <c r="AE719" s="29"/>
      <c r="AF719" s="29"/>
      <c r="AG719" s="29"/>
      <c r="AH719" s="30"/>
      <c r="AI719" s="39"/>
      <c r="AJ719" s="28"/>
      <c r="AK719" s="32"/>
      <c r="AL719" s="32"/>
      <c r="AM719" s="32"/>
      <c r="AN719" s="32"/>
      <c r="AO719" s="28"/>
      <c r="AP719" s="29"/>
    </row>
    <row r="720">
      <c r="A720" s="115"/>
      <c r="B720" s="116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O720" s="116"/>
      <c r="Q720" s="116"/>
      <c r="T720" s="114"/>
      <c r="Y720" s="118"/>
      <c r="Z720" s="28"/>
      <c r="AA720" s="28"/>
      <c r="AB720" s="28"/>
      <c r="AC720" s="29"/>
      <c r="AD720" s="29"/>
      <c r="AE720" s="29"/>
      <c r="AF720" s="29"/>
      <c r="AG720" s="29"/>
      <c r="AH720" s="30"/>
      <c r="AI720" s="31"/>
      <c r="AJ720" s="28"/>
      <c r="AK720" s="32"/>
      <c r="AL720" s="32"/>
      <c r="AM720" s="32"/>
      <c r="AN720" s="32"/>
      <c r="AO720" s="28"/>
      <c r="AP720" s="29"/>
    </row>
    <row r="721">
      <c r="A721" s="115"/>
      <c r="B721" s="116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O721" s="116"/>
      <c r="Q721" s="116"/>
      <c r="T721" s="114"/>
      <c r="Y721" s="118"/>
      <c r="Z721" s="28"/>
      <c r="AA721" s="28"/>
      <c r="AB721" s="28"/>
      <c r="AC721" s="28"/>
      <c r="AD721" s="28"/>
      <c r="AE721" s="29"/>
      <c r="AF721" s="29"/>
      <c r="AG721" s="29"/>
      <c r="AH721" s="30"/>
      <c r="AI721" s="31"/>
      <c r="AJ721" s="28"/>
      <c r="AK721" s="32"/>
      <c r="AL721" s="32"/>
      <c r="AM721" s="32"/>
      <c r="AN721" s="32"/>
      <c r="AO721" s="28"/>
      <c r="AP721" s="29"/>
    </row>
    <row r="722">
      <c r="A722" s="115"/>
      <c r="B722" s="116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O722" s="116"/>
      <c r="Q722" s="116"/>
      <c r="T722" s="114"/>
      <c r="Y722" s="118"/>
      <c r="Z722" s="28"/>
      <c r="AA722" s="28"/>
      <c r="AB722" s="28"/>
      <c r="AC722" s="28"/>
      <c r="AD722" s="28"/>
      <c r="AE722" s="28"/>
      <c r="AF722" s="29"/>
      <c r="AG722" s="29"/>
      <c r="AH722" s="30"/>
      <c r="AI722" s="31"/>
      <c r="AJ722" s="28"/>
      <c r="AK722" s="32"/>
      <c r="AL722" s="32"/>
      <c r="AM722" s="32"/>
      <c r="AN722" s="32"/>
      <c r="AO722" s="28"/>
      <c r="AP722" s="29"/>
    </row>
    <row r="723">
      <c r="A723" s="115"/>
      <c r="B723" s="116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O723" s="116"/>
      <c r="Q723" s="116"/>
      <c r="T723" s="114"/>
      <c r="Y723" s="118"/>
      <c r="Z723" s="28"/>
      <c r="AA723" s="28"/>
      <c r="AB723" s="28"/>
      <c r="AC723" s="29"/>
      <c r="AD723" s="29"/>
      <c r="AE723" s="29"/>
      <c r="AF723" s="29"/>
      <c r="AG723" s="29"/>
      <c r="AH723" s="30"/>
      <c r="AI723" s="31"/>
      <c r="AJ723" s="28"/>
      <c r="AK723" s="32"/>
      <c r="AL723" s="32"/>
      <c r="AM723" s="32"/>
      <c r="AN723" s="32"/>
      <c r="AO723" s="28"/>
      <c r="AP723" s="29"/>
    </row>
    <row r="724">
      <c r="A724" s="115"/>
      <c r="B724" s="116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O724" s="116"/>
      <c r="Q724" s="116"/>
      <c r="T724" s="114"/>
      <c r="Y724" s="118"/>
      <c r="Z724" s="28"/>
      <c r="AA724" s="28"/>
      <c r="AB724" s="28"/>
      <c r="AC724" s="29"/>
      <c r="AD724" s="29"/>
      <c r="AE724" s="29"/>
      <c r="AF724" s="29"/>
      <c r="AG724" s="29"/>
      <c r="AH724" s="30"/>
      <c r="AI724" s="39"/>
      <c r="AJ724" s="28"/>
      <c r="AK724" s="32"/>
      <c r="AL724" s="32"/>
      <c r="AM724" s="32"/>
      <c r="AN724" s="32"/>
      <c r="AO724" s="28"/>
      <c r="AP724" s="28"/>
    </row>
    <row r="725">
      <c r="A725" s="115"/>
      <c r="B725" s="116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O725" s="116"/>
      <c r="Q725" s="116"/>
      <c r="T725" s="114"/>
      <c r="Y725" s="118"/>
      <c r="Z725" s="28"/>
      <c r="AA725" s="29"/>
      <c r="AB725" s="29"/>
      <c r="AC725" s="29"/>
      <c r="AD725" s="29"/>
      <c r="AE725" s="29"/>
      <c r="AF725" s="29"/>
      <c r="AG725" s="29"/>
      <c r="AH725" s="30"/>
      <c r="AI725" s="32"/>
      <c r="AJ725" s="28"/>
      <c r="AK725" s="32"/>
      <c r="AL725" s="32"/>
      <c r="AM725" s="32"/>
      <c r="AN725" s="32"/>
      <c r="AO725" s="28"/>
      <c r="AP725" s="29"/>
    </row>
    <row r="726">
      <c r="A726" s="115"/>
      <c r="B726" s="116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O726" s="116"/>
      <c r="Q726" s="116"/>
      <c r="T726" s="114"/>
      <c r="Y726" s="118"/>
      <c r="Z726" s="28"/>
      <c r="AA726" s="28"/>
      <c r="AB726" s="28"/>
      <c r="AC726" s="29"/>
      <c r="AD726" s="29"/>
      <c r="AE726" s="29"/>
      <c r="AF726" s="29"/>
      <c r="AG726" s="29"/>
      <c r="AH726" s="30"/>
      <c r="AI726" s="39"/>
      <c r="AJ726" s="28"/>
      <c r="AK726" s="28"/>
      <c r="AL726" s="28"/>
      <c r="AM726" s="28"/>
      <c r="AN726" s="32"/>
      <c r="AO726" s="28"/>
      <c r="AP726" s="28"/>
    </row>
    <row r="727">
      <c r="A727" s="115"/>
      <c r="B727" s="116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O727" s="116"/>
      <c r="Q727" s="116"/>
      <c r="T727" s="114"/>
      <c r="Y727" s="118"/>
      <c r="Z727" s="28"/>
      <c r="AA727" s="28"/>
      <c r="AB727" s="29"/>
      <c r="AC727" s="29"/>
      <c r="AD727" s="29"/>
      <c r="AE727" s="29"/>
      <c r="AF727" s="29"/>
      <c r="AG727" s="29"/>
      <c r="AH727" s="30"/>
      <c r="AI727" s="39"/>
      <c r="AJ727" s="28"/>
      <c r="AK727" s="32"/>
      <c r="AL727" s="32"/>
      <c r="AM727" s="32"/>
      <c r="AN727" s="32"/>
      <c r="AO727" s="28"/>
      <c r="AP727" s="29"/>
    </row>
    <row r="728">
      <c r="A728" s="115"/>
      <c r="B728" s="116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O728" s="116"/>
      <c r="Q728" s="116"/>
      <c r="T728" s="114"/>
      <c r="Y728" s="118"/>
      <c r="Z728" s="28"/>
      <c r="AA728" s="28"/>
      <c r="AB728" s="28"/>
      <c r="AC728" s="29"/>
      <c r="AD728" s="29"/>
      <c r="AE728" s="29"/>
      <c r="AF728" s="29"/>
      <c r="AG728" s="29"/>
      <c r="AH728" s="30"/>
      <c r="AI728" s="31"/>
      <c r="AJ728" s="28"/>
      <c r="AK728" s="32"/>
      <c r="AL728" s="32"/>
      <c r="AM728" s="32"/>
      <c r="AN728" s="32"/>
      <c r="AO728" s="28"/>
      <c r="AP728" s="29"/>
    </row>
    <row r="729">
      <c r="A729" s="115"/>
      <c r="B729" s="116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O729" s="116"/>
      <c r="Q729" s="116"/>
      <c r="T729" s="114"/>
      <c r="Y729" s="118"/>
      <c r="Z729" s="28"/>
      <c r="AA729" s="28"/>
      <c r="AB729" s="28"/>
      <c r="AC729" s="29"/>
      <c r="AD729" s="29"/>
      <c r="AE729" s="29"/>
      <c r="AF729" s="29"/>
      <c r="AG729" s="29"/>
      <c r="AH729" s="30"/>
      <c r="AI729" s="31"/>
      <c r="AJ729" s="28"/>
      <c r="AK729" s="32"/>
      <c r="AL729" s="32"/>
      <c r="AM729" s="32"/>
      <c r="AN729" s="32"/>
      <c r="AO729" s="28"/>
      <c r="AP729" s="29"/>
    </row>
    <row r="730">
      <c r="A730" s="115"/>
      <c r="B730" s="116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O730" s="116"/>
      <c r="Q730" s="116"/>
      <c r="T730" s="114"/>
      <c r="Y730" s="118"/>
      <c r="Z730" s="28"/>
      <c r="AA730" s="28"/>
      <c r="AB730" s="28"/>
      <c r="AC730" s="28"/>
      <c r="AD730" s="28"/>
      <c r="AE730" s="29"/>
      <c r="AF730" s="29"/>
      <c r="AG730" s="29"/>
      <c r="AH730" s="30"/>
      <c r="AI730" s="31"/>
      <c r="AJ730" s="28"/>
      <c r="AK730" s="32"/>
      <c r="AL730" s="32"/>
      <c r="AM730" s="32"/>
      <c r="AN730" s="32"/>
      <c r="AO730" s="28"/>
      <c r="AP730" s="29"/>
    </row>
    <row r="731">
      <c r="A731" s="115"/>
      <c r="B731" s="116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O731" s="116"/>
      <c r="Q731" s="116"/>
      <c r="T731" s="114"/>
      <c r="Y731" s="118"/>
      <c r="Z731" s="28"/>
      <c r="AA731" s="28"/>
      <c r="AB731" s="28"/>
      <c r="AC731" s="29"/>
      <c r="AD731" s="29"/>
      <c r="AE731" s="29"/>
      <c r="AF731" s="29"/>
      <c r="AG731" s="29"/>
      <c r="AH731" s="30"/>
      <c r="AI731" s="31"/>
      <c r="AJ731" s="28"/>
      <c r="AK731" s="32"/>
      <c r="AL731" s="32"/>
      <c r="AM731" s="32"/>
      <c r="AN731" s="32"/>
      <c r="AO731" s="28"/>
      <c r="AP731" s="29"/>
    </row>
    <row r="732">
      <c r="A732" s="115"/>
      <c r="B732" s="116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O732" s="116"/>
      <c r="Q732" s="116"/>
      <c r="T732" s="114"/>
      <c r="Y732" s="118"/>
      <c r="Z732" s="28"/>
      <c r="AA732" s="28"/>
      <c r="AB732" s="28"/>
      <c r="AC732" s="28"/>
      <c r="AD732" s="28"/>
      <c r="AE732" s="29"/>
      <c r="AF732" s="29"/>
      <c r="AG732" s="29"/>
      <c r="AH732" s="119"/>
      <c r="AI732" s="31"/>
      <c r="AJ732" s="28"/>
      <c r="AK732" s="28"/>
      <c r="AL732" s="32"/>
      <c r="AM732" s="32"/>
      <c r="AN732" s="32"/>
      <c r="AO732" s="32"/>
      <c r="AP732" s="29"/>
    </row>
    <row r="733">
      <c r="A733" s="115"/>
      <c r="B733" s="116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O733" s="116"/>
      <c r="Q733" s="116"/>
      <c r="T733" s="114"/>
      <c r="Y733" s="118"/>
      <c r="Z733" s="28"/>
      <c r="AA733" s="28"/>
      <c r="AB733" s="28"/>
      <c r="AC733" s="28"/>
      <c r="AD733" s="28"/>
      <c r="AE733" s="29"/>
      <c r="AF733" s="29"/>
      <c r="AG733" s="29"/>
      <c r="AH733" s="30"/>
      <c r="AI733" s="31"/>
      <c r="AJ733" s="28"/>
      <c r="AK733" s="32"/>
      <c r="AL733" s="32"/>
      <c r="AM733" s="32"/>
      <c r="AN733" s="32"/>
      <c r="AO733" s="28"/>
      <c r="AP733" s="29"/>
    </row>
    <row r="734">
      <c r="A734" s="115"/>
      <c r="B734" s="116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O734" s="116"/>
      <c r="Q734" s="116"/>
      <c r="T734" s="114"/>
      <c r="Y734" s="118"/>
      <c r="Z734" s="28"/>
      <c r="AA734" s="28"/>
      <c r="AB734" s="29"/>
      <c r="AC734" s="29"/>
      <c r="AD734" s="29"/>
      <c r="AE734" s="29"/>
      <c r="AF734" s="29"/>
      <c r="AG734" s="29"/>
      <c r="AH734" s="30"/>
      <c r="AI734" s="39"/>
      <c r="AJ734" s="28"/>
      <c r="AK734" s="32"/>
      <c r="AL734" s="32"/>
      <c r="AM734" s="32"/>
      <c r="AN734" s="32"/>
      <c r="AO734" s="28"/>
      <c r="AP734" s="28"/>
    </row>
    <row r="735">
      <c r="A735" s="115"/>
      <c r="B735" s="116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O735" s="116"/>
      <c r="Q735" s="116"/>
      <c r="T735" s="114"/>
      <c r="Y735" s="118"/>
      <c r="Z735" s="28"/>
      <c r="AA735" s="29"/>
      <c r="AB735" s="29"/>
      <c r="AC735" s="29"/>
      <c r="AD735" s="29"/>
      <c r="AE735" s="29"/>
      <c r="AF735" s="29"/>
      <c r="AG735" s="29"/>
      <c r="AH735" s="30"/>
      <c r="AI735" s="31"/>
      <c r="AJ735" s="28"/>
      <c r="AK735" s="32"/>
      <c r="AL735" s="32"/>
      <c r="AM735" s="32"/>
      <c r="AN735" s="32"/>
      <c r="AO735" s="28"/>
      <c r="AP735" s="29"/>
    </row>
    <row r="736">
      <c r="A736" s="115"/>
      <c r="B736" s="116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O736" s="116"/>
      <c r="Q736" s="116"/>
      <c r="T736" s="114"/>
      <c r="Y736" s="118"/>
      <c r="Z736" s="28"/>
      <c r="AA736" s="29"/>
      <c r="AB736" s="29"/>
      <c r="AC736" s="29"/>
      <c r="AD736" s="29"/>
      <c r="AE736" s="29"/>
      <c r="AF736" s="29"/>
      <c r="AG736" s="29"/>
      <c r="AH736" s="30"/>
      <c r="AI736" s="39"/>
      <c r="AJ736" s="32"/>
      <c r="AK736" s="32"/>
      <c r="AL736" s="32"/>
      <c r="AM736" s="32"/>
      <c r="AN736" s="32"/>
      <c r="AO736" s="32"/>
      <c r="AP736" s="29"/>
    </row>
    <row r="737">
      <c r="A737" s="115"/>
      <c r="B737" s="116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O737" s="116"/>
      <c r="Q737" s="116"/>
      <c r="T737" s="114"/>
      <c r="Y737" s="118"/>
      <c r="Z737" s="28"/>
      <c r="AA737" s="28"/>
      <c r="AB737" s="28"/>
      <c r="AC737" s="28"/>
      <c r="AD737" s="28"/>
      <c r="AE737" s="28"/>
      <c r="AF737" s="29"/>
      <c r="AG737" s="29"/>
      <c r="AH737" s="30"/>
      <c r="AI737" s="31"/>
      <c r="AJ737" s="28"/>
      <c r="AK737" s="32"/>
      <c r="AL737" s="32"/>
      <c r="AM737" s="32"/>
      <c r="AN737" s="32"/>
      <c r="AO737" s="28"/>
      <c r="AP737" s="29"/>
    </row>
    <row r="738">
      <c r="A738" s="115"/>
      <c r="B738" s="116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O738" s="116"/>
      <c r="Q738" s="116"/>
      <c r="T738" s="114"/>
      <c r="Y738" s="118"/>
      <c r="Z738" s="28"/>
      <c r="AA738" s="29"/>
      <c r="AB738" s="29"/>
      <c r="AC738" s="29"/>
      <c r="AD738" s="29"/>
      <c r="AE738" s="29"/>
      <c r="AF738" s="29"/>
      <c r="AG738" s="29"/>
      <c r="AH738" s="30"/>
      <c r="AI738" s="32"/>
      <c r="AJ738" s="28"/>
      <c r="AK738" s="32"/>
      <c r="AL738" s="32"/>
      <c r="AM738" s="32"/>
      <c r="AN738" s="32"/>
      <c r="AO738" s="28"/>
      <c r="AP738" s="29"/>
    </row>
    <row r="739">
      <c r="A739" s="115"/>
      <c r="B739" s="116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O739" s="116"/>
      <c r="Q739" s="116"/>
      <c r="T739" s="114"/>
      <c r="Y739" s="118"/>
      <c r="Z739" s="28"/>
      <c r="AA739" s="28"/>
      <c r="AB739" s="28"/>
      <c r="AC739" s="28"/>
      <c r="AD739" s="29"/>
      <c r="AE739" s="29"/>
      <c r="AF739" s="29"/>
      <c r="AG739" s="29"/>
      <c r="AH739" s="30"/>
      <c r="AI739" s="31"/>
      <c r="AJ739" s="28"/>
      <c r="AK739" s="32"/>
      <c r="AL739" s="32"/>
      <c r="AM739" s="32"/>
      <c r="AN739" s="32"/>
      <c r="AO739" s="32"/>
      <c r="AP739" s="29"/>
    </row>
    <row r="740">
      <c r="A740" s="115"/>
      <c r="B740" s="116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O740" s="116"/>
      <c r="Q740" s="116"/>
      <c r="T740" s="114"/>
      <c r="Y740" s="118"/>
      <c r="Z740" s="28"/>
      <c r="AA740" s="28"/>
      <c r="AB740" s="28"/>
      <c r="AC740" s="29"/>
      <c r="AD740" s="29"/>
      <c r="AE740" s="29"/>
      <c r="AF740" s="29"/>
      <c r="AG740" s="29"/>
      <c r="AH740" s="30"/>
      <c r="AI740" s="31"/>
      <c r="AJ740" s="28"/>
      <c r="AK740" s="32"/>
      <c r="AL740" s="32"/>
      <c r="AM740" s="32"/>
      <c r="AN740" s="32"/>
      <c r="AO740" s="28"/>
      <c r="AP740" s="29"/>
    </row>
    <row r="741">
      <c r="A741" s="115"/>
      <c r="B741" s="116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O741" s="116"/>
      <c r="Q741" s="116"/>
      <c r="T741" s="114"/>
      <c r="Y741" s="118"/>
      <c r="Z741" s="28"/>
      <c r="AA741" s="28"/>
      <c r="AB741" s="28"/>
      <c r="AC741" s="28"/>
      <c r="AD741" s="28"/>
      <c r="AE741" s="28"/>
      <c r="AF741" s="28"/>
      <c r="AG741" s="29"/>
      <c r="AH741" s="30"/>
      <c r="AI741" s="31"/>
      <c r="AJ741" s="28"/>
      <c r="AK741" s="32"/>
      <c r="AL741" s="32"/>
      <c r="AM741" s="32"/>
      <c r="AN741" s="32"/>
      <c r="AO741" s="28"/>
      <c r="AP741" s="29"/>
    </row>
    <row r="742">
      <c r="A742" s="115"/>
      <c r="B742" s="116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O742" s="116"/>
      <c r="Q742" s="116"/>
      <c r="T742" s="114"/>
      <c r="Y742" s="118"/>
      <c r="Z742" s="28"/>
      <c r="AA742" s="28"/>
      <c r="AB742" s="29"/>
      <c r="AC742" s="29"/>
      <c r="AD742" s="29"/>
      <c r="AE742" s="29"/>
      <c r="AF742" s="29"/>
      <c r="AG742" s="29"/>
      <c r="AH742" s="30"/>
      <c r="AI742" s="39"/>
      <c r="AJ742" s="28"/>
      <c r="AK742" s="28"/>
      <c r="AL742" s="28"/>
      <c r="AM742" s="32"/>
      <c r="AN742" s="32"/>
      <c r="AO742" s="28"/>
      <c r="AP742" s="29"/>
    </row>
    <row r="743">
      <c r="A743" s="115"/>
      <c r="B743" s="116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O743" s="116"/>
      <c r="Q743" s="116"/>
      <c r="T743" s="114"/>
      <c r="Y743" s="118"/>
      <c r="Z743" s="28"/>
      <c r="AA743" s="28"/>
      <c r="AB743" s="28"/>
      <c r="AC743" s="28"/>
      <c r="AD743" s="28"/>
      <c r="AE743" s="28"/>
      <c r="AF743" s="29"/>
      <c r="AG743" s="29"/>
      <c r="AH743" s="30"/>
      <c r="AI743" s="31"/>
      <c r="AJ743" s="28"/>
      <c r="AK743" s="32"/>
      <c r="AL743" s="32"/>
      <c r="AM743" s="32"/>
      <c r="AN743" s="32"/>
      <c r="AO743" s="28"/>
      <c r="AP743" s="29"/>
    </row>
    <row r="744">
      <c r="A744" s="115"/>
      <c r="B744" s="116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O744" s="116"/>
      <c r="Q744" s="116"/>
      <c r="T744" s="114"/>
      <c r="Y744" s="118"/>
      <c r="Z744" s="28"/>
      <c r="AA744" s="28"/>
      <c r="AB744" s="28"/>
      <c r="AC744" s="28"/>
      <c r="AD744" s="29"/>
      <c r="AE744" s="29"/>
      <c r="AF744" s="29"/>
      <c r="AG744" s="29"/>
      <c r="AH744" s="30"/>
      <c r="AI744" s="31"/>
      <c r="AJ744" s="28"/>
      <c r="AK744" s="32"/>
      <c r="AL744" s="32"/>
      <c r="AM744" s="32"/>
      <c r="AN744" s="32"/>
      <c r="AO744" s="28"/>
      <c r="AP744" s="29"/>
    </row>
    <row r="745">
      <c r="A745" s="115"/>
      <c r="B745" s="116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O745" s="116"/>
      <c r="Q745" s="116"/>
      <c r="T745" s="114"/>
      <c r="Y745" s="118"/>
      <c r="Z745" s="28"/>
      <c r="AA745" s="28"/>
      <c r="AB745" s="28"/>
      <c r="AC745" s="28"/>
      <c r="AD745" s="29"/>
      <c r="AE745" s="29"/>
      <c r="AF745" s="29"/>
      <c r="AG745" s="29"/>
      <c r="AH745" s="30"/>
      <c r="AI745" s="31"/>
      <c r="AJ745" s="32"/>
      <c r="AK745" s="32"/>
      <c r="AL745" s="32"/>
      <c r="AM745" s="32"/>
      <c r="AN745" s="32"/>
      <c r="AO745" s="32"/>
      <c r="AP745" s="29"/>
    </row>
    <row r="746">
      <c r="A746" s="115"/>
      <c r="B746" s="116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O746" s="116"/>
      <c r="Q746" s="116"/>
      <c r="T746" s="114"/>
      <c r="Y746" s="118"/>
      <c r="Z746" s="28"/>
      <c r="AA746" s="28"/>
      <c r="AB746" s="28"/>
      <c r="AC746" s="28"/>
      <c r="AD746" s="29"/>
      <c r="AE746" s="29"/>
      <c r="AF746" s="29"/>
      <c r="AG746" s="29"/>
      <c r="AH746" s="30"/>
      <c r="AI746" s="31"/>
      <c r="AJ746" s="28"/>
      <c r="AK746" s="32"/>
      <c r="AL746" s="32"/>
      <c r="AM746" s="32"/>
      <c r="AN746" s="32"/>
      <c r="AO746" s="28"/>
      <c r="AP746" s="29"/>
    </row>
    <row r="747">
      <c r="A747" s="115"/>
      <c r="B747" s="116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O747" s="116"/>
      <c r="Q747" s="116"/>
      <c r="T747" s="114"/>
      <c r="Y747" s="118"/>
      <c r="Z747" s="28"/>
      <c r="AA747" s="28"/>
      <c r="AB747" s="28"/>
      <c r="AC747" s="29"/>
      <c r="AD747" s="29"/>
      <c r="AE747" s="29"/>
      <c r="AF747" s="29"/>
      <c r="AG747" s="29"/>
      <c r="AH747" s="30"/>
      <c r="AI747" s="31"/>
      <c r="AJ747" s="28"/>
      <c r="AK747" s="32"/>
      <c r="AL747" s="32"/>
      <c r="AM747" s="32"/>
      <c r="AN747" s="32"/>
      <c r="AO747" s="28"/>
      <c r="AP747" s="29"/>
    </row>
    <row r="748">
      <c r="A748" s="115"/>
      <c r="B748" s="116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O748" s="116"/>
      <c r="Q748" s="116"/>
      <c r="T748" s="114"/>
      <c r="Y748" s="118"/>
      <c r="Z748" s="28"/>
      <c r="AA748" s="28"/>
      <c r="AB748" s="28"/>
      <c r="AC748" s="29"/>
      <c r="AD748" s="29"/>
      <c r="AE748" s="29"/>
      <c r="AF748" s="29"/>
      <c r="AG748" s="29"/>
      <c r="AH748" s="30"/>
      <c r="AI748" s="31"/>
      <c r="AJ748" s="28"/>
      <c r="AK748" s="28"/>
      <c r="AL748" s="28"/>
      <c r="AM748" s="28"/>
      <c r="AN748" s="28"/>
      <c r="AO748" s="32"/>
      <c r="AP748" s="29"/>
    </row>
    <row r="749">
      <c r="A749" s="115"/>
      <c r="B749" s="116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O749" s="116"/>
      <c r="Q749" s="116"/>
      <c r="T749" s="114"/>
      <c r="Y749" s="118"/>
      <c r="Z749" s="28"/>
      <c r="AA749" s="28"/>
      <c r="AB749" s="28"/>
      <c r="AC749" s="28"/>
      <c r="AD749" s="28"/>
      <c r="AE749" s="28"/>
      <c r="AF749" s="29"/>
      <c r="AG749" s="29"/>
      <c r="AH749" s="30"/>
      <c r="AI749" s="31"/>
      <c r="AJ749" s="28"/>
      <c r="AK749" s="28"/>
      <c r="AL749" s="28"/>
      <c r="AM749" s="32"/>
      <c r="AN749" s="32"/>
      <c r="AO749" s="28"/>
      <c r="AP749" s="28"/>
    </row>
    <row r="750">
      <c r="A750" s="115"/>
      <c r="B750" s="116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O750" s="116"/>
      <c r="Q750" s="116"/>
      <c r="T750" s="114"/>
      <c r="Y750" s="118"/>
      <c r="Z750" s="28"/>
      <c r="AA750" s="28"/>
      <c r="AB750" s="28"/>
      <c r="AC750" s="28"/>
      <c r="AD750" s="28"/>
      <c r="AE750" s="29"/>
      <c r="AF750" s="29"/>
      <c r="AG750" s="29"/>
      <c r="AH750" s="30"/>
      <c r="AI750" s="31"/>
      <c r="AJ750" s="32"/>
      <c r="AK750" s="32"/>
      <c r="AL750" s="32"/>
      <c r="AM750" s="32"/>
      <c r="AN750" s="32"/>
      <c r="AO750" s="32"/>
      <c r="AP750" s="29"/>
    </row>
    <row r="751">
      <c r="A751" s="115"/>
      <c r="B751" s="116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O751" s="116"/>
      <c r="Q751" s="116"/>
      <c r="T751" s="114"/>
      <c r="Y751" s="118"/>
      <c r="Z751" s="28"/>
      <c r="AA751" s="28"/>
      <c r="AB751" s="29"/>
      <c r="AC751" s="29"/>
      <c r="AD751" s="29"/>
      <c r="AE751" s="29"/>
      <c r="AF751" s="29"/>
      <c r="AG751" s="29"/>
      <c r="AH751" s="30"/>
      <c r="AI751" s="31"/>
      <c r="AJ751" s="28"/>
      <c r="AK751" s="28"/>
      <c r="AL751" s="32"/>
      <c r="AM751" s="32"/>
      <c r="AN751" s="32"/>
      <c r="AO751" s="28"/>
      <c r="AP751" s="28"/>
    </row>
    <row r="752">
      <c r="A752" s="115"/>
      <c r="B752" s="116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O752" s="116"/>
      <c r="Q752" s="116"/>
      <c r="T752" s="114"/>
      <c r="Y752" s="118"/>
      <c r="Z752" s="28"/>
      <c r="AA752" s="28"/>
      <c r="AB752" s="28"/>
      <c r="AC752" s="28"/>
      <c r="AD752" s="28"/>
      <c r="AE752" s="29"/>
      <c r="AF752" s="29"/>
      <c r="AG752" s="29"/>
      <c r="AH752" s="30"/>
      <c r="AI752" s="31"/>
      <c r="AJ752" s="28"/>
      <c r="AK752" s="32"/>
      <c r="AL752" s="32"/>
      <c r="AM752" s="32"/>
      <c r="AN752" s="32"/>
      <c r="AO752" s="28"/>
      <c r="AP752" s="29"/>
    </row>
    <row r="753">
      <c r="A753" s="115"/>
      <c r="B753" s="116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O753" s="116"/>
      <c r="Q753" s="116"/>
      <c r="T753" s="114"/>
      <c r="Y753" s="118"/>
      <c r="Z753" s="28"/>
      <c r="AA753" s="28"/>
      <c r="AB753" s="28"/>
      <c r="AC753" s="29"/>
      <c r="AD753" s="29"/>
      <c r="AE753" s="29"/>
      <c r="AF753" s="29"/>
      <c r="AG753" s="29"/>
      <c r="AH753" s="30"/>
      <c r="AI753" s="31"/>
      <c r="AJ753" s="28"/>
      <c r="AK753" s="32"/>
      <c r="AL753" s="32"/>
      <c r="AM753" s="32"/>
      <c r="AN753" s="32"/>
      <c r="AO753" s="28"/>
      <c r="AP753" s="29"/>
    </row>
    <row r="754">
      <c r="A754" s="115"/>
      <c r="B754" s="116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O754" s="116"/>
      <c r="Q754" s="116"/>
      <c r="T754" s="114"/>
      <c r="Y754" s="118"/>
      <c r="Z754" s="28"/>
      <c r="AA754" s="28"/>
      <c r="AB754" s="28"/>
      <c r="AC754" s="29"/>
      <c r="AD754" s="29"/>
      <c r="AE754" s="29"/>
      <c r="AF754" s="29"/>
      <c r="AG754" s="29"/>
      <c r="AH754" s="30"/>
      <c r="AI754" s="31"/>
      <c r="AJ754" s="28"/>
      <c r="AK754" s="32"/>
      <c r="AL754" s="32"/>
      <c r="AM754" s="32"/>
      <c r="AN754" s="32"/>
      <c r="AO754" s="28"/>
      <c r="AP754" s="29"/>
    </row>
    <row r="755">
      <c r="A755" s="115"/>
      <c r="B755" s="116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O755" s="116"/>
      <c r="Q755" s="116"/>
      <c r="T755" s="114"/>
      <c r="Y755" s="118"/>
      <c r="Z755" s="28"/>
      <c r="AA755" s="28"/>
      <c r="AB755" s="28"/>
      <c r="AC755" s="29"/>
      <c r="AD755" s="29"/>
      <c r="AE755" s="29"/>
      <c r="AF755" s="29"/>
      <c r="AG755" s="29"/>
      <c r="AH755" s="30"/>
      <c r="AI755" s="31"/>
      <c r="AJ755" s="28"/>
      <c r="AK755" s="32"/>
      <c r="AL755" s="32"/>
      <c r="AM755" s="32"/>
      <c r="AN755" s="32"/>
      <c r="AO755" s="28"/>
      <c r="AP755" s="29"/>
    </row>
    <row r="756">
      <c r="A756" s="115"/>
      <c r="B756" s="116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O756" s="116"/>
      <c r="Q756" s="116"/>
      <c r="T756" s="114"/>
      <c r="Y756" s="118"/>
      <c r="Z756" s="28"/>
      <c r="AA756" s="28"/>
      <c r="AB756" s="28"/>
      <c r="AC756" s="28"/>
      <c r="AD756" s="28"/>
      <c r="AE756" s="29"/>
      <c r="AF756" s="29"/>
      <c r="AG756" s="29"/>
      <c r="AH756" s="30"/>
      <c r="AI756" s="31"/>
      <c r="AJ756" s="32"/>
      <c r="AK756" s="32"/>
      <c r="AL756" s="32"/>
      <c r="AM756" s="32"/>
      <c r="AN756" s="32"/>
      <c r="AO756" s="32"/>
      <c r="AP756" s="29"/>
    </row>
    <row r="757">
      <c r="A757" s="115"/>
      <c r="B757" s="116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O757" s="116"/>
      <c r="Q757" s="116"/>
      <c r="T757" s="114"/>
      <c r="Y757" s="118"/>
      <c r="Z757" s="28"/>
      <c r="AA757" s="28"/>
      <c r="AB757" s="28"/>
      <c r="AC757" s="28"/>
      <c r="AD757" s="28"/>
      <c r="AE757" s="28"/>
      <c r="AF757" s="28"/>
      <c r="AG757" s="29"/>
      <c r="AH757" s="30"/>
      <c r="AI757" s="31"/>
      <c r="AJ757" s="28"/>
      <c r="AK757" s="32"/>
      <c r="AL757" s="32"/>
      <c r="AM757" s="32"/>
      <c r="AN757" s="32"/>
      <c r="AO757" s="28"/>
      <c r="AP757" s="29"/>
    </row>
    <row r="758">
      <c r="A758" s="115"/>
      <c r="B758" s="116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O758" s="116"/>
      <c r="Q758" s="116"/>
      <c r="T758" s="114"/>
      <c r="Y758" s="118"/>
      <c r="Z758" s="28"/>
      <c r="AA758" s="28"/>
      <c r="AB758" s="28"/>
      <c r="AC758" s="28"/>
      <c r="AD758" s="28"/>
      <c r="AE758" s="29"/>
      <c r="AF758" s="29"/>
      <c r="AG758" s="29"/>
      <c r="AH758" s="30"/>
      <c r="AI758" s="31"/>
      <c r="AJ758" s="32"/>
      <c r="AK758" s="32"/>
      <c r="AL758" s="32"/>
      <c r="AM758" s="32"/>
      <c r="AN758" s="32"/>
      <c r="AO758" s="32"/>
      <c r="AP758" s="29"/>
    </row>
    <row r="759">
      <c r="A759" s="115"/>
      <c r="B759" s="116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O759" s="116"/>
      <c r="Q759" s="116"/>
      <c r="T759" s="114"/>
      <c r="Y759" s="118"/>
      <c r="Z759" s="28"/>
      <c r="AA759" s="28"/>
      <c r="AB759" s="28"/>
      <c r="AC759" s="29"/>
      <c r="AD759" s="29"/>
      <c r="AE759" s="29"/>
      <c r="AF759" s="29"/>
      <c r="AG759" s="29"/>
      <c r="AH759" s="30"/>
      <c r="AI759" s="31"/>
      <c r="AJ759" s="28"/>
      <c r="AK759" s="28"/>
      <c r="AL759" s="28"/>
      <c r="AM759" s="28"/>
      <c r="AN759" s="32"/>
      <c r="AO759" s="28"/>
      <c r="AP759" s="28"/>
    </row>
    <row r="760">
      <c r="A760" s="115"/>
      <c r="B760" s="116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O760" s="116"/>
      <c r="Q760" s="116"/>
      <c r="T760" s="114"/>
      <c r="Y760" s="118"/>
      <c r="Z760" s="28"/>
      <c r="AA760" s="28"/>
      <c r="AB760" s="28"/>
      <c r="AC760" s="29"/>
      <c r="AD760" s="29"/>
      <c r="AE760" s="29"/>
      <c r="AF760" s="29"/>
      <c r="AG760" s="29"/>
      <c r="AH760" s="30"/>
      <c r="AI760" s="31"/>
      <c r="AJ760" s="28"/>
      <c r="AK760" s="28"/>
      <c r="AL760" s="32"/>
      <c r="AM760" s="32"/>
      <c r="AN760" s="32"/>
      <c r="AO760" s="28"/>
      <c r="AP760" s="29"/>
    </row>
    <row r="761">
      <c r="A761" s="115"/>
      <c r="B761" s="116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O761" s="116"/>
      <c r="Q761" s="116"/>
      <c r="T761" s="114"/>
      <c r="Y761" s="118"/>
      <c r="Z761" s="28"/>
      <c r="AA761" s="28"/>
      <c r="AB761" s="28"/>
      <c r="AC761" s="28"/>
      <c r="AD761" s="29"/>
      <c r="AE761" s="29"/>
      <c r="AF761" s="29"/>
      <c r="AG761" s="29"/>
      <c r="AH761" s="30"/>
      <c r="AI761" s="31"/>
      <c r="AJ761" s="28"/>
      <c r="AK761" s="28"/>
      <c r="AL761" s="28"/>
      <c r="AM761" s="32"/>
      <c r="AN761" s="32"/>
      <c r="AO761" s="28"/>
      <c r="AP761" s="29"/>
    </row>
    <row r="762">
      <c r="A762" s="115"/>
      <c r="B762" s="116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O762" s="116"/>
      <c r="Q762" s="116"/>
      <c r="T762" s="114"/>
      <c r="Y762" s="118"/>
      <c r="Z762" s="28"/>
      <c r="AA762" s="28"/>
      <c r="AB762" s="28"/>
      <c r="AC762" s="29"/>
      <c r="AD762" s="29"/>
      <c r="AE762" s="29"/>
      <c r="AF762" s="29"/>
      <c r="AG762" s="29"/>
      <c r="AH762" s="30"/>
      <c r="AI762" s="31"/>
      <c r="AJ762" s="28"/>
      <c r="AK762" s="32"/>
      <c r="AL762" s="32"/>
      <c r="AM762" s="32"/>
      <c r="AN762" s="32"/>
      <c r="AO762" s="28"/>
      <c r="AP762" s="29"/>
    </row>
    <row r="763">
      <c r="A763" s="115"/>
      <c r="B763" s="116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O763" s="116"/>
      <c r="Q763" s="116"/>
      <c r="T763" s="114"/>
      <c r="Y763" s="118"/>
      <c r="Z763" s="28"/>
      <c r="AA763" s="28"/>
      <c r="AB763" s="28"/>
      <c r="AC763" s="28"/>
      <c r="AD763" s="28"/>
      <c r="AE763" s="29"/>
      <c r="AF763" s="29"/>
      <c r="AG763" s="29"/>
      <c r="AH763" s="30"/>
      <c r="AI763" s="31"/>
      <c r="AJ763" s="28"/>
      <c r="AK763" s="32"/>
      <c r="AL763" s="32"/>
      <c r="AM763" s="32"/>
      <c r="AN763" s="32"/>
      <c r="AO763" s="28"/>
      <c r="AP763" s="29"/>
    </row>
    <row r="764">
      <c r="A764" s="115"/>
      <c r="B764" s="116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O764" s="116"/>
      <c r="Q764" s="116"/>
      <c r="T764" s="114"/>
      <c r="Y764" s="118"/>
      <c r="Z764" s="28"/>
      <c r="AA764" s="28"/>
      <c r="AB764" s="28"/>
      <c r="AC764" s="28"/>
      <c r="AD764" s="29"/>
      <c r="AE764" s="29"/>
      <c r="AF764" s="29"/>
      <c r="AG764" s="29"/>
      <c r="AH764" s="30"/>
      <c r="AI764" s="31"/>
      <c r="AJ764" s="28"/>
      <c r="AK764" s="32"/>
      <c r="AL764" s="32"/>
      <c r="AM764" s="32"/>
      <c r="AN764" s="32"/>
      <c r="AO764" s="28"/>
      <c r="AP764" s="29"/>
    </row>
    <row r="765">
      <c r="A765" s="115"/>
      <c r="B765" s="116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O765" s="116"/>
      <c r="Q765" s="116"/>
      <c r="T765" s="114"/>
      <c r="Y765" s="118"/>
      <c r="Z765" s="28"/>
      <c r="AA765" s="28"/>
      <c r="AB765" s="28"/>
      <c r="AC765" s="28"/>
      <c r="AD765" s="28"/>
      <c r="AE765" s="29"/>
      <c r="AF765" s="29"/>
      <c r="AG765" s="29"/>
      <c r="AH765" s="119"/>
      <c r="AI765" s="31"/>
      <c r="AJ765" s="28"/>
      <c r="AK765" s="28"/>
      <c r="AL765" s="120"/>
      <c r="AM765" s="32"/>
      <c r="AN765" s="32"/>
      <c r="AO765" s="32"/>
      <c r="AP765" s="29"/>
    </row>
    <row r="766">
      <c r="A766" s="115"/>
      <c r="B766" s="116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O766" s="116"/>
      <c r="Q766" s="116"/>
      <c r="T766" s="114"/>
      <c r="Y766" s="118"/>
      <c r="Z766" s="28"/>
      <c r="AA766" s="28"/>
      <c r="AB766" s="28"/>
      <c r="AC766" s="28"/>
      <c r="AD766" s="28"/>
      <c r="AE766" s="29"/>
      <c r="AF766" s="29"/>
      <c r="AG766" s="29"/>
      <c r="AH766" s="30"/>
      <c r="AI766" s="31"/>
      <c r="AJ766" s="28"/>
      <c r="AK766" s="32"/>
      <c r="AL766" s="32"/>
      <c r="AM766" s="32"/>
      <c r="AN766" s="32"/>
      <c r="AO766" s="28"/>
      <c r="AP766" s="29"/>
    </row>
    <row r="767">
      <c r="A767" s="115"/>
      <c r="B767" s="116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O767" s="116"/>
      <c r="Q767" s="116"/>
      <c r="T767" s="114"/>
      <c r="Y767" s="118"/>
      <c r="Z767" s="28"/>
      <c r="AA767" s="28"/>
      <c r="AB767" s="28"/>
      <c r="AC767" s="29"/>
      <c r="AD767" s="29"/>
      <c r="AE767" s="29"/>
      <c r="AF767" s="29"/>
      <c r="AG767" s="29"/>
      <c r="AH767" s="30"/>
      <c r="AI767" s="31"/>
      <c r="AJ767" s="32"/>
      <c r="AK767" s="32"/>
      <c r="AL767" s="32"/>
      <c r="AM767" s="32"/>
      <c r="AN767" s="32"/>
      <c r="AO767" s="32"/>
      <c r="AP767" s="29"/>
    </row>
    <row r="768">
      <c r="A768" s="115"/>
      <c r="B768" s="116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O768" s="116"/>
      <c r="Q768" s="116"/>
      <c r="T768" s="114"/>
      <c r="Y768" s="118"/>
      <c r="Z768" s="28"/>
      <c r="AA768" s="28"/>
      <c r="AB768" s="28"/>
      <c r="AC768" s="28"/>
      <c r="AD768" s="28"/>
      <c r="AE768" s="28"/>
      <c r="AF768" s="29"/>
      <c r="AG768" s="29"/>
      <c r="AH768" s="30"/>
      <c r="AI768" s="31"/>
      <c r="AJ768" s="28"/>
      <c r="AK768" s="32"/>
      <c r="AL768" s="32"/>
      <c r="AM768" s="32"/>
      <c r="AN768" s="32"/>
      <c r="AO768" s="28"/>
      <c r="AP768" s="29"/>
    </row>
    <row r="769">
      <c r="A769" s="115"/>
      <c r="B769" s="116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O769" s="116"/>
      <c r="Q769" s="116"/>
      <c r="T769" s="114"/>
      <c r="Y769" s="118"/>
      <c r="Z769" s="28"/>
      <c r="AA769" s="28"/>
      <c r="AB769" s="28"/>
      <c r="AC769" s="28"/>
      <c r="AD769" s="29"/>
      <c r="AE769" s="29"/>
      <c r="AF769" s="29"/>
      <c r="AG769" s="29"/>
      <c r="AH769" s="121"/>
      <c r="AI769" s="39"/>
      <c r="AJ769" s="28"/>
      <c r="AK769" s="32"/>
      <c r="AL769" s="32"/>
      <c r="AM769" s="32"/>
      <c r="AN769" s="32"/>
      <c r="AO769" s="28"/>
      <c r="AP769" s="29"/>
    </row>
    <row r="770">
      <c r="A770" s="115"/>
      <c r="B770" s="116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O770" s="116"/>
      <c r="Q770" s="116"/>
      <c r="T770" s="114"/>
      <c r="Y770" s="118"/>
      <c r="Z770" s="28"/>
      <c r="AA770" s="28"/>
      <c r="AB770" s="28"/>
      <c r="AC770" s="28"/>
      <c r="AD770" s="29"/>
      <c r="AE770" s="29"/>
      <c r="AF770" s="29"/>
      <c r="AG770" s="29"/>
      <c r="AH770" s="30"/>
      <c r="AI770" s="31"/>
      <c r="AJ770" s="28"/>
      <c r="AK770" s="32"/>
      <c r="AL770" s="32"/>
      <c r="AM770" s="32"/>
      <c r="AN770" s="32"/>
      <c r="AO770" s="28"/>
      <c r="AP770" s="29"/>
    </row>
    <row r="771">
      <c r="A771" s="115"/>
      <c r="B771" s="116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O771" s="116"/>
      <c r="Q771" s="116"/>
      <c r="T771" s="114"/>
      <c r="Y771" s="118"/>
      <c r="Z771" s="28"/>
      <c r="AA771" s="28"/>
      <c r="AB771" s="28"/>
      <c r="AC771" s="29"/>
      <c r="AD771" s="29"/>
      <c r="AE771" s="29"/>
      <c r="AF771" s="29"/>
      <c r="AG771" s="29"/>
      <c r="AH771" s="30"/>
      <c r="AI771" s="31"/>
      <c r="AJ771" s="28"/>
      <c r="AK771" s="28"/>
      <c r="AL771" s="32"/>
      <c r="AM771" s="32"/>
      <c r="AN771" s="32"/>
      <c r="AO771" s="28"/>
      <c r="AP771" s="28"/>
    </row>
    <row r="772">
      <c r="A772" s="115"/>
      <c r="B772" s="116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O772" s="116"/>
      <c r="Q772" s="116"/>
      <c r="T772" s="114"/>
      <c r="Y772" s="118"/>
      <c r="Z772" s="28"/>
      <c r="AA772" s="28"/>
      <c r="AB772" s="28"/>
      <c r="AC772" s="28"/>
      <c r="AD772" s="28"/>
      <c r="AE772" s="28"/>
      <c r="AF772" s="29"/>
      <c r="AG772" s="29"/>
      <c r="AH772" s="30"/>
      <c r="AI772" s="31"/>
      <c r="AJ772" s="28"/>
      <c r="AK772" s="28"/>
      <c r="AL772" s="32"/>
      <c r="AM772" s="32"/>
      <c r="AN772" s="32"/>
      <c r="AO772" s="32"/>
      <c r="AP772" s="29"/>
    </row>
    <row r="773">
      <c r="A773" s="115"/>
      <c r="B773" s="116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O773" s="116"/>
      <c r="Q773" s="116"/>
      <c r="T773" s="114"/>
      <c r="Y773" s="118"/>
      <c r="Z773" s="28"/>
      <c r="AA773" s="28"/>
      <c r="AB773" s="28"/>
      <c r="AC773" s="28"/>
      <c r="AD773" s="28"/>
      <c r="AE773" s="28"/>
      <c r="AF773" s="29"/>
      <c r="AG773" s="29"/>
      <c r="AH773" s="30"/>
      <c r="AI773" s="31"/>
      <c r="AJ773" s="28"/>
      <c r="AK773" s="32"/>
      <c r="AL773" s="32"/>
      <c r="AM773" s="32"/>
      <c r="AN773" s="32"/>
      <c r="AO773" s="28"/>
      <c r="AP773" s="29"/>
    </row>
    <row r="774">
      <c r="A774" s="115"/>
      <c r="B774" s="116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O774" s="116"/>
      <c r="Q774" s="116"/>
      <c r="T774" s="114"/>
      <c r="Y774" s="118"/>
      <c r="Z774" s="28"/>
      <c r="AA774" s="28"/>
      <c r="AB774" s="29"/>
      <c r="AC774" s="29"/>
      <c r="AD774" s="29"/>
      <c r="AE774" s="29"/>
      <c r="AF774" s="29"/>
      <c r="AG774" s="29"/>
      <c r="AH774" s="30"/>
      <c r="AI774" s="31"/>
      <c r="AJ774" s="28"/>
      <c r="AK774" s="32"/>
      <c r="AL774" s="32"/>
      <c r="AM774" s="32"/>
      <c r="AN774" s="32"/>
      <c r="AO774" s="28"/>
      <c r="AP774" s="29"/>
    </row>
    <row r="775">
      <c r="A775" s="115"/>
      <c r="B775" s="116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O775" s="116"/>
      <c r="Q775" s="116"/>
      <c r="T775" s="114"/>
      <c r="Y775" s="118"/>
      <c r="Z775" s="28"/>
      <c r="AA775" s="28"/>
      <c r="AB775" s="28"/>
      <c r="AC775" s="29"/>
      <c r="AD775" s="29"/>
      <c r="AE775" s="29"/>
      <c r="AF775" s="29"/>
      <c r="AG775" s="29"/>
      <c r="AH775" s="30"/>
      <c r="AI775" s="31"/>
      <c r="AJ775" s="28"/>
      <c r="AK775" s="32"/>
      <c r="AL775" s="32"/>
      <c r="AM775" s="32"/>
      <c r="AN775" s="32"/>
      <c r="AO775" s="28"/>
      <c r="AP775" s="29"/>
    </row>
    <row r="776">
      <c r="A776" s="115"/>
      <c r="B776" s="116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O776" s="116"/>
      <c r="Q776" s="116"/>
      <c r="T776" s="114"/>
      <c r="Y776" s="118"/>
      <c r="Z776" s="28"/>
      <c r="AA776" s="28"/>
      <c r="AB776" s="28"/>
      <c r="AC776" s="28"/>
      <c r="AD776" s="28"/>
      <c r="AE776" s="29"/>
      <c r="AF776" s="29"/>
      <c r="AG776" s="29"/>
      <c r="AH776" s="30"/>
      <c r="AI776" s="31"/>
      <c r="AJ776" s="28"/>
      <c r="AK776" s="32"/>
      <c r="AL776" s="32"/>
      <c r="AM776" s="32"/>
      <c r="AN776" s="32"/>
      <c r="AO776" s="28"/>
      <c r="AP776" s="29"/>
    </row>
    <row r="777">
      <c r="A777" s="115"/>
      <c r="B777" s="116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O777" s="116"/>
      <c r="Q777" s="116"/>
      <c r="T777" s="114"/>
      <c r="Y777" s="118"/>
      <c r="Z777" s="28"/>
      <c r="AA777" s="28"/>
      <c r="AB777" s="28"/>
      <c r="AC777" s="28"/>
      <c r="AD777" s="28"/>
      <c r="AE777" s="29"/>
      <c r="AF777" s="29"/>
      <c r="AG777" s="29"/>
      <c r="AH777" s="30"/>
      <c r="AI777" s="31"/>
      <c r="AJ777" s="28"/>
      <c r="AK777" s="32"/>
      <c r="AL777" s="32"/>
      <c r="AM777" s="32"/>
      <c r="AN777" s="32"/>
      <c r="AO777" s="28"/>
      <c r="AP777" s="29"/>
    </row>
    <row r="778">
      <c r="A778" s="115"/>
      <c r="B778" s="116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O778" s="116"/>
      <c r="Q778" s="116"/>
      <c r="T778" s="114"/>
      <c r="Y778" s="118"/>
      <c r="Z778" s="28"/>
      <c r="AA778" s="28"/>
      <c r="AB778" s="29"/>
      <c r="AC778" s="29"/>
      <c r="AD778" s="29"/>
      <c r="AE778" s="29"/>
      <c r="AF778" s="29"/>
      <c r="AG778" s="29"/>
      <c r="AH778" s="30"/>
      <c r="AI778" s="31"/>
      <c r="AJ778" s="28"/>
      <c r="AK778" s="32"/>
      <c r="AL778" s="32"/>
      <c r="AM778" s="32"/>
      <c r="AN778" s="32"/>
      <c r="AO778" s="28"/>
      <c r="AP778" s="29"/>
    </row>
    <row r="779">
      <c r="A779" s="115"/>
      <c r="B779" s="116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O779" s="116"/>
      <c r="Q779" s="116"/>
      <c r="T779" s="114"/>
      <c r="Y779" s="118"/>
      <c r="Z779" s="28"/>
      <c r="AA779" s="28"/>
      <c r="AB779" s="28"/>
      <c r="AC779" s="28"/>
      <c r="AD779" s="29"/>
      <c r="AE779" s="29"/>
      <c r="AF779" s="29"/>
      <c r="AG779" s="29"/>
      <c r="AH779" s="30"/>
      <c r="AI779" s="31"/>
      <c r="AJ779" s="28"/>
      <c r="AK779" s="32"/>
      <c r="AL779" s="32"/>
      <c r="AM779" s="32"/>
      <c r="AN779" s="32"/>
      <c r="AO779" s="28"/>
      <c r="AP779" s="29"/>
    </row>
    <row r="780">
      <c r="A780" s="115"/>
      <c r="B780" s="116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O780" s="116"/>
      <c r="Q780" s="116"/>
      <c r="T780" s="114"/>
      <c r="Y780" s="118"/>
      <c r="Z780" s="28"/>
      <c r="AA780" s="28"/>
      <c r="AB780" s="28"/>
      <c r="AC780" s="28"/>
      <c r="AD780" s="28"/>
      <c r="AE780" s="29"/>
      <c r="AF780" s="29"/>
      <c r="AG780" s="29"/>
      <c r="AH780" s="30"/>
      <c r="AI780" s="31"/>
      <c r="AJ780" s="28"/>
      <c r="AK780" s="28"/>
      <c r="AL780" s="28"/>
      <c r="AM780" s="28"/>
      <c r="AN780" s="32"/>
      <c r="AO780" s="28"/>
      <c r="AP780" s="29"/>
    </row>
    <row r="781">
      <c r="A781" s="115"/>
      <c r="B781" s="116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O781" s="116"/>
      <c r="Q781" s="116"/>
      <c r="T781" s="114"/>
      <c r="Y781" s="118"/>
      <c r="Z781" s="28"/>
      <c r="AA781" s="28"/>
      <c r="AB781" s="28"/>
      <c r="AC781" s="29"/>
      <c r="AD781" s="29"/>
      <c r="AE781" s="29"/>
      <c r="AF781" s="29"/>
      <c r="AG781" s="29"/>
      <c r="AH781" s="30"/>
      <c r="AI781" s="31"/>
      <c r="AJ781" s="28"/>
      <c r="AK781" s="28"/>
      <c r="AL781" s="28"/>
      <c r="AM781" s="32"/>
      <c r="AN781" s="32"/>
      <c r="AO781" s="28"/>
      <c r="AP781" s="29"/>
    </row>
    <row r="782">
      <c r="A782" s="115"/>
      <c r="B782" s="116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O782" s="116"/>
      <c r="Q782" s="116"/>
      <c r="T782" s="114"/>
      <c r="Y782" s="118"/>
      <c r="Z782" s="28"/>
      <c r="AA782" s="28"/>
      <c r="AB782" s="29"/>
      <c r="AC782" s="29"/>
      <c r="AD782" s="29"/>
      <c r="AE782" s="29"/>
      <c r="AF782" s="29"/>
      <c r="AG782" s="29"/>
      <c r="AH782" s="30"/>
      <c r="AI782" s="31"/>
      <c r="AJ782" s="28"/>
      <c r="AK782" s="32"/>
      <c r="AL782" s="32"/>
      <c r="AM782" s="32"/>
      <c r="AN782" s="32"/>
      <c r="AO782" s="28"/>
      <c r="AP782" s="29"/>
    </row>
    <row r="783">
      <c r="A783" s="115"/>
      <c r="B783" s="116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O783" s="116"/>
      <c r="Q783" s="116"/>
      <c r="T783" s="114"/>
      <c r="Y783" s="118"/>
      <c r="Z783" s="28"/>
      <c r="AA783" s="28"/>
      <c r="AB783" s="28"/>
      <c r="AC783" s="28"/>
      <c r="AD783" s="29"/>
      <c r="AE783" s="29"/>
      <c r="AF783" s="29"/>
      <c r="AG783" s="29"/>
      <c r="AH783" s="30"/>
      <c r="AI783" s="31"/>
      <c r="AJ783" s="28"/>
      <c r="AK783" s="32"/>
      <c r="AL783" s="32"/>
      <c r="AM783" s="32"/>
      <c r="AN783" s="32"/>
      <c r="AO783" s="28"/>
      <c r="AP783" s="29"/>
    </row>
    <row r="784">
      <c r="A784" s="115"/>
      <c r="B784" s="116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O784" s="116"/>
      <c r="Q784" s="116"/>
      <c r="T784" s="114"/>
      <c r="Y784" s="118"/>
      <c r="Z784" s="28"/>
      <c r="AA784" s="28"/>
      <c r="AB784" s="28"/>
      <c r="AC784" s="29"/>
      <c r="AD784" s="29"/>
      <c r="AE784" s="29"/>
      <c r="AF784" s="29"/>
      <c r="AG784" s="29"/>
      <c r="AH784" s="30"/>
      <c r="AI784" s="31"/>
      <c r="AJ784" s="28"/>
      <c r="AK784" s="32"/>
      <c r="AL784" s="32"/>
      <c r="AM784" s="32"/>
      <c r="AN784" s="32"/>
      <c r="AO784" s="28"/>
      <c r="AP784" s="29"/>
    </row>
    <row r="785">
      <c r="A785" s="115"/>
      <c r="B785" s="116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O785" s="116"/>
      <c r="Q785" s="116"/>
      <c r="T785" s="114"/>
      <c r="Y785" s="118"/>
      <c r="Z785" s="28"/>
      <c r="AA785" s="28"/>
      <c r="AB785" s="28"/>
      <c r="AC785" s="28"/>
      <c r="AD785" s="28"/>
      <c r="AE785" s="29"/>
      <c r="AF785" s="29"/>
      <c r="AG785" s="29"/>
      <c r="AH785" s="30"/>
      <c r="AI785" s="31"/>
      <c r="AJ785" s="28"/>
      <c r="AK785" s="32"/>
      <c r="AL785" s="32"/>
      <c r="AM785" s="32"/>
      <c r="AN785" s="32"/>
      <c r="AO785" s="28"/>
      <c r="AP785" s="29"/>
    </row>
    <row r="786">
      <c r="A786" s="115"/>
      <c r="B786" s="116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O786" s="116"/>
      <c r="Q786" s="116"/>
      <c r="T786" s="114"/>
      <c r="Y786" s="118"/>
      <c r="Z786" s="28"/>
      <c r="AA786" s="28"/>
      <c r="AB786" s="28"/>
      <c r="AC786" s="28"/>
      <c r="AD786" s="28"/>
      <c r="AE786" s="29"/>
      <c r="AF786" s="29"/>
      <c r="AG786" s="29"/>
      <c r="AH786" s="30"/>
      <c r="AI786" s="31"/>
      <c r="AJ786" s="32"/>
      <c r="AK786" s="32"/>
      <c r="AL786" s="32"/>
      <c r="AM786" s="32"/>
      <c r="AN786" s="32"/>
      <c r="AO786" s="32"/>
      <c r="AP786" s="29"/>
    </row>
    <row r="787">
      <c r="A787" s="115"/>
      <c r="B787" s="116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O787" s="116"/>
      <c r="Q787" s="116"/>
      <c r="T787" s="114"/>
      <c r="Y787" s="118"/>
      <c r="Z787" s="28"/>
      <c r="AA787" s="28"/>
      <c r="AB787" s="28"/>
      <c r="AC787" s="29"/>
      <c r="AD787" s="29"/>
      <c r="AE787" s="29"/>
      <c r="AF787" s="29"/>
      <c r="AG787" s="29"/>
      <c r="AH787" s="30"/>
      <c r="AI787" s="31"/>
      <c r="AJ787" s="32"/>
      <c r="AK787" s="32"/>
      <c r="AL787" s="32"/>
      <c r="AM787" s="32"/>
      <c r="AN787" s="32"/>
      <c r="AO787" s="32"/>
      <c r="AP787" s="29"/>
    </row>
    <row r="788">
      <c r="A788" s="115"/>
      <c r="B788" s="116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O788" s="116"/>
      <c r="Q788" s="116"/>
      <c r="T788" s="114"/>
      <c r="Y788" s="118"/>
      <c r="Z788" s="28"/>
      <c r="AA788" s="28"/>
      <c r="AB788" s="28"/>
      <c r="AC788" s="28"/>
      <c r="AD788" s="29"/>
      <c r="AE788" s="29"/>
      <c r="AF788" s="29"/>
      <c r="AG788" s="29"/>
      <c r="AH788" s="30"/>
      <c r="AI788" s="31"/>
      <c r="AJ788" s="28"/>
      <c r="AK788" s="32"/>
      <c r="AL788" s="32"/>
      <c r="AM788" s="32"/>
      <c r="AN788" s="32"/>
      <c r="AO788" s="28"/>
      <c r="AP788" s="29"/>
    </row>
    <row r="789">
      <c r="A789" s="115"/>
      <c r="B789" s="116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O789" s="116"/>
      <c r="Q789" s="116"/>
      <c r="T789" s="114"/>
      <c r="Y789" s="118"/>
      <c r="Z789" s="28"/>
      <c r="AA789" s="28"/>
      <c r="AB789" s="28"/>
      <c r="AC789" s="28"/>
      <c r="AD789" s="29"/>
      <c r="AE789" s="29"/>
      <c r="AF789" s="29"/>
      <c r="AG789" s="29"/>
      <c r="AH789" s="30"/>
      <c r="AI789" s="31"/>
      <c r="AJ789" s="28"/>
      <c r="AK789" s="32"/>
      <c r="AL789" s="32"/>
      <c r="AM789" s="32"/>
      <c r="AN789" s="32"/>
      <c r="AO789" s="28"/>
      <c r="AP789" s="29"/>
    </row>
    <row r="790">
      <c r="A790" s="115"/>
      <c r="B790" s="116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O790" s="116"/>
      <c r="Q790" s="116"/>
      <c r="T790" s="114"/>
      <c r="Y790" s="118"/>
      <c r="Z790" s="28"/>
      <c r="AA790" s="28"/>
      <c r="AB790" s="28"/>
      <c r="AC790" s="28"/>
      <c r="AD790" s="29"/>
      <c r="AE790" s="29"/>
      <c r="AF790" s="29"/>
      <c r="AG790" s="29"/>
      <c r="AH790" s="30"/>
      <c r="AI790" s="31"/>
      <c r="AJ790" s="32"/>
      <c r="AK790" s="32"/>
      <c r="AL790" s="32"/>
      <c r="AM790" s="32"/>
      <c r="AN790" s="32"/>
      <c r="AO790" s="32"/>
      <c r="AP790" s="29"/>
    </row>
    <row r="791">
      <c r="A791" s="115"/>
      <c r="B791" s="116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O791" s="116"/>
      <c r="Q791" s="116"/>
      <c r="T791" s="114"/>
      <c r="Y791" s="118"/>
      <c r="Z791" s="28"/>
      <c r="AA791" s="28"/>
      <c r="AB791" s="28"/>
      <c r="AC791" s="29"/>
      <c r="AD791" s="29"/>
      <c r="AE791" s="29"/>
      <c r="AF791" s="29"/>
      <c r="AG791" s="29"/>
      <c r="AH791" s="30"/>
      <c r="AI791" s="31"/>
      <c r="AJ791" s="28"/>
      <c r="AK791" s="32"/>
      <c r="AL791" s="32"/>
      <c r="AM791" s="32"/>
      <c r="AN791" s="32"/>
      <c r="AO791" s="28"/>
      <c r="AP791" s="29"/>
    </row>
    <row r="792">
      <c r="A792" s="115"/>
      <c r="B792" s="116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O792" s="116"/>
      <c r="Q792" s="116"/>
      <c r="T792" s="114"/>
      <c r="Y792" s="118"/>
      <c r="Z792" s="28"/>
      <c r="AA792" s="28"/>
      <c r="AB792" s="28"/>
      <c r="AC792" s="28"/>
      <c r="AD792" s="28"/>
      <c r="AE792" s="29"/>
      <c r="AF792" s="29"/>
      <c r="AG792" s="29"/>
      <c r="AH792" s="30"/>
      <c r="AI792" s="31"/>
      <c r="AJ792" s="28"/>
      <c r="AK792" s="32"/>
      <c r="AL792" s="32"/>
      <c r="AM792" s="32"/>
      <c r="AN792" s="32"/>
      <c r="AO792" s="28"/>
      <c r="AP792" s="29"/>
    </row>
    <row r="793">
      <c r="A793" s="115"/>
      <c r="B793" s="116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O793" s="116"/>
      <c r="Q793" s="116"/>
      <c r="T793" s="114"/>
      <c r="Y793" s="118"/>
      <c r="Z793" s="28"/>
      <c r="AA793" s="28"/>
      <c r="AB793" s="28"/>
      <c r="AC793" s="28"/>
      <c r="AD793" s="29"/>
      <c r="AE793" s="29"/>
      <c r="AF793" s="29"/>
      <c r="AG793" s="29"/>
      <c r="AH793" s="30"/>
      <c r="AI793" s="39"/>
      <c r="AJ793" s="28"/>
      <c r="AK793" s="28"/>
      <c r="AL793" s="28"/>
      <c r="AM793" s="28"/>
      <c r="AN793" s="32"/>
      <c r="AO793" s="28"/>
      <c r="AP793" s="29"/>
    </row>
    <row r="794">
      <c r="A794" s="115"/>
      <c r="B794" s="116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O794" s="116"/>
      <c r="Q794" s="116"/>
      <c r="T794" s="114"/>
      <c r="Y794" s="118"/>
      <c r="Z794" s="28"/>
      <c r="AA794" s="28"/>
      <c r="AB794" s="29"/>
      <c r="AC794" s="29"/>
      <c r="AD794" s="29"/>
      <c r="AE794" s="29"/>
      <c r="AF794" s="29"/>
      <c r="AG794" s="29"/>
      <c r="AH794" s="30"/>
      <c r="AI794" s="39"/>
      <c r="AJ794" s="28"/>
      <c r="AK794" s="28"/>
      <c r="AL794" s="28"/>
      <c r="AM794" s="28"/>
      <c r="AN794" s="32"/>
      <c r="AO794" s="28"/>
      <c r="AP794" s="29"/>
    </row>
    <row r="795">
      <c r="A795" s="115"/>
      <c r="B795" s="116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O795" s="116"/>
      <c r="Q795" s="116"/>
      <c r="T795" s="114"/>
      <c r="Y795" s="118"/>
      <c r="Z795" s="28"/>
      <c r="AA795" s="28"/>
      <c r="AB795" s="28"/>
      <c r="AC795" s="28"/>
      <c r="AD795" s="29"/>
      <c r="AE795" s="29"/>
      <c r="AF795" s="29"/>
      <c r="AG795" s="29"/>
      <c r="AH795" s="30"/>
      <c r="AI795" s="31"/>
      <c r="AJ795" s="28"/>
      <c r="AK795" s="32"/>
      <c r="AL795" s="32"/>
      <c r="AM795" s="32"/>
      <c r="AN795" s="32"/>
      <c r="AO795" s="28"/>
      <c r="AP795" s="29"/>
    </row>
    <row r="796">
      <c r="A796" s="115"/>
      <c r="B796" s="116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O796" s="116"/>
      <c r="Q796" s="116"/>
      <c r="T796" s="114"/>
      <c r="Y796" s="118"/>
      <c r="Z796" s="28"/>
      <c r="AA796" s="28"/>
      <c r="AB796" s="28"/>
      <c r="AC796" s="28"/>
      <c r="AD796" s="28"/>
      <c r="AE796" s="29"/>
      <c r="AF796" s="29"/>
      <c r="AG796" s="29"/>
      <c r="AH796" s="30"/>
      <c r="AI796" s="31"/>
      <c r="AJ796" s="28"/>
      <c r="AK796" s="28"/>
      <c r="AL796" s="32"/>
      <c r="AM796" s="32"/>
      <c r="AN796" s="32"/>
      <c r="AO796" s="28"/>
      <c r="AP796" s="29"/>
    </row>
    <row r="797">
      <c r="A797" s="115"/>
      <c r="B797" s="116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O797" s="116"/>
      <c r="Q797" s="116"/>
      <c r="T797" s="114"/>
      <c r="Y797" s="118"/>
      <c r="Z797" s="28"/>
      <c r="AA797" s="28"/>
      <c r="AB797" s="28"/>
      <c r="AC797" s="29"/>
      <c r="AD797" s="29"/>
      <c r="AE797" s="29"/>
      <c r="AF797" s="29"/>
      <c r="AG797" s="29"/>
      <c r="AH797" s="30"/>
      <c r="AI797" s="31"/>
      <c r="AJ797" s="28"/>
      <c r="AK797" s="28"/>
      <c r="AL797" s="28"/>
      <c r="AM797" s="32"/>
      <c r="AN797" s="32"/>
      <c r="AO797" s="28"/>
      <c r="AP797" s="29"/>
    </row>
    <row r="798">
      <c r="A798" s="115"/>
      <c r="B798" s="116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O798" s="116"/>
      <c r="Q798" s="116"/>
      <c r="T798" s="114"/>
      <c r="Y798" s="118"/>
      <c r="Z798" s="28"/>
      <c r="AA798" s="28"/>
      <c r="AB798" s="28"/>
      <c r="AC798" s="28"/>
      <c r="AD798" s="29"/>
      <c r="AE798" s="29"/>
      <c r="AF798" s="29"/>
      <c r="AG798" s="29"/>
      <c r="AH798" s="30"/>
      <c r="AI798" s="31"/>
      <c r="AJ798" s="28"/>
      <c r="AK798" s="32"/>
      <c r="AL798" s="32"/>
      <c r="AM798" s="32"/>
      <c r="AN798" s="32"/>
      <c r="AO798" s="28"/>
      <c r="AP798" s="29"/>
    </row>
    <row r="799">
      <c r="A799" s="115"/>
      <c r="B799" s="116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O799" s="116"/>
      <c r="Q799" s="116"/>
      <c r="T799" s="114"/>
      <c r="Y799" s="118"/>
      <c r="Z799" s="28"/>
      <c r="AA799" s="28"/>
      <c r="AB799" s="28"/>
      <c r="AC799" s="29"/>
      <c r="AD799" s="29"/>
      <c r="AE799" s="29"/>
      <c r="AF799" s="29"/>
      <c r="AG799" s="29"/>
      <c r="AH799" s="30"/>
      <c r="AI799" s="31"/>
      <c r="AJ799" s="28"/>
      <c r="AK799" s="32"/>
      <c r="AL799" s="32"/>
      <c r="AM799" s="32"/>
      <c r="AN799" s="32"/>
      <c r="AO799" s="28"/>
      <c r="AP799" s="29"/>
    </row>
    <row r="800">
      <c r="A800" s="115"/>
      <c r="B800" s="116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O800" s="116"/>
      <c r="Q800" s="116"/>
      <c r="T800" s="114"/>
      <c r="Y800" s="118"/>
      <c r="Z800" s="28"/>
      <c r="AA800" s="28"/>
      <c r="AB800" s="28"/>
      <c r="AC800" s="29"/>
      <c r="AD800" s="29"/>
      <c r="AE800" s="29"/>
      <c r="AF800" s="29"/>
      <c r="AG800" s="29"/>
      <c r="AH800" s="30"/>
      <c r="AI800" s="39"/>
      <c r="AJ800" s="28"/>
      <c r="AK800" s="28"/>
      <c r="AL800" s="32"/>
      <c r="AM800" s="32"/>
      <c r="AN800" s="32"/>
      <c r="AO800" s="28"/>
      <c r="AP800" s="29"/>
    </row>
    <row r="801">
      <c r="A801" s="115"/>
      <c r="B801" s="116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O801" s="116"/>
      <c r="Q801" s="116"/>
      <c r="T801" s="114"/>
      <c r="Y801" s="118"/>
      <c r="Z801" s="28"/>
      <c r="AA801" s="28"/>
      <c r="AB801" s="28"/>
      <c r="AC801" s="28"/>
      <c r="AD801" s="28"/>
      <c r="AE801" s="29"/>
      <c r="AF801" s="29"/>
      <c r="AG801" s="29"/>
      <c r="AH801" s="119"/>
      <c r="AI801" s="31"/>
      <c r="AJ801" s="28"/>
      <c r="AK801" s="28"/>
      <c r="AL801" s="32"/>
      <c r="AM801" s="32"/>
      <c r="AN801" s="32"/>
      <c r="AO801" s="32"/>
      <c r="AP801" s="29"/>
    </row>
    <row r="802">
      <c r="A802" s="115"/>
      <c r="B802" s="116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O802" s="116"/>
      <c r="Q802" s="116"/>
      <c r="T802" s="114"/>
      <c r="Y802" s="118"/>
      <c r="Z802" s="28"/>
      <c r="AA802" s="28"/>
      <c r="AB802" s="29"/>
      <c r="AC802" s="29"/>
      <c r="AD802" s="29"/>
      <c r="AE802" s="29"/>
      <c r="AF802" s="29"/>
      <c r="AG802" s="29"/>
      <c r="AH802" s="30"/>
      <c r="AI802" s="31"/>
      <c r="AJ802" s="28"/>
      <c r="AK802" s="28"/>
      <c r="AL802" s="28"/>
      <c r="AM802" s="32"/>
      <c r="AN802" s="32"/>
      <c r="AO802" s="28"/>
      <c r="AP802" s="29"/>
    </row>
    <row r="803">
      <c r="A803" s="115"/>
      <c r="B803" s="116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O803" s="116"/>
      <c r="Q803" s="116"/>
      <c r="T803" s="114"/>
      <c r="Y803" s="118"/>
      <c r="Z803" s="28"/>
      <c r="AA803" s="28"/>
      <c r="AB803" s="28"/>
      <c r="AC803" s="28"/>
      <c r="AD803" s="29"/>
      <c r="AE803" s="29"/>
      <c r="AF803" s="29"/>
      <c r="AG803" s="29"/>
      <c r="AH803" s="30"/>
      <c r="AI803" s="31"/>
      <c r="AJ803" s="28"/>
      <c r="AK803" s="32"/>
      <c r="AL803" s="32"/>
      <c r="AM803" s="32"/>
      <c r="AN803" s="32"/>
      <c r="AO803" s="28"/>
      <c r="AP803" s="29"/>
    </row>
    <row r="804">
      <c r="A804" s="115"/>
      <c r="B804" s="116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O804" s="116"/>
      <c r="Q804" s="116"/>
      <c r="T804" s="114"/>
      <c r="Y804" s="118"/>
      <c r="Z804" s="28"/>
      <c r="AA804" s="28"/>
      <c r="AB804" s="29"/>
      <c r="AC804" s="29"/>
      <c r="AD804" s="29"/>
      <c r="AE804" s="29"/>
      <c r="AF804" s="29"/>
      <c r="AG804" s="29"/>
      <c r="AH804" s="30"/>
      <c r="AI804" s="31"/>
      <c r="AJ804" s="28"/>
      <c r="AK804" s="32"/>
      <c r="AL804" s="32"/>
      <c r="AM804" s="32"/>
      <c r="AN804" s="32"/>
      <c r="AO804" s="28"/>
      <c r="AP804" s="29"/>
    </row>
    <row r="805">
      <c r="A805" s="115"/>
      <c r="B805" s="116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O805" s="116"/>
      <c r="Q805" s="116"/>
      <c r="T805" s="114"/>
      <c r="Y805" s="118"/>
      <c r="Z805" s="28"/>
      <c r="AA805" s="28"/>
      <c r="AB805" s="28"/>
      <c r="AC805" s="29"/>
      <c r="AD805" s="29"/>
      <c r="AE805" s="29"/>
      <c r="AF805" s="29"/>
      <c r="AG805" s="29"/>
      <c r="AH805" s="30"/>
      <c r="AI805" s="31"/>
      <c r="AJ805" s="28"/>
      <c r="AK805" s="32"/>
      <c r="AL805" s="32"/>
      <c r="AM805" s="32"/>
      <c r="AN805" s="32"/>
      <c r="AO805" s="28"/>
      <c r="AP805" s="29"/>
    </row>
    <row r="806">
      <c r="A806" s="115"/>
      <c r="B806" s="116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O806" s="116"/>
      <c r="Q806" s="116"/>
      <c r="T806" s="114"/>
      <c r="Y806" s="118"/>
      <c r="Z806" s="28"/>
      <c r="AA806" s="28"/>
      <c r="AB806" s="29"/>
      <c r="AC806" s="29"/>
      <c r="AD806" s="29"/>
      <c r="AE806" s="29"/>
      <c r="AF806" s="29"/>
      <c r="AG806" s="29"/>
      <c r="AH806" s="30"/>
      <c r="AI806" s="31"/>
      <c r="AJ806" s="28"/>
      <c r="AK806" s="28"/>
      <c r="AL806" s="32"/>
      <c r="AM806" s="32"/>
      <c r="AN806" s="32"/>
      <c r="AO806" s="28"/>
      <c r="AP806" s="29"/>
    </row>
    <row r="807">
      <c r="A807" s="115"/>
      <c r="B807" s="116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O807" s="116"/>
      <c r="Q807" s="116"/>
      <c r="T807" s="114"/>
      <c r="Y807" s="118"/>
      <c r="Z807" s="28"/>
      <c r="AA807" s="28"/>
      <c r="AB807" s="28"/>
      <c r="AC807" s="28"/>
      <c r="AD807" s="29"/>
      <c r="AE807" s="29"/>
      <c r="AF807" s="29"/>
      <c r="AG807" s="29"/>
      <c r="AH807" s="30"/>
      <c r="AI807" s="31"/>
      <c r="AJ807" s="28"/>
      <c r="AK807" s="32"/>
      <c r="AL807" s="32"/>
      <c r="AM807" s="32"/>
      <c r="AN807" s="32"/>
      <c r="AO807" s="28"/>
      <c r="AP807" s="29"/>
    </row>
    <row r="808">
      <c r="A808" s="115"/>
      <c r="B808" s="116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O808" s="116"/>
      <c r="Q808" s="116"/>
      <c r="T808" s="114"/>
      <c r="Y808" s="118"/>
      <c r="Z808" s="28"/>
      <c r="AA808" s="28"/>
      <c r="AB808" s="28"/>
      <c r="AC808" s="29"/>
      <c r="AD808" s="29"/>
      <c r="AE808" s="29"/>
      <c r="AF808" s="29"/>
      <c r="AG808" s="29"/>
      <c r="AH808" s="30"/>
      <c r="AI808" s="31"/>
      <c r="AJ808" s="28"/>
      <c r="AK808" s="32"/>
      <c r="AL808" s="32"/>
      <c r="AM808" s="32"/>
      <c r="AN808" s="32"/>
      <c r="AO808" s="28"/>
      <c r="AP808" s="29"/>
    </row>
    <row r="809">
      <c r="A809" s="115"/>
      <c r="B809" s="116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O809" s="116"/>
      <c r="Q809" s="116"/>
      <c r="T809" s="114"/>
      <c r="Y809" s="118"/>
      <c r="Z809" s="28"/>
      <c r="AA809" s="28"/>
      <c r="AB809" s="29"/>
      <c r="AC809" s="29"/>
      <c r="AD809" s="29"/>
      <c r="AE809" s="29"/>
      <c r="AF809" s="29"/>
      <c r="AG809" s="29"/>
      <c r="AH809" s="30"/>
      <c r="AI809" s="31"/>
      <c r="AJ809" s="28"/>
      <c r="AK809" s="32"/>
      <c r="AL809" s="32"/>
      <c r="AM809" s="32"/>
      <c r="AN809" s="32"/>
      <c r="AO809" s="28"/>
      <c r="AP809" s="29"/>
    </row>
    <row r="810">
      <c r="A810" s="115"/>
      <c r="B810" s="116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O810" s="116"/>
      <c r="Q810" s="116"/>
      <c r="T810" s="114"/>
      <c r="Y810" s="118"/>
      <c r="Z810" s="28"/>
      <c r="AA810" s="28"/>
      <c r="AB810" s="29"/>
      <c r="AC810" s="29"/>
      <c r="AD810" s="29"/>
      <c r="AE810" s="29"/>
      <c r="AF810" s="29"/>
      <c r="AG810" s="29"/>
      <c r="AH810" s="30"/>
      <c r="AI810" s="31"/>
      <c r="AJ810" s="28"/>
      <c r="AK810" s="32"/>
      <c r="AL810" s="32"/>
      <c r="AM810" s="32"/>
      <c r="AN810" s="32"/>
      <c r="AO810" s="28"/>
      <c r="AP810" s="28"/>
    </row>
    <row r="811">
      <c r="A811" s="115"/>
      <c r="B811" s="116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O811" s="116"/>
      <c r="Q811" s="116"/>
      <c r="T811" s="114"/>
      <c r="Y811" s="118"/>
      <c r="Z811" s="28"/>
      <c r="AA811" s="28"/>
      <c r="AB811" s="28"/>
      <c r="AC811" s="28"/>
      <c r="AD811" s="29"/>
      <c r="AE811" s="29"/>
      <c r="AF811" s="29"/>
      <c r="AG811" s="29"/>
      <c r="AH811" s="30"/>
      <c r="AI811" s="31"/>
      <c r="AJ811" s="28"/>
      <c r="AK811" s="32"/>
      <c r="AL811" s="32"/>
      <c r="AM811" s="32"/>
      <c r="AN811" s="32"/>
      <c r="AO811" s="28"/>
      <c r="AP811" s="29"/>
    </row>
    <row r="812">
      <c r="A812" s="115"/>
      <c r="B812" s="116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O812" s="116"/>
      <c r="Q812" s="116"/>
      <c r="T812" s="114"/>
      <c r="Y812" s="118"/>
      <c r="Z812" s="28"/>
      <c r="AA812" s="28"/>
      <c r="AB812" s="28"/>
      <c r="AC812" s="29"/>
      <c r="AD812" s="29"/>
      <c r="AE812" s="29"/>
      <c r="AF812" s="29"/>
      <c r="AG812" s="29"/>
      <c r="AH812" s="30"/>
      <c r="AI812" s="31"/>
      <c r="AJ812" s="28"/>
      <c r="AK812" s="32"/>
      <c r="AL812" s="32"/>
      <c r="AM812" s="32"/>
      <c r="AN812" s="32"/>
      <c r="AO812" s="28"/>
      <c r="AP812" s="29"/>
    </row>
    <row r="813">
      <c r="A813" s="115"/>
      <c r="B813" s="116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O813" s="116"/>
      <c r="Q813" s="116"/>
      <c r="T813" s="114"/>
      <c r="Y813" s="118"/>
      <c r="Z813" s="28"/>
      <c r="AA813" s="28"/>
      <c r="AB813" s="28"/>
      <c r="AC813" s="28"/>
      <c r="AD813" s="28"/>
      <c r="AE813" s="29"/>
      <c r="AF813" s="29"/>
      <c r="AG813" s="29"/>
      <c r="AH813" s="30"/>
      <c r="AI813" s="31"/>
      <c r="AJ813" s="28"/>
      <c r="AK813" s="32"/>
      <c r="AL813" s="32"/>
      <c r="AM813" s="32"/>
      <c r="AN813" s="32"/>
      <c r="AO813" s="28"/>
      <c r="AP813" s="29"/>
    </row>
    <row r="814">
      <c r="A814" s="115"/>
      <c r="B814" s="116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O814" s="116"/>
      <c r="Q814" s="116"/>
      <c r="T814" s="114"/>
      <c r="Y814" s="118"/>
      <c r="Z814" s="28"/>
      <c r="AA814" s="28"/>
      <c r="AB814" s="28"/>
      <c r="AC814" s="28"/>
      <c r="AD814" s="29"/>
      <c r="AE814" s="29"/>
      <c r="AF814" s="29"/>
      <c r="AG814" s="29"/>
      <c r="AH814" s="30"/>
      <c r="AI814" s="31"/>
      <c r="AJ814" s="28"/>
      <c r="AK814" s="32"/>
      <c r="AL814" s="32"/>
      <c r="AM814" s="32"/>
      <c r="AN814" s="32"/>
      <c r="AO814" s="28"/>
      <c r="AP814" s="29"/>
    </row>
    <row r="815">
      <c r="A815" s="115"/>
      <c r="B815" s="116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O815" s="116"/>
      <c r="Q815" s="116"/>
      <c r="T815" s="114"/>
      <c r="Y815" s="118"/>
      <c r="Z815" s="28"/>
      <c r="AA815" s="28"/>
      <c r="AB815" s="28"/>
      <c r="AC815" s="28"/>
      <c r="AD815" s="29"/>
      <c r="AE815" s="29"/>
      <c r="AF815" s="29"/>
      <c r="AG815" s="29"/>
      <c r="AH815" s="30"/>
      <c r="AI815" s="31"/>
      <c r="AJ815" s="28"/>
      <c r="AK815" s="28"/>
      <c r="AL815" s="28"/>
      <c r="AM815" s="28"/>
      <c r="AN815" s="32"/>
      <c r="AO815" s="28"/>
      <c r="AP815" s="29"/>
    </row>
    <row r="816">
      <c r="A816" s="115"/>
      <c r="B816" s="116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O816" s="116"/>
      <c r="Q816" s="116"/>
      <c r="T816" s="114"/>
      <c r="Y816" s="118"/>
      <c r="Z816" s="28"/>
      <c r="AA816" s="28"/>
      <c r="AB816" s="28"/>
      <c r="AC816" s="28"/>
      <c r="AD816" s="29"/>
      <c r="AE816" s="29"/>
      <c r="AF816" s="29"/>
      <c r="AG816" s="29"/>
      <c r="AH816" s="30"/>
      <c r="AI816" s="31"/>
      <c r="AJ816" s="32"/>
      <c r="AK816" s="32"/>
      <c r="AL816" s="32"/>
      <c r="AM816" s="32"/>
      <c r="AN816" s="32"/>
      <c r="AO816" s="32"/>
      <c r="AP816" s="29"/>
    </row>
    <row r="817">
      <c r="A817" s="115"/>
      <c r="B817" s="116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O817" s="116"/>
      <c r="Q817" s="116"/>
      <c r="T817" s="114"/>
      <c r="Y817" s="118"/>
      <c r="Z817" s="28"/>
      <c r="AA817" s="28"/>
      <c r="AB817" s="28"/>
      <c r="AC817" s="28"/>
      <c r="AD817" s="29"/>
      <c r="AE817" s="29"/>
      <c r="AF817" s="29"/>
      <c r="AG817" s="29"/>
      <c r="AH817" s="30"/>
      <c r="AI817" s="31"/>
      <c r="AJ817" s="28"/>
      <c r="AK817" s="28"/>
      <c r="AL817" s="28"/>
      <c r="AM817" s="32"/>
      <c r="AN817" s="32"/>
      <c r="AO817" s="32"/>
      <c r="AP817" s="29"/>
    </row>
    <row r="818">
      <c r="A818" s="115"/>
      <c r="B818" s="116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O818" s="116"/>
      <c r="Q818" s="116"/>
      <c r="T818" s="114"/>
      <c r="Y818" s="118"/>
      <c r="Z818" s="28"/>
      <c r="AA818" s="28"/>
      <c r="AB818" s="28"/>
      <c r="AC818" s="28"/>
      <c r="AD818" s="29"/>
      <c r="AE818" s="29"/>
      <c r="AF818" s="29"/>
      <c r="AG818" s="29"/>
      <c r="AH818" s="30"/>
      <c r="AI818" s="31"/>
      <c r="AJ818" s="28"/>
      <c r="AK818" s="28"/>
      <c r="AL818" s="28"/>
      <c r="AM818" s="32"/>
      <c r="AN818" s="32"/>
      <c r="AO818" s="28"/>
      <c r="AP818" s="28"/>
    </row>
    <row r="819">
      <c r="A819" s="115"/>
      <c r="B819" s="116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O819" s="116"/>
      <c r="Q819" s="116"/>
      <c r="T819" s="114"/>
      <c r="Y819" s="118"/>
      <c r="Z819" s="28"/>
      <c r="AA819" s="28"/>
      <c r="AB819" s="29"/>
      <c r="AC819" s="29"/>
      <c r="AD819" s="29"/>
      <c r="AE819" s="29"/>
      <c r="AF819" s="29"/>
      <c r="AG819" s="29"/>
      <c r="AH819" s="30"/>
      <c r="AI819" s="39"/>
      <c r="AJ819" s="32"/>
      <c r="AK819" s="32"/>
      <c r="AL819" s="32"/>
      <c r="AM819" s="32"/>
      <c r="AN819" s="32"/>
      <c r="AO819" s="32"/>
      <c r="AP819" s="29"/>
    </row>
    <row r="820">
      <c r="A820" s="115"/>
      <c r="B820" s="116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O820" s="116"/>
      <c r="Q820" s="116"/>
      <c r="T820" s="114"/>
      <c r="Y820" s="118"/>
      <c r="Z820" s="28"/>
      <c r="AA820" s="28"/>
      <c r="AB820" s="28"/>
      <c r="AC820" s="28"/>
      <c r="AD820" s="29"/>
      <c r="AE820" s="29"/>
      <c r="AF820" s="29"/>
      <c r="AG820" s="29"/>
      <c r="AH820" s="30"/>
      <c r="AI820" s="31"/>
      <c r="AJ820" s="28"/>
      <c r="AK820" s="28"/>
      <c r="AL820" s="28"/>
      <c r="AM820" s="32"/>
      <c r="AN820" s="32"/>
      <c r="AO820" s="28"/>
      <c r="AP820" s="28"/>
    </row>
    <row r="821">
      <c r="A821" s="115"/>
      <c r="B821" s="116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O821" s="116"/>
      <c r="Q821" s="116"/>
      <c r="T821" s="114"/>
      <c r="Y821" s="118"/>
      <c r="Z821" s="28"/>
      <c r="AA821" s="28"/>
      <c r="AB821" s="28"/>
      <c r="AC821" s="28"/>
      <c r="AD821" s="29"/>
      <c r="AE821" s="29"/>
      <c r="AF821" s="29"/>
      <c r="AG821" s="29"/>
      <c r="AH821" s="30"/>
      <c r="AI821" s="31"/>
      <c r="AJ821" s="28"/>
      <c r="AK821" s="28"/>
      <c r="AL821" s="28"/>
      <c r="AM821" s="32"/>
      <c r="AN821" s="32"/>
      <c r="AO821" s="28"/>
      <c r="AP821" s="29"/>
    </row>
    <row r="822">
      <c r="A822" s="115"/>
      <c r="B822" s="116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O822" s="116"/>
      <c r="Q822" s="116"/>
      <c r="T822" s="114"/>
      <c r="Y822" s="118"/>
      <c r="Z822" s="28"/>
      <c r="AA822" s="28"/>
      <c r="AB822" s="28"/>
      <c r="AC822" s="28"/>
      <c r="AD822" s="29"/>
      <c r="AE822" s="29"/>
      <c r="AF822" s="29"/>
      <c r="AG822" s="29"/>
      <c r="AH822" s="30"/>
      <c r="AI822" s="31"/>
      <c r="AJ822" s="28"/>
      <c r="AK822" s="28"/>
      <c r="AL822" s="32"/>
      <c r="AM822" s="32"/>
      <c r="AN822" s="32"/>
      <c r="AO822" s="28"/>
      <c r="AP822" s="29"/>
    </row>
    <row r="823">
      <c r="A823" s="115"/>
      <c r="B823" s="116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O823" s="116"/>
      <c r="Q823" s="116"/>
      <c r="T823" s="114"/>
      <c r="Y823" s="118"/>
      <c r="Z823" s="28"/>
      <c r="AA823" s="28"/>
      <c r="AB823" s="28"/>
      <c r="AC823" s="29"/>
      <c r="AD823" s="29"/>
      <c r="AE823" s="29"/>
      <c r="AF823" s="29"/>
      <c r="AG823" s="29"/>
      <c r="AH823" s="30"/>
      <c r="AI823" s="31"/>
      <c r="AJ823" s="28"/>
      <c r="AK823" s="32"/>
      <c r="AL823" s="32"/>
      <c r="AM823" s="32"/>
      <c r="AN823" s="32"/>
      <c r="AO823" s="28"/>
      <c r="AP823" s="29"/>
    </row>
    <row r="824">
      <c r="A824" s="115"/>
      <c r="B824" s="116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O824" s="116"/>
      <c r="Q824" s="116"/>
      <c r="T824" s="114"/>
      <c r="Y824" s="118"/>
      <c r="Z824" s="28"/>
      <c r="AA824" s="28"/>
      <c r="AB824" s="29"/>
      <c r="AC824" s="29"/>
      <c r="AD824" s="29"/>
      <c r="AE824" s="29"/>
      <c r="AF824" s="29"/>
      <c r="AG824" s="29"/>
      <c r="AH824" s="30"/>
      <c r="AI824" s="31"/>
      <c r="AJ824" s="28"/>
      <c r="AK824" s="28"/>
      <c r="AL824" s="32"/>
      <c r="AM824" s="32"/>
      <c r="AN824" s="32"/>
      <c r="AO824" s="28"/>
      <c r="AP824" s="29"/>
    </row>
    <row r="825">
      <c r="A825" s="115"/>
      <c r="B825" s="116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O825" s="116"/>
      <c r="Q825" s="116"/>
      <c r="T825" s="114"/>
      <c r="Y825" s="118"/>
      <c r="Z825" s="28"/>
      <c r="AA825" s="28"/>
      <c r="AB825" s="28"/>
      <c r="AC825" s="28"/>
      <c r="AD825" s="29"/>
      <c r="AE825" s="29"/>
      <c r="AF825" s="29"/>
      <c r="AG825" s="29"/>
      <c r="AH825" s="119"/>
      <c r="AI825" s="31"/>
      <c r="AJ825" s="28"/>
      <c r="AK825" s="28"/>
      <c r="AL825" s="28"/>
      <c r="AM825" s="32"/>
      <c r="AN825" s="32"/>
      <c r="AO825" s="32"/>
      <c r="AP825" s="29"/>
    </row>
    <row r="826">
      <c r="A826" s="115"/>
      <c r="B826" s="116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O826" s="116"/>
      <c r="Q826" s="116"/>
      <c r="T826" s="114"/>
      <c r="Y826" s="118"/>
      <c r="Z826" s="28"/>
      <c r="AA826" s="28"/>
      <c r="AB826" s="28"/>
      <c r="AC826" s="29"/>
      <c r="AD826" s="29"/>
      <c r="AE826" s="29"/>
      <c r="AF826" s="29"/>
      <c r="AG826" s="29"/>
      <c r="AH826" s="30"/>
      <c r="AI826" s="39"/>
      <c r="AJ826" s="28"/>
      <c r="AK826" s="28"/>
      <c r="AL826" s="32"/>
      <c r="AM826" s="32"/>
      <c r="AN826" s="32"/>
      <c r="AO826" s="28"/>
      <c r="AP826" s="29"/>
    </row>
    <row r="827">
      <c r="A827" s="115"/>
      <c r="B827" s="116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O827" s="116"/>
      <c r="Q827" s="116"/>
      <c r="T827" s="114"/>
      <c r="Y827" s="118"/>
      <c r="Z827" s="28"/>
      <c r="AA827" s="28"/>
      <c r="AB827" s="28"/>
      <c r="AC827" s="29"/>
      <c r="AD827" s="29"/>
      <c r="AE827" s="29"/>
      <c r="AF827" s="29"/>
      <c r="AG827" s="29"/>
      <c r="AH827" s="30"/>
      <c r="AI827" s="31"/>
      <c r="AJ827" s="28"/>
      <c r="AK827" s="32"/>
      <c r="AL827" s="32"/>
      <c r="AM827" s="32"/>
      <c r="AN827" s="32"/>
      <c r="AO827" s="28"/>
      <c r="AP827" s="29"/>
    </row>
    <row r="828">
      <c r="A828" s="115"/>
      <c r="B828" s="116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O828" s="116"/>
      <c r="Q828" s="116"/>
      <c r="T828" s="114"/>
      <c r="Y828" s="118"/>
      <c r="Z828" s="28"/>
      <c r="AA828" s="28"/>
      <c r="AB828" s="28"/>
      <c r="AC828" s="28"/>
      <c r="AD828" s="28"/>
      <c r="AE828" s="29"/>
      <c r="AF828" s="29"/>
      <c r="AG828" s="29"/>
      <c r="AH828" s="30"/>
      <c r="AI828" s="31"/>
      <c r="AJ828" s="28"/>
      <c r="AK828" s="28"/>
      <c r="AL828" s="32"/>
      <c r="AM828" s="32"/>
      <c r="AN828" s="32"/>
      <c r="AO828" s="28"/>
      <c r="AP828" s="29"/>
    </row>
    <row r="829">
      <c r="A829" s="115"/>
      <c r="B829" s="116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O829" s="116"/>
      <c r="Q829" s="116"/>
      <c r="T829" s="114"/>
      <c r="Y829" s="118"/>
      <c r="Z829" s="28"/>
      <c r="AA829" s="28"/>
      <c r="AB829" s="29"/>
      <c r="AC829" s="29"/>
      <c r="AD829" s="29"/>
      <c r="AE829" s="29"/>
      <c r="AF829" s="29"/>
      <c r="AG829" s="29"/>
      <c r="AH829" s="30"/>
      <c r="AI829" s="31"/>
      <c r="AJ829" s="28"/>
      <c r="AK829" s="32"/>
      <c r="AL829" s="32"/>
      <c r="AM829" s="32"/>
      <c r="AN829" s="32"/>
      <c r="AO829" s="28"/>
      <c r="AP829" s="29"/>
    </row>
    <row r="830">
      <c r="A830" s="115"/>
      <c r="B830" s="116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O830" s="116"/>
      <c r="Q830" s="116"/>
      <c r="T830" s="114"/>
      <c r="Y830" s="118"/>
      <c r="Z830" s="28"/>
      <c r="AA830" s="28"/>
      <c r="AB830" s="28"/>
      <c r="AC830" s="29"/>
      <c r="AD830" s="29"/>
      <c r="AE830" s="29"/>
      <c r="AF830" s="29"/>
      <c r="AG830" s="29"/>
      <c r="AH830" s="30"/>
      <c r="AI830" s="31"/>
      <c r="AJ830" s="28"/>
      <c r="AK830" s="32"/>
      <c r="AL830" s="32"/>
      <c r="AM830" s="32"/>
      <c r="AN830" s="32"/>
      <c r="AO830" s="28"/>
      <c r="AP830" s="29"/>
    </row>
    <row r="831">
      <c r="A831" s="115"/>
      <c r="B831" s="116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O831" s="116"/>
      <c r="Q831" s="116"/>
      <c r="T831" s="114"/>
      <c r="Y831" s="118"/>
      <c r="Z831" s="28"/>
      <c r="AA831" s="28"/>
      <c r="AB831" s="28"/>
      <c r="AC831" s="29"/>
      <c r="AD831" s="29"/>
      <c r="AE831" s="29"/>
      <c r="AF831" s="29"/>
      <c r="AG831" s="29"/>
      <c r="AH831" s="30"/>
      <c r="AI831" s="31"/>
      <c r="AJ831" s="28"/>
      <c r="AK831" s="32"/>
      <c r="AL831" s="32"/>
      <c r="AM831" s="32"/>
      <c r="AN831" s="32"/>
      <c r="AO831" s="28"/>
      <c r="AP831" s="29"/>
    </row>
    <row r="832">
      <c r="A832" s="115"/>
      <c r="B832" s="116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O832" s="116"/>
      <c r="Q832" s="116"/>
      <c r="T832" s="114"/>
      <c r="Y832" s="118"/>
      <c r="Z832" s="28"/>
      <c r="AA832" s="28"/>
      <c r="AB832" s="28"/>
      <c r="AC832" s="28"/>
      <c r="AD832" s="29"/>
      <c r="AE832" s="29"/>
      <c r="AF832" s="29"/>
      <c r="AG832" s="29"/>
      <c r="AH832" s="30"/>
      <c r="AI832" s="31"/>
      <c r="AJ832" s="28"/>
      <c r="AK832" s="32"/>
      <c r="AL832" s="32"/>
      <c r="AM832" s="32"/>
      <c r="AN832" s="32"/>
      <c r="AO832" s="28"/>
      <c r="AP832" s="29"/>
    </row>
    <row r="833">
      <c r="A833" s="115"/>
      <c r="B833" s="116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O833" s="116"/>
      <c r="Q833" s="116"/>
      <c r="T833" s="114"/>
      <c r="Y833" s="118"/>
      <c r="Z833" s="28"/>
      <c r="AA833" s="28"/>
      <c r="AB833" s="28"/>
      <c r="AC833" s="28"/>
      <c r="AD833" s="29"/>
      <c r="AE833" s="29"/>
      <c r="AF833" s="29"/>
      <c r="AG833" s="29"/>
      <c r="AH833" s="119"/>
      <c r="AI833" s="31"/>
      <c r="AJ833" s="28"/>
      <c r="AK833" s="28"/>
      <c r="AL833" s="32"/>
      <c r="AM833" s="32"/>
      <c r="AN833" s="32"/>
      <c r="AO833" s="32"/>
      <c r="AP833" s="29"/>
    </row>
    <row r="834">
      <c r="A834" s="115"/>
      <c r="B834" s="116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O834" s="116"/>
      <c r="Q834" s="116"/>
      <c r="T834" s="114"/>
      <c r="Y834" s="118"/>
      <c r="Z834" s="28"/>
      <c r="AA834" s="28"/>
      <c r="AB834" s="28"/>
      <c r="AC834" s="29"/>
      <c r="AD834" s="29"/>
      <c r="AE834" s="29"/>
      <c r="AF834" s="29"/>
      <c r="AG834" s="29"/>
      <c r="AH834" s="30"/>
      <c r="AI834" s="31"/>
      <c r="AJ834" s="28"/>
      <c r="AK834" s="32"/>
      <c r="AL834" s="32"/>
      <c r="AM834" s="32"/>
      <c r="AN834" s="32"/>
      <c r="AO834" s="28"/>
      <c r="AP834" s="29"/>
    </row>
    <row r="835">
      <c r="A835" s="115"/>
      <c r="B835" s="116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O835" s="116"/>
      <c r="Q835" s="116"/>
      <c r="T835" s="114"/>
      <c r="Y835" s="118"/>
      <c r="Z835" s="28"/>
      <c r="AA835" s="28"/>
      <c r="AB835" s="28"/>
      <c r="AC835" s="29"/>
      <c r="AD835" s="29"/>
      <c r="AE835" s="29"/>
      <c r="AF835" s="29"/>
      <c r="AG835" s="29"/>
      <c r="AH835" s="30"/>
      <c r="AI835" s="31"/>
      <c r="AJ835" s="28"/>
      <c r="AK835" s="32"/>
      <c r="AL835" s="32"/>
      <c r="AM835" s="32"/>
      <c r="AN835" s="32"/>
      <c r="AO835" s="28"/>
      <c r="AP835" s="29"/>
    </row>
    <row r="836">
      <c r="A836" s="115"/>
      <c r="B836" s="116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O836" s="116"/>
      <c r="Q836" s="116"/>
      <c r="T836" s="114"/>
      <c r="Y836" s="118"/>
      <c r="Z836" s="28"/>
      <c r="AA836" s="28"/>
      <c r="AB836" s="28"/>
      <c r="AC836" s="29"/>
      <c r="AD836" s="29"/>
      <c r="AE836" s="29"/>
      <c r="AF836" s="29"/>
      <c r="AG836" s="29"/>
      <c r="AH836" s="30"/>
      <c r="AI836" s="31"/>
      <c r="AJ836" s="28"/>
      <c r="AK836" s="32"/>
      <c r="AL836" s="32"/>
      <c r="AM836" s="32"/>
      <c r="AN836" s="32"/>
      <c r="AO836" s="28"/>
      <c r="AP836" s="29"/>
    </row>
    <row r="837">
      <c r="A837" s="115"/>
      <c r="B837" s="116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O837" s="116"/>
      <c r="Q837" s="116"/>
      <c r="T837" s="114"/>
      <c r="Y837" s="118"/>
      <c r="Z837" s="28"/>
      <c r="AA837" s="28"/>
      <c r="AB837" s="28"/>
      <c r="AC837" s="29"/>
      <c r="AD837" s="29"/>
      <c r="AE837" s="29"/>
      <c r="AF837" s="29"/>
      <c r="AG837" s="29"/>
      <c r="AH837" s="30"/>
      <c r="AI837" s="31"/>
      <c r="AJ837" s="28"/>
      <c r="AK837" s="28"/>
      <c r="AL837" s="32"/>
      <c r="AM837" s="32"/>
      <c r="AN837" s="32"/>
      <c r="AO837" s="28"/>
      <c r="AP837" s="28"/>
    </row>
    <row r="838">
      <c r="A838" s="115"/>
      <c r="B838" s="116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O838" s="116"/>
      <c r="Q838" s="116"/>
      <c r="T838" s="114"/>
      <c r="Y838" s="118"/>
      <c r="Z838" s="28"/>
      <c r="AA838" s="28"/>
      <c r="AB838" s="28"/>
      <c r="AC838" s="29"/>
      <c r="AD838" s="29"/>
      <c r="AE838" s="29"/>
      <c r="AF838" s="29"/>
      <c r="AG838" s="29"/>
      <c r="AH838" s="30"/>
      <c r="AI838" s="31"/>
      <c r="AJ838" s="28"/>
      <c r="AK838" s="32"/>
      <c r="AL838" s="32"/>
      <c r="AM838" s="32"/>
      <c r="AN838" s="32"/>
      <c r="AO838" s="28"/>
      <c r="AP838" s="29"/>
    </row>
    <row r="839">
      <c r="A839" s="115"/>
      <c r="B839" s="116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O839" s="116"/>
      <c r="Q839" s="116"/>
      <c r="T839" s="114"/>
      <c r="Y839" s="118"/>
      <c r="Z839" s="28"/>
      <c r="AA839" s="28"/>
      <c r="AB839" s="28"/>
      <c r="AC839" s="29"/>
      <c r="AD839" s="29"/>
      <c r="AE839" s="29"/>
      <c r="AF839" s="29"/>
      <c r="AG839" s="29"/>
      <c r="AH839" s="30"/>
      <c r="AI839" s="39"/>
      <c r="AJ839" s="28"/>
      <c r="AK839" s="28"/>
      <c r="AL839" s="32"/>
      <c r="AM839" s="32"/>
      <c r="AN839" s="32"/>
      <c r="AO839" s="28"/>
      <c r="AP839" s="29"/>
    </row>
    <row r="840">
      <c r="A840" s="115"/>
      <c r="B840" s="116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O840" s="116"/>
      <c r="Q840" s="116"/>
      <c r="T840" s="114"/>
      <c r="Y840" s="118"/>
      <c r="Z840" s="28"/>
      <c r="AA840" s="28"/>
      <c r="AB840" s="29"/>
      <c r="AC840" s="29"/>
      <c r="AD840" s="29"/>
      <c r="AE840" s="29"/>
      <c r="AF840" s="29"/>
      <c r="AG840" s="29"/>
      <c r="AH840" s="30"/>
      <c r="AI840" s="31"/>
      <c r="AJ840" s="28"/>
      <c r="AK840" s="28"/>
      <c r="AL840" s="28"/>
      <c r="AM840" s="28"/>
      <c r="AN840" s="28"/>
      <c r="AO840" s="28"/>
      <c r="AP840" s="28"/>
    </row>
    <row r="841">
      <c r="A841" s="115"/>
      <c r="B841" s="116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O841" s="116"/>
      <c r="Q841" s="116"/>
      <c r="T841" s="114"/>
      <c r="Y841" s="118"/>
      <c r="Z841" s="28"/>
      <c r="AA841" s="28"/>
      <c r="AB841" s="28"/>
      <c r="AC841" s="28"/>
      <c r="AD841" s="29"/>
      <c r="AE841" s="29"/>
      <c r="AF841" s="29"/>
      <c r="AG841" s="29"/>
      <c r="AH841" s="30"/>
      <c r="AI841" s="31"/>
      <c r="AJ841" s="28"/>
      <c r="AK841" s="32"/>
      <c r="AL841" s="32"/>
      <c r="AM841" s="32"/>
      <c r="AN841" s="32"/>
      <c r="AO841" s="28"/>
      <c r="AP841" s="29"/>
    </row>
    <row r="842">
      <c r="A842" s="115"/>
      <c r="B842" s="116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O842" s="116"/>
      <c r="Q842" s="116"/>
      <c r="T842" s="114"/>
      <c r="Y842" s="118"/>
      <c r="Z842" s="28"/>
      <c r="AA842" s="28"/>
      <c r="AB842" s="28"/>
      <c r="AC842" s="29"/>
      <c r="AD842" s="29"/>
      <c r="AE842" s="29"/>
      <c r="AF842" s="29"/>
      <c r="AG842" s="29"/>
      <c r="AH842" s="30"/>
      <c r="AI842" s="31"/>
      <c r="AJ842" s="28"/>
      <c r="AK842" s="32"/>
      <c r="AL842" s="32"/>
      <c r="AM842" s="32"/>
      <c r="AN842" s="32"/>
      <c r="AO842" s="28"/>
      <c r="AP842" s="29"/>
    </row>
    <row r="843">
      <c r="A843" s="115"/>
      <c r="B843" s="116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O843" s="116"/>
      <c r="Q843" s="116"/>
      <c r="T843" s="114"/>
      <c r="Y843" s="118"/>
      <c r="Z843" s="28"/>
      <c r="AA843" s="28"/>
      <c r="AB843" s="28"/>
      <c r="AC843" s="28"/>
      <c r="AD843" s="28"/>
      <c r="AE843" s="29"/>
      <c r="AF843" s="29"/>
      <c r="AG843" s="29"/>
      <c r="AH843" s="30"/>
      <c r="AI843" s="31"/>
      <c r="AJ843" s="28"/>
      <c r="AK843" s="28"/>
      <c r="AL843" s="32"/>
      <c r="AM843" s="32"/>
      <c r="AN843" s="32"/>
      <c r="AO843" s="32"/>
      <c r="AP843" s="29"/>
    </row>
    <row r="844">
      <c r="A844" s="115"/>
      <c r="B844" s="116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O844" s="116"/>
      <c r="Q844" s="116"/>
      <c r="T844" s="114"/>
      <c r="Y844" s="118"/>
      <c r="Z844" s="28"/>
      <c r="AA844" s="28"/>
      <c r="AB844" s="28"/>
      <c r="AC844" s="28"/>
      <c r="AD844" s="29"/>
      <c r="AE844" s="29"/>
      <c r="AF844" s="29"/>
      <c r="AG844" s="29"/>
      <c r="AH844" s="30"/>
      <c r="AI844" s="31"/>
      <c r="AJ844" s="28"/>
      <c r="AK844" s="32"/>
      <c r="AL844" s="32"/>
      <c r="AM844" s="32"/>
      <c r="AN844" s="32"/>
      <c r="AO844" s="28"/>
      <c r="AP844" s="29"/>
    </row>
    <row r="845">
      <c r="A845" s="115"/>
      <c r="B845" s="116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O845" s="116"/>
      <c r="Q845" s="116"/>
      <c r="T845" s="114"/>
      <c r="Y845" s="118"/>
      <c r="Z845" s="28"/>
      <c r="AA845" s="28"/>
      <c r="AB845" s="28"/>
      <c r="AC845" s="28"/>
      <c r="AD845" s="28"/>
      <c r="AE845" s="28"/>
      <c r="AF845" s="29"/>
      <c r="AG845" s="29"/>
      <c r="AH845" s="30"/>
      <c r="AI845" s="31"/>
      <c r="AJ845" s="28"/>
      <c r="AK845" s="32"/>
      <c r="AL845" s="32"/>
      <c r="AM845" s="32"/>
      <c r="AN845" s="32"/>
      <c r="AO845" s="28"/>
      <c r="AP845" s="29"/>
    </row>
    <row r="846">
      <c r="A846" s="115"/>
      <c r="B846" s="116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O846" s="116"/>
      <c r="Q846" s="116"/>
      <c r="T846" s="114"/>
      <c r="Y846" s="118"/>
      <c r="Z846" s="28"/>
      <c r="AA846" s="28"/>
      <c r="AB846" s="28"/>
      <c r="AC846" s="29"/>
      <c r="AD846" s="29"/>
      <c r="AE846" s="29"/>
      <c r="AF846" s="29"/>
      <c r="AG846" s="29"/>
      <c r="AH846" s="30"/>
      <c r="AI846" s="31"/>
      <c r="AJ846" s="28"/>
      <c r="AK846" s="32"/>
      <c r="AL846" s="32"/>
      <c r="AM846" s="32"/>
      <c r="AN846" s="32"/>
      <c r="AO846" s="28"/>
      <c r="AP846" s="29"/>
    </row>
    <row r="847">
      <c r="A847" s="115"/>
      <c r="B847" s="116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O847" s="116"/>
      <c r="Q847" s="116"/>
      <c r="T847" s="114"/>
      <c r="Y847" s="118"/>
      <c r="Z847" s="28"/>
      <c r="AA847" s="28"/>
      <c r="AB847" s="28"/>
      <c r="AC847" s="29"/>
      <c r="AD847" s="29"/>
      <c r="AE847" s="29"/>
      <c r="AF847" s="29"/>
      <c r="AG847" s="29"/>
      <c r="AH847" s="30"/>
      <c r="AI847" s="31"/>
      <c r="AJ847" s="28"/>
      <c r="AK847" s="32"/>
      <c r="AL847" s="32"/>
      <c r="AM847" s="32"/>
      <c r="AN847" s="32"/>
      <c r="AO847" s="28"/>
      <c r="AP847" s="29"/>
    </row>
    <row r="848">
      <c r="A848" s="115"/>
      <c r="B848" s="116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O848" s="116"/>
      <c r="Q848" s="116"/>
      <c r="T848" s="114"/>
      <c r="Y848" s="118"/>
      <c r="Z848" s="28"/>
      <c r="AA848" s="28"/>
      <c r="AB848" s="29"/>
      <c r="AC848" s="29"/>
      <c r="AD848" s="29"/>
      <c r="AE848" s="29"/>
      <c r="AF848" s="29"/>
      <c r="AG848" s="29"/>
      <c r="AH848" s="30"/>
      <c r="AI848" s="31"/>
      <c r="AJ848" s="28"/>
      <c r="AK848" s="32"/>
      <c r="AL848" s="32"/>
      <c r="AM848" s="32"/>
      <c r="AN848" s="32"/>
      <c r="AO848" s="28"/>
      <c r="AP848" s="29"/>
    </row>
    <row r="849">
      <c r="A849" s="115"/>
      <c r="B849" s="116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O849" s="116"/>
      <c r="Q849" s="116"/>
      <c r="T849" s="114"/>
      <c r="Y849" s="118"/>
      <c r="Z849" s="28"/>
      <c r="AA849" s="28"/>
      <c r="AB849" s="28"/>
      <c r="AC849" s="29"/>
      <c r="AD849" s="29"/>
      <c r="AE849" s="29"/>
      <c r="AF849" s="29"/>
      <c r="AG849" s="29"/>
      <c r="AH849" s="30"/>
      <c r="AI849" s="31"/>
      <c r="AJ849" s="28"/>
      <c r="AK849" s="32"/>
      <c r="AL849" s="32"/>
      <c r="AM849" s="32"/>
      <c r="AN849" s="32"/>
      <c r="AO849" s="28"/>
      <c r="AP849" s="29"/>
    </row>
    <row r="850">
      <c r="A850" s="115"/>
      <c r="B850" s="116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O850" s="116"/>
      <c r="Q850" s="116"/>
      <c r="T850" s="114"/>
      <c r="Y850" s="118"/>
      <c r="Z850" s="28"/>
      <c r="AA850" s="28"/>
      <c r="AB850" s="28"/>
      <c r="AC850" s="28"/>
      <c r="AD850" s="29"/>
      <c r="AE850" s="29"/>
      <c r="AF850" s="29"/>
      <c r="AG850" s="29"/>
      <c r="AH850" s="30"/>
      <c r="AI850" s="31"/>
      <c r="AJ850" s="28"/>
      <c r="AK850" s="28"/>
      <c r="AL850" s="28"/>
      <c r="AM850" s="28"/>
      <c r="AN850" s="32"/>
      <c r="AO850" s="28"/>
      <c r="AP850" s="29"/>
    </row>
    <row r="851">
      <c r="A851" s="115"/>
      <c r="B851" s="116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O851" s="116"/>
      <c r="Q851" s="116"/>
      <c r="T851" s="114"/>
      <c r="Y851" s="118"/>
      <c r="Z851" s="28"/>
      <c r="AA851" s="28"/>
      <c r="AB851" s="28"/>
      <c r="AC851" s="29"/>
      <c r="AD851" s="29"/>
      <c r="AE851" s="29"/>
      <c r="AF851" s="29"/>
      <c r="AG851" s="29"/>
      <c r="AH851" s="30"/>
      <c r="AI851" s="39"/>
      <c r="AJ851" s="28"/>
      <c r="AK851" s="32"/>
      <c r="AL851" s="32"/>
      <c r="AM851" s="32"/>
      <c r="AN851" s="32"/>
      <c r="AO851" s="28"/>
      <c r="AP851" s="29"/>
    </row>
    <row r="852">
      <c r="A852" s="115"/>
      <c r="B852" s="116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O852" s="116"/>
      <c r="Q852" s="116"/>
      <c r="T852" s="114"/>
      <c r="Y852" s="118"/>
      <c r="Z852" s="28"/>
      <c r="AA852" s="28"/>
      <c r="AB852" s="28"/>
      <c r="AC852" s="28"/>
      <c r="AD852" s="29"/>
      <c r="AE852" s="29"/>
      <c r="AF852" s="29"/>
      <c r="AG852" s="29"/>
      <c r="AH852" s="30"/>
      <c r="AI852" s="31"/>
      <c r="AJ852" s="28"/>
      <c r="AK852" s="28"/>
      <c r="AL852" s="28"/>
      <c r="AM852" s="32"/>
      <c r="AN852" s="32"/>
      <c r="AO852" s="28"/>
      <c r="AP852" s="29"/>
    </row>
    <row r="853">
      <c r="A853" s="115"/>
      <c r="B853" s="116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O853" s="116"/>
      <c r="Q853" s="116"/>
      <c r="T853" s="114"/>
      <c r="Y853" s="118"/>
      <c r="Z853" s="28"/>
      <c r="AA853" s="28"/>
      <c r="AB853" s="28"/>
      <c r="AC853" s="28"/>
      <c r="AD853" s="29"/>
      <c r="AE853" s="29"/>
      <c r="AF853" s="29"/>
      <c r="AG853" s="29"/>
      <c r="AH853" s="30"/>
      <c r="AI853" s="31"/>
      <c r="AJ853" s="28"/>
      <c r="AK853" s="28"/>
      <c r="AL853" s="28"/>
      <c r="AM853" s="28"/>
      <c r="AN853" s="28"/>
      <c r="AO853" s="28"/>
      <c r="AP853" s="29"/>
    </row>
    <row r="854">
      <c r="A854" s="115"/>
      <c r="B854" s="116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O854" s="116"/>
      <c r="Q854" s="116"/>
      <c r="T854" s="114"/>
      <c r="Y854" s="118"/>
      <c r="Z854" s="28"/>
      <c r="AA854" s="28"/>
      <c r="AB854" s="28"/>
      <c r="AC854" s="28"/>
      <c r="AD854" s="29"/>
      <c r="AE854" s="29"/>
      <c r="AF854" s="29"/>
      <c r="AG854" s="29"/>
      <c r="AH854" s="30"/>
      <c r="AI854" s="31"/>
      <c r="AJ854" s="32"/>
      <c r="AK854" s="32"/>
      <c r="AL854" s="32"/>
      <c r="AM854" s="32"/>
      <c r="AN854" s="32"/>
      <c r="AO854" s="32"/>
      <c r="AP854" s="29"/>
    </row>
    <row r="855">
      <c r="A855" s="115"/>
      <c r="B855" s="116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O855" s="116"/>
      <c r="Q855" s="116"/>
      <c r="T855" s="114"/>
      <c r="Y855" s="118"/>
      <c r="Z855" s="28"/>
      <c r="AA855" s="28"/>
      <c r="AB855" s="28"/>
      <c r="AC855" s="28"/>
      <c r="AD855" s="29"/>
      <c r="AE855" s="29"/>
      <c r="AF855" s="29"/>
      <c r="AG855" s="29"/>
      <c r="AH855" s="30"/>
      <c r="AI855" s="31"/>
      <c r="AJ855" s="28"/>
      <c r="AK855" s="32"/>
      <c r="AL855" s="32"/>
      <c r="AM855" s="32"/>
      <c r="AN855" s="32"/>
      <c r="AO855" s="28"/>
      <c r="AP855" s="29"/>
    </row>
    <row r="856">
      <c r="A856" s="115"/>
      <c r="B856" s="116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O856" s="116"/>
      <c r="Q856" s="116"/>
      <c r="T856" s="114"/>
      <c r="Y856" s="118"/>
      <c r="Z856" s="28"/>
      <c r="AA856" s="28"/>
      <c r="AB856" s="28"/>
      <c r="AC856" s="28"/>
      <c r="AD856" s="29"/>
      <c r="AE856" s="29"/>
      <c r="AF856" s="29"/>
      <c r="AG856" s="29"/>
      <c r="AH856" s="30"/>
      <c r="AI856" s="31"/>
      <c r="AJ856" s="32"/>
      <c r="AK856" s="32"/>
      <c r="AL856" s="32"/>
      <c r="AM856" s="32"/>
      <c r="AN856" s="32"/>
      <c r="AO856" s="28"/>
      <c r="AP856" s="29"/>
    </row>
    <row r="857">
      <c r="A857" s="115"/>
      <c r="B857" s="116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O857" s="116"/>
      <c r="Q857" s="116"/>
      <c r="T857" s="114"/>
      <c r="Y857" s="118"/>
      <c r="Z857" s="28"/>
      <c r="AA857" s="28"/>
      <c r="AB857" s="28"/>
      <c r="AC857" s="29"/>
      <c r="AD857" s="29"/>
      <c r="AE857" s="29"/>
      <c r="AF857" s="29"/>
      <c r="AG857" s="29"/>
      <c r="AH857" s="30"/>
      <c r="AI857" s="31"/>
      <c r="AJ857" s="32"/>
      <c r="AK857" s="32"/>
      <c r="AL857" s="32"/>
      <c r="AM857" s="32"/>
      <c r="AN857" s="32"/>
      <c r="AO857" s="32"/>
      <c r="AP857" s="29"/>
    </row>
    <row r="858">
      <c r="A858" s="115"/>
      <c r="B858" s="116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O858" s="116"/>
      <c r="Q858" s="116"/>
      <c r="T858" s="114"/>
      <c r="Y858" s="118"/>
      <c r="Z858" s="28"/>
      <c r="AA858" s="28"/>
      <c r="AB858" s="28"/>
      <c r="AC858" s="29"/>
      <c r="AD858" s="29"/>
      <c r="AE858" s="29"/>
      <c r="AF858" s="29"/>
      <c r="AG858" s="29"/>
      <c r="AH858" s="119"/>
      <c r="AI858" s="31"/>
      <c r="AJ858" s="28"/>
      <c r="AK858" s="28"/>
      <c r="AL858" s="32"/>
      <c r="AM858" s="32"/>
      <c r="AN858" s="32"/>
      <c r="AO858" s="32"/>
      <c r="AP858" s="29"/>
    </row>
    <row r="859">
      <c r="A859" s="115"/>
      <c r="B859" s="116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O859" s="116"/>
      <c r="Q859" s="116"/>
      <c r="T859" s="114"/>
      <c r="Y859" s="118"/>
      <c r="Z859" s="28"/>
      <c r="AA859" s="28"/>
      <c r="AB859" s="28"/>
      <c r="AC859" s="29"/>
      <c r="AD859" s="29"/>
      <c r="AE859" s="29"/>
      <c r="AF859" s="29"/>
      <c r="AG859" s="29"/>
      <c r="AH859" s="30"/>
      <c r="AI859" s="31"/>
      <c r="AJ859" s="28"/>
      <c r="AK859" s="32"/>
      <c r="AL859" s="32"/>
      <c r="AM859" s="32"/>
      <c r="AN859" s="32"/>
      <c r="AO859" s="28"/>
      <c r="AP859" s="29"/>
    </row>
    <row r="860">
      <c r="A860" s="115"/>
      <c r="B860" s="116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O860" s="116"/>
      <c r="Q860" s="116"/>
      <c r="T860" s="114"/>
      <c r="Y860" s="118"/>
      <c r="Z860" s="28"/>
      <c r="AA860" s="28"/>
      <c r="AB860" s="29"/>
      <c r="AC860" s="29"/>
      <c r="AD860" s="29"/>
      <c r="AE860" s="29"/>
      <c r="AF860" s="29"/>
      <c r="AG860" s="29"/>
      <c r="AH860" s="30"/>
      <c r="AI860" s="31"/>
      <c r="AJ860" s="28"/>
      <c r="AK860" s="32"/>
      <c r="AL860" s="32"/>
      <c r="AM860" s="32"/>
      <c r="AN860" s="32"/>
      <c r="AO860" s="28"/>
      <c r="AP860" s="29"/>
    </row>
    <row r="861">
      <c r="A861" s="115"/>
      <c r="B861" s="116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O861" s="116"/>
      <c r="Q861" s="116"/>
      <c r="T861" s="114"/>
      <c r="Y861" s="118"/>
      <c r="Z861" s="28"/>
      <c r="AA861" s="28"/>
      <c r="AB861" s="28"/>
      <c r="AC861" s="28"/>
      <c r="AD861" s="29"/>
      <c r="AE861" s="29"/>
      <c r="AF861" s="29"/>
      <c r="AG861" s="29"/>
      <c r="AH861" s="30"/>
      <c r="AI861" s="31"/>
      <c r="AJ861" s="28"/>
      <c r="AK861" s="32"/>
      <c r="AL861" s="32"/>
      <c r="AM861" s="32"/>
      <c r="AN861" s="32"/>
      <c r="AO861" s="28"/>
      <c r="AP861" s="29"/>
    </row>
    <row r="862">
      <c r="A862" s="115"/>
      <c r="B862" s="116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O862" s="116"/>
      <c r="Q862" s="116"/>
      <c r="T862" s="114"/>
      <c r="Y862" s="118"/>
      <c r="Z862" s="28"/>
      <c r="AA862" s="28"/>
      <c r="AB862" s="28"/>
      <c r="AC862" s="29"/>
      <c r="AD862" s="29"/>
      <c r="AE862" s="29"/>
      <c r="AF862" s="29"/>
      <c r="AG862" s="29"/>
      <c r="AH862" s="30"/>
      <c r="AI862" s="31"/>
      <c r="AJ862" s="28"/>
      <c r="AK862" s="28"/>
      <c r="AL862" s="32"/>
      <c r="AM862" s="32"/>
      <c r="AN862" s="32"/>
      <c r="AO862" s="28"/>
      <c r="AP862" s="29"/>
    </row>
    <row r="863">
      <c r="A863" s="115"/>
      <c r="B863" s="116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O863" s="116"/>
      <c r="Q863" s="116"/>
      <c r="T863" s="114"/>
      <c r="Y863" s="118"/>
      <c r="Z863" s="28"/>
      <c r="AA863" s="28"/>
      <c r="AB863" s="28"/>
      <c r="AC863" s="28"/>
      <c r="AD863" s="29"/>
      <c r="AE863" s="29"/>
      <c r="AF863" s="29"/>
      <c r="AG863" s="29"/>
      <c r="AH863" s="30"/>
      <c r="AI863" s="31"/>
      <c r="AJ863" s="28"/>
      <c r="AK863" s="32"/>
      <c r="AL863" s="32"/>
      <c r="AM863" s="32"/>
      <c r="AN863" s="32"/>
      <c r="AO863" s="28"/>
      <c r="AP863" s="29"/>
    </row>
    <row r="864">
      <c r="A864" s="115"/>
      <c r="B864" s="116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O864" s="116"/>
      <c r="Q864" s="116"/>
      <c r="T864" s="114"/>
      <c r="Y864" s="118"/>
      <c r="Z864" s="28"/>
      <c r="AA864" s="28"/>
      <c r="AB864" s="29"/>
      <c r="AC864" s="29"/>
      <c r="AD864" s="29"/>
      <c r="AE864" s="29"/>
      <c r="AF864" s="29"/>
      <c r="AG864" s="29"/>
      <c r="AH864" s="30"/>
      <c r="AI864" s="31"/>
      <c r="AJ864" s="28"/>
      <c r="AK864" s="32"/>
      <c r="AL864" s="32"/>
      <c r="AM864" s="32"/>
      <c r="AN864" s="32"/>
      <c r="AO864" s="28"/>
      <c r="AP864" s="29"/>
    </row>
    <row r="865">
      <c r="A865" s="115"/>
      <c r="B865" s="116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O865" s="116"/>
      <c r="Q865" s="116"/>
      <c r="T865" s="114"/>
      <c r="Y865" s="118"/>
      <c r="Z865" s="28"/>
      <c r="AA865" s="28"/>
      <c r="AB865" s="28"/>
      <c r="AC865" s="29"/>
      <c r="AD865" s="29"/>
      <c r="AE865" s="29"/>
      <c r="AF865" s="29"/>
      <c r="AG865" s="29"/>
      <c r="AH865" s="30"/>
      <c r="AI865" s="31"/>
      <c r="AJ865" s="28"/>
      <c r="AK865" s="32"/>
      <c r="AL865" s="32"/>
      <c r="AM865" s="32"/>
      <c r="AN865" s="32"/>
      <c r="AO865" s="28"/>
      <c r="AP865" s="29"/>
    </row>
    <row r="866">
      <c r="A866" s="115"/>
      <c r="B866" s="116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O866" s="116"/>
      <c r="Q866" s="116"/>
      <c r="T866" s="114"/>
      <c r="Y866" s="118"/>
      <c r="Z866" s="28"/>
      <c r="AA866" s="28"/>
      <c r="AB866" s="28"/>
      <c r="AC866" s="29"/>
      <c r="AD866" s="29"/>
      <c r="AE866" s="29"/>
      <c r="AF866" s="29"/>
      <c r="AG866" s="29"/>
      <c r="AH866" s="30"/>
      <c r="AI866" s="31"/>
      <c r="AJ866" s="28"/>
      <c r="AK866" s="32"/>
      <c r="AL866" s="32"/>
      <c r="AM866" s="32"/>
      <c r="AN866" s="32"/>
      <c r="AO866" s="28"/>
      <c r="AP866" s="29"/>
    </row>
    <row r="867">
      <c r="A867" s="115"/>
      <c r="B867" s="116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O867" s="116"/>
      <c r="Q867" s="116"/>
      <c r="T867" s="114"/>
      <c r="Y867" s="118"/>
      <c r="Z867" s="28"/>
      <c r="AA867" s="28"/>
      <c r="AB867" s="28"/>
      <c r="AC867" s="28"/>
      <c r="AD867" s="28"/>
      <c r="AE867" s="29"/>
      <c r="AF867" s="29"/>
      <c r="AG867" s="29"/>
      <c r="AH867" s="30"/>
      <c r="AI867" s="31"/>
      <c r="AJ867" s="28"/>
      <c r="AK867" s="32"/>
      <c r="AL867" s="32"/>
      <c r="AM867" s="32"/>
      <c r="AN867" s="32"/>
      <c r="AO867" s="28"/>
      <c r="AP867" s="29"/>
    </row>
    <row r="868">
      <c r="A868" s="115"/>
      <c r="B868" s="116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O868" s="116"/>
      <c r="Q868" s="116"/>
      <c r="T868" s="114"/>
      <c r="Y868" s="118"/>
      <c r="Z868" s="28"/>
      <c r="AA868" s="28"/>
      <c r="AB868" s="28"/>
      <c r="AC868" s="28"/>
      <c r="AD868" s="28"/>
      <c r="AE868" s="29"/>
      <c r="AF868" s="29"/>
      <c r="AG868" s="29"/>
      <c r="AH868" s="30"/>
      <c r="AI868" s="31"/>
      <c r="AJ868" s="28"/>
      <c r="AK868" s="32"/>
      <c r="AL868" s="32"/>
      <c r="AM868" s="32"/>
      <c r="AN868" s="32"/>
      <c r="AO868" s="28"/>
      <c r="AP868" s="29"/>
    </row>
    <row r="869">
      <c r="A869" s="115"/>
      <c r="B869" s="116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O869" s="116"/>
      <c r="Q869" s="116"/>
      <c r="T869" s="114"/>
      <c r="Y869" s="118"/>
      <c r="Z869" s="28"/>
      <c r="AA869" s="28"/>
      <c r="AB869" s="28"/>
      <c r="AC869" s="29"/>
      <c r="AD869" s="29"/>
      <c r="AE869" s="29"/>
      <c r="AF869" s="29"/>
      <c r="AG869" s="29"/>
      <c r="AH869" s="30"/>
      <c r="AI869" s="31"/>
      <c r="AJ869" s="28"/>
      <c r="AK869" s="32"/>
      <c r="AL869" s="32"/>
      <c r="AM869" s="32"/>
      <c r="AN869" s="32"/>
      <c r="AO869" s="28"/>
      <c r="AP869" s="29"/>
    </row>
    <row r="870">
      <c r="A870" s="115"/>
      <c r="B870" s="116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O870" s="116"/>
      <c r="Q870" s="116"/>
      <c r="T870" s="114"/>
      <c r="Y870" s="118"/>
      <c r="Z870" s="28"/>
      <c r="AA870" s="28"/>
      <c r="AB870" s="28"/>
      <c r="AC870" s="29"/>
      <c r="AD870" s="29"/>
      <c r="AE870" s="29"/>
      <c r="AF870" s="29"/>
      <c r="AG870" s="29"/>
      <c r="AH870" s="30"/>
      <c r="AI870" s="31"/>
      <c r="AJ870" s="28"/>
      <c r="AK870" s="32"/>
      <c r="AL870" s="32"/>
      <c r="AM870" s="32"/>
      <c r="AN870" s="32"/>
      <c r="AO870" s="32"/>
      <c r="AP870" s="29"/>
    </row>
    <row r="871">
      <c r="A871" s="115"/>
      <c r="B871" s="116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O871" s="116"/>
      <c r="Q871" s="116"/>
      <c r="T871" s="114"/>
      <c r="Y871" s="118"/>
      <c r="Z871" s="28"/>
      <c r="AA871" s="28"/>
      <c r="AB871" s="28"/>
      <c r="AC871" s="29"/>
      <c r="AD871" s="29"/>
      <c r="AE871" s="29"/>
      <c r="AF871" s="29"/>
      <c r="AG871" s="29"/>
      <c r="AH871" s="30"/>
      <c r="AI871" s="31"/>
      <c r="AJ871" s="28"/>
      <c r="AK871" s="32"/>
      <c r="AL871" s="32"/>
      <c r="AM871" s="32"/>
      <c r="AN871" s="32"/>
      <c r="AO871" s="28"/>
      <c r="AP871" s="29"/>
    </row>
    <row r="872">
      <c r="A872" s="115"/>
      <c r="B872" s="116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O872" s="116"/>
      <c r="Q872" s="116"/>
      <c r="T872" s="114"/>
      <c r="Y872" s="118"/>
      <c r="Z872" s="28"/>
      <c r="AA872" s="28"/>
      <c r="AB872" s="29"/>
      <c r="AC872" s="29"/>
      <c r="AD872" s="29"/>
      <c r="AE872" s="29"/>
      <c r="AF872" s="29"/>
      <c r="AG872" s="29"/>
      <c r="AH872" s="30"/>
      <c r="AI872" s="31"/>
      <c r="AJ872" s="28"/>
      <c r="AK872" s="32"/>
      <c r="AL872" s="32"/>
      <c r="AM872" s="32"/>
      <c r="AN872" s="32"/>
      <c r="AO872" s="28"/>
      <c r="AP872" s="29"/>
    </row>
    <row r="873">
      <c r="A873" s="115"/>
      <c r="B873" s="116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O873" s="116"/>
      <c r="Q873" s="116"/>
      <c r="T873" s="114"/>
      <c r="Y873" s="118"/>
      <c r="Z873" s="28"/>
      <c r="AA873" s="28"/>
      <c r="AB873" s="29"/>
      <c r="AC873" s="29"/>
      <c r="AD873" s="29"/>
      <c r="AE873" s="29"/>
      <c r="AF873" s="29"/>
      <c r="AG873" s="29"/>
      <c r="AH873" s="30"/>
      <c r="AI873" s="31"/>
      <c r="AJ873" s="28"/>
      <c r="AK873" s="32"/>
      <c r="AL873" s="32"/>
      <c r="AM873" s="32"/>
      <c r="AN873" s="32"/>
      <c r="AO873" s="28"/>
      <c r="AP873" s="29"/>
    </row>
    <row r="874">
      <c r="A874" s="115"/>
      <c r="B874" s="116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O874" s="116"/>
      <c r="Q874" s="116"/>
      <c r="T874" s="114"/>
      <c r="Y874" s="118"/>
      <c r="Z874" s="28"/>
      <c r="AA874" s="28"/>
      <c r="AB874" s="28"/>
      <c r="AC874" s="29"/>
      <c r="AD874" s="29"/>
      <c r="AE874" s="29"/>
      <c r="AF874" s="29"/>
      <c r="AG874" s="29"/>
      <c r="AH874" s="30"/>
      <c r="AI874" s="31"/>
      <c r="AJ874" s="28"/>
      <c r="AK874" s="32"/>
      <c r="AL874" s="32"/>
      <c r="AM874" s="32"/>
      <c r="AN874" s="32"/>
      <c r="AO874" s="28"/>
      <c r="AP874" s="29"/>
    </row>
    <row r="875">
      <c r="A875" s="115"/>
      <c r="B875" s="116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O875" s="116"/>
      <c r="Q875" s="116"/>
      <c r="T875" s="114"/>
      <c r="Y875" s="118"/>
      <c r="Z875" s="28"/>
      <c r="AA875" s="29"/>
      <c r="AB875" s="29"/>
      <c r="AC875" s="29"/>
      <c r="AD875" s="29"/>
      <c r="AE875" s="29"/>
      <c r="AF875" s="29"/>
      <c r="AG875" s="29"/>
      <c r="AH875" s="30"/>
      <c r="AI875" s="32"/>
      <c r="AJ875" s="28"/>
      <c r="AK875" s="32"/>
      <c r="AL875" s="32"/>
      <c r="AM875" s="32"/>
      <c r="AN875" s="32"/>
      <c r="AO875" s="28"/>
      <c r="AP875" s="29"/>
    </row>
    <row r="876">
      <c r="A876" s="115"/>
      <c r="B876" s="116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O876" s="116"/>
      <c r="Q876" s="116"/>
      <c r="T876" s="114"/>
      <c r="Y876" s="118"/>
      <c r="Z876" s="28"/>
      <c r="AA876" s="28"/>
      <c r="AB876" s="28"/>
      <c r="AC876" s="28"/>
      <c r="AD876" s="29"/>
      <c r="AE876" s="29"/>
      <c r="AF876" s="29"/>
      <c r="AG876" s="29"/>
      <c r="AH876" s="30"/>
      <c r="AI876" s="31"/>
      <c r="AJ876" s="28"/>
      <c r="AK876" s="28"/>
      <c r="AL876" s="32"/>
      <c r="AM876" s="32"/>
      <c r="AN876" s="32"/>
      <c r="AO876" s="28"/>
      <c r="AP876" s="29"/>
    </row>
    <row r="877">
      <c r="A877" s="115"/>
      <c r="B877" s="116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O877" s="116"/>
      <c r="Q877" s="116"/>
      <c r="T877" s="114"/>
      <c r="Y877" s="118"/>
      <c r="Z877" s="28"/>
      <c r="AA877" s="28"/>
      <c r="AB877" s="28"/>
      <c r="AC877" s="29"/>
      <c r="AD877" s="29"/>
      <c r="AE877" s="29"/>
      <c r="AF877" s="29"/>
      <c r="AG877" s="29"/>
      <c r="AH877" s="30"/>
      <c r="AI877" s="31"/>
      <c r="AJ877" s="28"/>
      <c r="AK877" s="32"/>
      <c r="AL877" s="32"/>
      <c r="AM877" s="32"/>
      <c r="AN877" s="32"/>
      <c r="AO877" s="28"/>
      <c r="AP877" s="29"/>
    </row>
    <row r="878">
      <c r="A878" s="115"/>
      <c r="B878" s="116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O878" s="116"/>
      <c r="Q878" s="116"/>
      <c r="T878" s="114"/>
      <c r="Y878" s="118"/>
      <c r="Z878" s="28"/>
      <c r="AA878" s="28"/>
      <c r="AB878" s="28"/>
      <c r="AC878" s="28"/>
      <c r="AD878" s="28"/>
      <c r="AE878" s="29"/>
      <c r="AF878" s="29"/>
      <c r="AG878" s="29"/>
      <c r="AH878" s="30"/>
      <c r="AI878" s="31"/>
      <c r="AJ878" s="28"/>
      <c r="AK878" s="28"/>
      <c r="AL878" s="28"/>
      <c r="AM878" s="28"/>
      <c r="AN878" s="32"/>
      <c r="AO878" s="28"/>
      <c r="AP878" s="29"/>
    </row>
    <row r="879">
      <c r="A879" s="115"/>
      <c r="B879" s="116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O879" s="116"/>
      <c r="Q879" s="116"/>
      <c r="T879" s="114"/>
      <c r="Y879" s="118"/>
      <c r="Z879" s="28"/>
      <c r="AA879" s="28"/>
      <c r="AB879" s="28"/>
      <c r="AC879" s="29"/>
      <c r="AD879" s="29"/>
      <c r="AE879" s="29"/>
      <c r="AF879" s="29"/>
      <c r="AG879" s="29"/>
      <c r="AH879" s="30"/>
      <c r="AI879" s="31"/>
      <c r="AJ879" s="28"/>
      <c r="AK879" s="32"/>
      <c r="AL879" s="32"/>
      <c r="AM879" s="32"/>
      <c r="AN879" s="32"/>
      <c r="AO879" s="28"/>
      <c r="AP879" s="29"/>
    </row>
    <row r="880">
      <c r="A880" s="115"/>
      <c r="B880" s="116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O880" s="116"/>
      <c r="Q880" s="116"/>
      <c r="T880" s="114"/>
      <c r="Y880" s="118"/>
      <c r="Z880" s="28"/>
      <c r="AA880" s="28"/>
      <c r="AB880" s="28"/>
      <c r="AC880" s="28"/>
      <c r="AD880" s="28"/>
      <c r="AE880" s="29"/>
      <c r="AF880" s="29"/>
      <c r="AG880" s="29"/>
      <c r="AH880" s="30"/>
      <c r="AI880" s="31"/>
      <c r="AJ880" s="28"/>
      <c r="AK880" s="32"/>
      <c r="AL880" s="32"/>
      <c r="AM880" s="32"/>
      <c r="AN880" s="32"/>
      <c r="AO880" s="28"/>
      <c r="AP880" s="29"/>
    </row>
    <row r="881">
      <c r="A881" s="115"/>
      <c r="B881" s="116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O881" s="116"/>
      <c r="Q881" s="116"/>
      <c r="T881" s="114"/>
      <c r="Y881" s="118"/>
      <c r="Z881" s="28"/>
      <c r="AA881" s="28"/>
      <c r="AB881" s="28"/>
      <c r="AC881" s="28"/>
      <c r="AD881" s="28"/>
      <c r="AE881" s="29"/>
      <c r="AF881" s="29"/>
      <c r="AG881" s="29"/>
      <c r="AH881" s="30"/>
      <c r="AI881" s="31"/>
      <c r="AJ881" s="28"/>
      <c r="AK881" s="32"/>
      <c r="AL881" s="32"/>
      <c r="AM881" s="32"/>
      <c r="AN881" s="32"/>
      <c r="AO881" s="28"/>
      <c r="AP881" s="29"/>
    </row>
    <row r="882">
      <c r="A882" s="115"/>
      <c r="B882" s="116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O882" s="116"/>
      <c r="Q882" s="116"/>
      <c r="T882" s="114"/>
      <c r="Y882" s="118"/>
      <c r="Z882" s="28"/>
      <c r="AA882" s="28"/>
      <c r="AB882" s="28"/>
      <c r="AC882" s="28"/>
      <c r="AD882" s="29"/>
      <c r="AE882" s="29"/>
      <c r="AF882" s="29"/>
      <c r="AG882" s="29"/>
      <c r="AH882" s="30"/>
      <c r="AI882" s="31"/>
      <c r="AJ882" s="28"/>
      <c r="AK882" s="32"/>
      <c r="AL882" s="32"/>
      <c r="AM882" s="32"/>
      <c r="AN882" s="32"/>
      <c r="AO882" s="28"/>
      <c r="AP882" s="29"/>
    </row>
    <row r="883">
      <c r="A883" s="115"/>
      <c r="B883" s="116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O883" s="116"/>
      <c r="Q883" s="116"/>
      <c r="T883" s="114"/>
      <c r="Y883" s="118"/>
      <c r="Z883" s="28"/>
      <c r="AA883" s="28"/>
      <c r="AB883" s="28"/>
      <c r="AC883" s="28"/>
      <c r="AD883" s="28"/>
      <c r="AE883" s="29"/>
      <c r="AF883" s="29"/>
      <c r="AG883" s="29"/>
      <c r="AH883" s="30"/>
      <c r="AI883" s="31"/>
      <c r="AJ883" s="28"/>
      <c r="AK883" s="32"/>
      <c r="AL883" s="32"/>
      <c r="AM883" s="32"/>
      <c r="AN883" s="32"/>
      <c r="AO883" s="28"/>
      <c r="AP883" s="29"/>
    </row>
    <row r="884">
      <c r="A884" s="115"/>
      <c r="B884" s="116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O884" s="116"/>
      <c r="Q884" s="116"/>
      <c r="T884" s="114"/>
      <c r="Y884" s="118"/>
      <c r="Z884" s="28"/>
      <c r="AA884" s="28"/>
      <c r="AB884" s="28"/>
      <c r="AC884" s="28"/>
      <c r="AD884" s="29"/>
      <c r="AE884" s="29"/>
      <c r="AF884" s="29"/>
      <c r="AG884" s="29"/>
      <c r="AH884" s="30"/>
      <c r="AI884" s="31"/>
      <c r="AJ884" s="28"/>
      <c r="AK884" s="32"/>
      <c r="AL884" s="32"/>
      <c r="AM884" s="32"/>
      <c r="AN884" s="32"/>
      <c r="AO884" s="28"/>
      <c r="AP884" s="29"/>
    </row>
    <row r="885">
      <c r="A885" s="115"/>
      <c r="B885" s="116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O885" s="116"/>
      <c r="Q885" s="116"/>
      <c r="T885" s="114"/>
      <c r="Y885" s="118"/>
      <c r="Z885" s="28"/>
      <c r="AA885" s="28"/>
      <c r="AB885" s="29"/>
      <c r="AC885" s="29"/>
      <c r="AD885" s="29"/>
      <c r="AE885" s="29"/>
      <c r="AF885" s="29"/>
      <c r="AG885" s="29"/>
      <c r="AH885" s="30"/>
      <c r="AI885" s="31"/>
      <c r="AJ885" s="28"/>
      <c r="AK885" s="32"/>
      <c r="AL885" s="32"/>
      <c r="AM885" s="32"/>
      <c r="AN885" s="32"/>
      <c r="AO885" s="28"/>
      <c r="AP885" s="29"/>
    </row>
    <row r="886">
      <c r="A886" s="115"/>
      <c r="B886" s="116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O886" s="116"/>
      <c r="Q886" s="116"/>
      <c r="T886" s="114"/>
      <c r="Y886" s="118"/>
      <c r="Z886" s="28"/>
      <c r="AA886" s="28"/>
      <c r="AB886" s="28"/>
      <c r="AC886" s="28"/>
      <c r="AD886" s="29"/>
      <c r="AE886" s="29"/>
      <c r="AF886" s="29"/>
      <c r="AG886" s="29"/>
      <c r="AH886" s="30"/>
      <c r="AI886" s="31"/>
      <c r="AJ886" s="28"/>
      <c r="AK886" s="32"/>
      <c r="AL886" s="32"/>
      <c r="AM886" s="32"/>
      <c r="AN886" s="32"/>
      <c r="AO886" s="28"/>
      <c r="AP886" s="29"/>
    </row>
    <row r="887">
      <c r="A887" s="115"/>
      <c r="B887" s="116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O887" s="116"/>
      <c r="Q887" s="116"/>
      <c r="T887" s="114"/>
      <c r="Y887" s="118"/>
      <c r="Z887" s="28"/>
      <c r="AA887" s="28"/>
      <c r="AB887" s="28"/>
      <c r="AC887" s="28"/>
      <c r="AD887" s="29"/>
      <c r="AE887" s="29"/>
      <c r="AF887" s="29"/>
      <c r="AG887" s="29"/>
      <c r="AH887" s="30"/>
      <c r="AI887" s="31"/>
      <c r="AJ887" s="28"/>
      <c r="AK887" s="32"/>
      <c r="AL887" s="32"/>
      <c r="AM887" s="32"/>
      <c r="AN887" s="32"/>
      <c r="AO887" s="28"/>
      <c r="AP887" s="29"/>
    </row>
    <row r="888">
      <c r="A888" s="115"/>
      <c r="B888" s="116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O888" s="116"/>
      <c r="Q888" s="116"/>
      <c r="T888" s="114"/>
      <c r="Y888" s="118"/>
      <c r="Z888" s="28"/>
      <c r="AA888" s="28"/>
      <c r="AB888" s="28"/>
      <c r="AC888" s="29"/>
      <c r="AD888" s="29"/>
      <c r="AE888" s="29"/>
      <c r="AF888" s="29"/>
      <c r="AG888" s="29"/>
      <c r="AH888" s="30"/>
      <c r="AI888" s="39"/>
      <c r="AJ888" s="28"/>
      <c r="AK888" s="32"/>
      <c r="AL888" s="32"/>
      <c r="AM888" s="32"/>
      <c r="AN888" s="32"/>
      <c r="AO888" s="28"/>
      <c r="AP888" s="29"/>
    </row>
    <row r="889">
      <c r="A889" s="115"/>
      <c r="B889" s="116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O889" s="116"/>
      <c r="Q889" s="116"/>
      <c r="T889" s="114"/>
      <c r="Y889" s="118"/>
      <c r="Z889" s="28"/>
      <c r="AA889" s="28"/>
      <c r="AB889" s="28"/>
      <c r="AC889" s="28"/>
      <c r="AD889" s="29"/>
      <c r="AE889" s="29"/>
      <c r="AF889" s="29"/>
      <c r="AG889" s="29"/>
      <c r="AH889" s="30"/>
      <c r="AI889" s="31"/>
      <c r="AJ889" s="28"/>
      <c r="AK889" s="28"/>
      <c r="AL889" s="28"/>
      <c r="AM889" s="32"/>
      <c r="AN889" s="32"/>
      <c r="AO889" s="28"/>
      <c r="AP889" s="29"/>
    </row>
    <row r="890">
      <c r="A890" s="115"/>
      <c r="B890" s="116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O890" s="116"/>
      <c r="Q890" s="116"/>
      <c r="T890" s="114"/>
      <c r="Y890" s="118"/>
      <c r="Z890" s="28"/>
      <c r="AA890" s="28"/>
      <c r="AB890" s="28"/>
      <c r="AC890" s="29"/>
      <c r="AD890" s="29"/>
      <c r="AE890" s="29"/>
      <c r="AF890" s="29"/>
      <c r="AG890" s="29"/>
      <c r="AH890" s="30"/>
      <c r="AI890" s="31"/>
      <c r="AJ890" s="28"/>
      <c r="AK890" s="32"/>
      <c r="AL890" s="32"/>
      <c r="AM890" s="32"/>
      <c r="AN890" s="32"/>
      <c r="AO890" s="28"/>
      <c r="AP890" s="29"/>
    </row>
    <row r="891">
      <c r="A891" s="115"/>
      <c r="B891" s="116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O891" s="116"/>
      <c r="Q891" s="116"/>
      <c r="T891" s="114"/>
      <c r="Y891" s="118"/>
      <c r="Z891" s="28"/>
      <c r="AA891" s="28"/>
      <c r="AB891" s="28"/>
      <c r="AC891" s="29"/>
      <c r="AD891" s="29"/>
      <c r="AE891" s="29"/>
      <c r="AF891" s="29"/>
      <c r="AG891" s="29"/>
      <c r="AH891" s="30"/>
      <c r="AI891" s="31"/>
      <c r="AJ891" s="28"/>
      <c r="AK891" s="32"/>
      <c r="AL891" s="32"/>
      <c r="AM891" s="32"/>
      <c r="AN891" s="32"/>
      <c r="AO891" s="28"/>
      <c r="AP891" s="29"/>
    </row>
    <row r="892">
      <c r="A892" s="115"/>
      <c r="B892" s="116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O892" s="116"/>
      <c r="Q892" s="116"/>
      <c r="T892" s="114"/>
      <c r="Y892" s="118"/>
      <c r="Z892" s="28"/>
      <c r="AA892" s="28"/>
      <c r="AB892" s="29"/>
      <c r="AC892" s="29"/>
      <c r="AD892" s="29"/>
      <c r="AE892" s="29"/>
      <c r="AF892" s="29"/>
      <c r="AG892" s="29"/>
      <c r="AH892" s="30"/>
      <c r="AI892" s="31"/>
      <c r="AJ892" s="28"/>
      <c r="AK892" s="32"/>
      <c r="AL892" s="32"/>
      <c r="AM892" s="32"/>
      <c r="AN892" s="32"/>
      <c r="AO892" s="28"/>
      <c r="AP892" s="29"/>
    </row>
    <row r="893">
      <c r="A893" s="115"/>
      <c r="B893" s="116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O893" s="116"/>
      <c r="Q893" s="116"/>
      <c r="T893" s="114"/>
      <c r="Y893" s="118"/>
      <c r="Z893" s="28"/>
      <c r="AA893" s="28"/>
      <c r="AB893" s="28"/>
      <c r="AC893" s="28"/>
      <c r="AD893" s="29"/>
      <c r="AE893" s="29"/>
      <c r="AF893" s="29"/>
      <c r="AG893" s="29"/>
      <c r="AH893" s="30"/>
      <c r="AI893" s="31"/>
      <c r="AJ893" s="28"/>
      <c r="AK893" s="32"/>
      <c r="AL893" s="32"/>
      <c r="AM893" s="32"/>
      <c r="AN893" s="32"/>
      <c r="AO893" s="28"/>
      <c r="AP893" s="29"/>
    </row>
    <row r="894">
      <c r="A894" s="115"/>
      <c r="B894" s="116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O894" s="116"/>
      <c r="Q894" s="116"/>
      <c r="T894" s="114"/>
      <c r="Y894" s="118"/>
      <c r="Z894" s="28"/>
      <c r="AA894" s="28"/>
      <c r="AB894" s="28"/>
      <c r="AC894" s="29"/>
      <c r="AD894" s="29"/>
      <c r="AE894" s="29"/>
      <c r="AF894" s="29"/>
      <c r="AG894" s="29"/>
      <c r="AH894" s="30"/>
      <c r="AI894" s="31"/>
      <c r="AJ894" s="28"/>
      <c r="AK894" s="32"/>
      <c r="AL894" s="32"/>
      <c r="AM894" s="32"/>
      <c r="AN894" s="32"/>
      <c r="AO894" s="28"/>
      <c r="AP894" s="29"/>
    </row>
    <row r="895">
      <c r="A895" s="115"/>
      <c r="B895" s="116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O895" s="116"/>
      <c r="Q895" s="116"/>
      <c r="T895" s="114"/>
      <c r="Y895" s="118"/>
      <c r="Z895" s="28"/>
      <c r="AA895" s="28"/>
      <c r="AB895" s="29"/>
      <c r="AC895" s="29"/>
      <c r="AD895" s="29"/>
      <c r="AE895" s="29"/>
      <c r="AF895" s="29"/>
      <c r="AG895" s="29"/>
      <c r="AH895" s="30"/>
      <c r="AI895" s="31"/>
      <c r="AJ895" s="28"/>
      <c r="AK895" s="32"/>
      <c r="AL895" s="32"/>
      <c r="AM895" s="32"/>
      <c r="AN895" s="32"/>
      <c r="AO895" s="28"/>
      <c r="AP895" s="29"/>
    </row>
    <row r="896">
      <c r="A896" s="115"/>
      <c r="B896" s="116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O896" s="116"/>
      <c r="Q896" s="116"/>
      <c r="T896" s="114"/>
      <c r="Y896" s="118"/>
      <c r="Z896" s="28"/>
      <c r="AA896" s="28"/>
      <c r="AB896" s="29"/>
      <c r="AC896" s="29"/>
      <c r="AD896" s="29"/>
      <c r="AE896" s="29"/>
      <c r="AF896" s="29"/>
      <c r="AG896" s="29"/>
      <c r="AH896" s="30"/>
      <c r="AI896" s="31"/>
      <c r="AJ896" s="28"/>
      <c r="AK896" s="32"/>
      <c r="AL896" s="32"/>
      <c r="AM896" s="32"/>
      <c r="AN896" s="32"/>
      <c r="AO896" s="28"/>
      <c r="AP896" s="29"/>
    </row>
    <row r="897">
      <c r="A897" s="115"/>
      <c r="B897" s="116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O897" s="116"/>
      <c r="Q897" s="116"/>
      <c r="T897" s="114"/>
      <c r="Y897" s="118"/>
      <c r="Z897" s="28"/>
      <c r="AA897" s="28"/>
      <c r="AB897" s="28"/>
      <c r="AC897" s="28"/>
      <c r="AD897" s="29"/>
      <c r="AE897" s="29"/>
      <c r="AF897" s="29"/>
      <c r="AG897" s="29"/>
      <c r="AH897" s="30"/>
      <c r="AI897" s="31"/>
      <c r="AJ897" s="28"/>
      <c r="AK897" s="32"/>
      <c r="AL897" s="32"/>
      <c r="AM897" s="32"/>
      <c r="AN897" s="32"/>
      <c r="AO897" s="28"/>
      <c r="AP897" s="29"/>
    </row>
    <row r="898">
      <c r="A898" s="115"/>
      <c r="B898" s="116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O898" s="116"/>
      <c r="Q898" s="116"/>
      <c r="T898" s="114"/>
      <c r="Y898" s="118"/>
      <c r="Z898" s="28"/>
      <c r="AA898" s="28"/>
      <c r="AB898" s="28"/>
      <c r="AC898" s="29"/>
      <c r="AD898" s="29"/>
      <c r="AE898" s="29"/>
      <c r="AF898" s="29"/>
      <c r="AG898" s="29"/>
      <c r="AH898" s="30"/>
      <c r="AI898" s="31"/>
      <c r="AJ898" s="28"/>
      <c r="AK898" s="32"/>
      <c r="AL898" s="32"/>
      <c r="AM898" s="32"/>
      <c r="AN898" s="32"/>
      <c r="AO898" s="28"/>
      <c r="AP898" s="29"/>
    </row>
    <row r="899">
      <c r="A899" s="115"/>
      <c r="B899" s="116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O899" s="116"/>
      <c r="Q899" s="116"/>
      <c r="T899" s="114"/>
      <c r="Y899" s="118"/>
      <c r="Z899" s="28"/>
      <c r="AA899" s="28"/>
      <c r="AB899" s="29"/>
      <c r="AC899" s="29"/>
      <c r="AD899" s="29"/>
      <c r="AE899" s="29"/>
      <c r="AF899" s="29"/>
      <c r="AG899" s="29"/>
      <c r="AH899" s="30"/>
      <c r="AI899" s="31"/>
      <c r="AJ899" s="28"/>
      <c r="AK899" s="32"/>
      <c r="AL899" s="32"/>
      <c r="AM899" s="32"/>
      <c r="AN899" s="32"/>
      <c r="AO899" s="28"/>
      <c r="AP899" s="29"/>
    </row>
    <row r="900">
      <c r="A900" s="115"/>
      <c r="B900" s="116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O900" s="116"/>
      <c r="Q900" s="116"/>
      <c r="T900" s="114"/>
      <c r="Y900" s="118"/>
      <c r="Z900" s="28"/>
      <c r="AA900" s="28"/>
      <c r="AB900" s="28"/>
      <c r="AC900" s="28"/>
      <c r="AD900" s="29"/>
      <c r="AE900" s="29"/>
      <c r="AF900" s="29"/>
      <c r="AG900" s="29"/>
      <c r="AH900" s="30"/>
      <c r="AI900" s="31"/>
      <c r="AJ900" s="28"/>
      <c r="AK900" s="32"/>
      <c r="AL900" s="32"/>
      <c r="AM900" s="32"/>
      <c r="AN900" s="32"/>
      <c r="AO900" s="28"/>
      <c r="AP900" s="29"/>
    </row>
    <row r="901">
      <c r="A901" s="115"/>
      <c r="B901" s="116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O901" s="116"/>
      <c r="Q901" s="116"/>
      <c r="T901" s="114"/>
      <c r="Y901" s="118"/>
      <c r="Z901" s="28"/>
      <c r="AA901" s="28"/>
      <c r="AB901" s="28"/>
      <c r="AC901" s="29"/>
      <c r="AD901" s="29"/>
      <c r="AE901" s="29"/>
      <c r="AF901" s="29"/>
      <c r="AG901" s="29"/>
      <c r="AH901" s="30"/>
      <c r="AI901" s="31"/>
      <c r="AJ901" s="28"/>
      <c r="AK901" s="32"/>
      <c r="AL901" s="32"/>
      <c r="AM901" s="32"/>
      <c r="AN901" s="32"/>
      <c r="AO901" s="28"/>
      <c r="AP901" s="29"/>
    </row>
    <row r="902">
      <c r="A902" s="115"/>
      <c r="B902" s="116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O902" s="116"/>
      <c r="Q902" s="116"/>
      <c r="T902" s="114"/>
      <c r="Y902" s="118"/>
      <c r="Z902" s="28"/>
      <c r="AA902" s="28"/>
      <c r="AB902" s="28"/>
      <c r="AC902" s="28"/>
      <c r="AD902" s="29"/>
      <c r="AE902" s="29"/>
      <c r="AF902" s="29"/>
      <c r="AG902" s="29"/>
      <c r="AH902" s="30"/>
      <c r="AI902" s="31"/>
      <c r="AJ902" s="28"/>
      <c r="AK902" s="32"/>
      <c r="AL902" s="32"/>
      <c r="AM902" s="32"/>
      <c r="AN902" s="32"/>
      <c r="AO902" s="28"/>
      <c r="AP902" s="29"/>
    </row>
    <row r="903">
      <c r="A903" s="115"/>
      <c r="B903" s="116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O903" s="116"/>
      <c r="Q903" s="116"/>
      <c r="T903" s="114"/>
      <c r="Y903" s="118"/>
      <c r="Z903" s="28"/>
      <c r="AA903" s="28"/>
      <c r="AB903" s="28"/>
      <c r="AC903" s="29"/>
      <c r="AD903" s="29"/>
      <c r="AE903" s="29"/>
      <c r="AF903" s="29"/>
      <c r="AG903" s="29"/>
      <c r="AH903" s="30"/>
      <c r="AI903" s="31"/>
      <c r="AJ903" s="28"/>
      <c r="AK903" s="32"/>
      <c r="AL903" s="32"/>
      <c r="AM903" s="32"/>
      <c r="AN903" s="32"/>
      <c r="AO903" s="28"/>
      <c r="AP903" s="29"/>
    </row>
    <row r="904">
      <c r="A904" s="115"/>
      <c r="B904" s="116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O904" s="116"/>
      <c r="Q904" s="116"/>
      <c r="T904" s="114"/>
      <c r="Y904" s="118"/>
      <c r="Z904" s="28"/>
      <c r="AA904" s="28"/>
      <c r="AB904" s="28"/>
      <c r="AC904" s="29"/>
      <c r="AD904" s="29"/>
      <c r="AE904" s="29"/>
      <c r="AF904" s="29"/>
      <c r="AG904" s="29"/>
      <c r="AH904" s="30"/>
      <c r="AI904" s="39"/>
      <c r="AJ904" s="28"/>
      <c r="AK904" s="28"/>
      <c r="AL904" s="32"/>
      <c r="AM904" s="32"/>
      <c r="AN904" s="32"/>
      <c r="AO904" s="28"/>
      <c r="AP904" s="29"/>
    </row>
    <row r="905">
      <c r="A905" s="115"/>
      <c r="B905" s="116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O905" s="116"/>
      <c r="Q905" s="116"/>
      <c r="T905" s="114"/>
      <c r="Y905" s="118"/>
      <c r="Z905" s="28"/>
      <c r="AA905" s="28"/>
      <c r="AB905" s="28"/>
      <c r="AC905" s="28"/>
      <c r="AD905" s="29"/>
      <c r="AE905" s="29"/>
      <c r="AF905" s="29"/>
      <c r="AG905" s="29"/>
      <c r="AH905" s="30"/>
      <c r="AI905" s="31"/>
      <c r="AJ905" s="28"/>
      <c r="AK905" s="32"/>
      <c r="AL905" s="32"/>
      <c r="AM905" s="32"/>
      <c r="AN905" s="32"/>
      <c r="AO905" s="28"/>
      <c r="AP905" s="29"/>
    </row>
    <row r="906">
      <c r="A906" s="115"/>
      <c r="B906" s="116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O906" s="116"/>
      <c r="Q906" s="116"/>
      <c r="T906" s="114"/>
      <c r="Y906" s="118"/>
      <c r="Z906" s="28"/>
      <c r="AA906" s="28"/>
      <c r="AB906" s="28"/>
      <c r="AC906" s="28"/>
      <c r="AD906" s="29"/>
      <c r="AE906" s="29"/>
      <c r="AF906" s="29"/>
      <c r="AG906" s="29"/>
      <c r="AH906" s="30"/>
      <c r="AI906" s="31"/>
      <c r="AJ906" s="28"/>
      <c r="AK906" s="32"/>
      <c r="AL906" s="32"/>
      <c r="AM906" s="32"/>
      <c r="AN906" s="32"/>
      <c r="AO906" s="28"/>
      <c r="AP906" s="29"/>
    </row>
    <row r="907">
      <c r="A907" s="115"/>
      <c r="B907" s="116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O907" s="116"/>
      <c r="Q907" s="116"/>
      <c r="T907" s="114"/>
      <c r="Y907" s="118"/>
      <c r="Z907" s="28"/>
      <c r="AA907" s="28"/>
      <c r="AB907" s="29"/>
      <c r="AC907" s="29"/>
      <c r="AD907" s="29"/>
      <c r="AE907" s="29"/>
      <c r="AF907" s="29"/>
      <c r="AG907" s="29"/>
      <c r="AH907" s="30"/>
      <c r="AI907" s="31"/>
      <c r="AJ907" s="28"/>
      <c r="AK907" s="32"/>
      <c r="AL907" s="32"/>
      <c r="AM907" s="32"/>
      <c r="AN907" s="32"/>
      <c r="AO907" s="28"/>
      <c r="AP907" s="29"/>
    </row>
    <row r="908">
      <c r="A908" s="115"/>
      <c r="B908" s="116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O908" s="116"/>
      <c r="Q908" s="116"/>
      <c r="T908" s="114"/>
      <c r="Y908" s="118"/>
      <c r="Z908" s="28"/>
      <c r="AA908" s="28"/>
      <c r="AB908" s="28"/>
      <c r="AC908" s="29"/>
      <c r="AD908" s="29"/>
      <c r="AE908" s="29"/>
      <c r="AF908" s="29"/>
      <c r="AG908" s="29"/>
      <c r="AH908" s="30"/>
      <c r="AI908" s="31"/>
      <c r="AJ908" s="28"/>
      <c r="AK908" s="32"/>
      <c r="AL908" s="32"/>
      <c r="AM908" s="32"/>
      <c r="AN908" s="32"/>
      <c r="AO908" s="28"/>
      <c r="AP908" s="29"/>
    </row>
    <row r="909">
      <c r="A909" s="115"/>
      <c r="B909" s="116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O909" s="116"/>
      <c r="Q909" s="116"/>
      <c r="T909" s="114"/>
      <c r="Y909" s="118"/>
      <c r="Z909" s="28"/>
      <c r="AA909" s="28"/>
      <c r="AB909" s="29"/>
      <c r="AC909" s="29"/>
      <c r="AD909" s="29"/>
      <c r="AE909" s="29"/>
      <c r="AF909" s="29"/>
      <c r="AG909" s="29"/>
      <c r="AH909" s="30"/>
      <c r="AI909" s="31"/>
      <c r="AJ909" s="28"/>
      <c r="AK909" s="28"/>
      <c r="AL909" s="28"/>
      <c r="AM909" s="28"/>
      <c r="AN909" s="32"/>
      <c r="AO909" s="28"/>
      <c r="AP909" s="28"/>
    </row>
    <row r="910">
      <c r="A910" s="115"/>
      <c r="B910" s="116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O910" s="116"/>
      <c r="Q910" s="116"/>
      <c r="T910" s="114"/>
      <c r="Y910" s="118"/>
      <c r="Z910" s="28"/>
      <c r="AA910" s="28"/>
      <c r="AB910" s="28"/>
      <c r="AC910" s="29"/>
      <c r="AD910" s="29"/>
      <c r="AE910" s="29"/>
      <c r="AF910" s="29"/>
      <c r="AG910" s="29"/>
      <c r="AH910" s="30"/>
      <c r="AI910" s="31"/>
      <c r="AJ910" s="28"/>
      <c r="AK910" s="32"/>
      <c r="AL910" s="32"/>
      <c r="AM910" s="32"/>
      <c r="AN910" s="32"/>
      <c r="AO910" s="28"/>
      <c r="AP910" s="29"/>
    </row>
    <row r="911">
      <c r="A911" s="115"/>
      <c r="B911" s="116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O911" s="116"/>
      <c r="Q911" s="116"/>
      <c r="T911" s="114"/>
      <c r="Y911" s="118"/>
      <c r="Z911" s="28"/>
      <c r="AA911" s="28"/>
      <c r="AB911" s="28"/>
      <c r="AC911" s="29"/>
      <c r="AD911" s="29"/>
      <c r="AE911" s="29"/>
      <c r="AF911" s="29"/>
      <c r="AG911" s="29"/>
      <c r="AH911" s="30"/>
      <c r="AI911" s="31"/>
      <c r="AJ911" s="28"/>
      <c r="AK911" s="28"/>
      <c r="AL911" s="32"/>
      <c r="AM911" s="32"/>
      <c r="AN911" s="32"/>
      <c r="AO911" s="28"/>
      <c r="AP911" s="29"/>
    </row>
    <row r="912">
      <c r="A912" s="115"/>
      <c r="B912" s="116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O912" s="116"/>
      <c r="Q912" s="116"/>
      <c r="T912" s="114"/>
      <c r="Y912" s="118"/>
      <c r="Z912" s="28"/>
      <c r="AA912" s="28"/>
      <c r="AB912" s="28"/>
      <c r="AC912" s="28"/>
      <c r="AD912" s="29"/>
      <c r="AE912" s="29"/>
      <c r="AF912" s="29"/>
      <c r="AG912" s="29"/>
      <c r="AH912" s="30"/>
      <c r="AI912" s="31"/>
      <c r="AJ912" s="28"/>
      <c r="AK912" s="32"/>
      <c r="AL912" s="32"/>
      <c r="AM912" s="32"/>
      <c r="AN912" s="32"/>
      <c r="AO912" s="28"/>
      <c r="AP912" s="29"/>
    </row>
    <row r="913">
      <c r="A913" s="115"/>
      <c r="B913" s="116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O913" s="116"/>
      <c r="Q913" s="116"/>
      <c r="T913" s="114"/>
      <c r="Y913" s="118"/>
      <c r="Z913" s="28"/>
      <c r="AA913" s="28"/>
      <c r="AB913" s="28"/>
      <c r="AC913" s="29"/>
      <c r="AD913" s="29"/>
      <c r="AE913" s="29"/>
      <c r="AF913" s="29"/>
      <c r="AG913" s="29"/>
      <c r="AH913" s="30"/>
      <c r="AI913" s="31"/>
      <c r="AJ913" s="32"/>
      <c r="AK913" s="32"/>
      <c r="AL913" s="32"/>
      <c r="AM913" s="32"/>
      <c r="AN913" s="32"/>
      <c r="AO913" s="32"/>
      <c r="AP913" s="29"/>
    </row>
    <row r="914">
      <c r="A914" s="115"/>
      <c r="B914" s="116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O914" s="116"/>
      <c r="Q914" s="116"/>
      <c r="T914" s="114"/>
      <c r="Y914" s="118"/>
      <c r="Z914" s="28"/>
      <c r="AA914" s="28"/>
      <c r="AB914" s="28"/>
      <c r="AC914" s="29"/>
      <c r="AD914" s="29"/>
      <c r="AE914" s="29"/>
      <c r="AF914" s="29"/>
      <c r="AG914" s="29"/>
      <c r="AH914" s="30"/>
      <c r="AI914" s="39"/>
      <c r="AJ914" s="28"/>
      <c r="AK914" s="32"/>
      <c r="AL914" s="32"/>
      <c r="AM914" s="32"/>
      <c r="AN914" s="32"/>
      <c r="AO914" s="28"/>
      <c r="AP914" s="29"/>
    </row>
    <row r="915">
      <c r="A915" s="115"/>
      <c r="B915" s="116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O915" s="116"/>
      <c r="Q915" s="116"/>
      <c r="T915" s="114"/>
      <c r="Y915" s="118"/>
      <c r="Z915" s="28"/>
      <c r="AA915" s="28"/>
      <c r="AB915" s="28"/>
      <c r="AC915" s="29"/>
      <c r="AD915" s="29"/>
      <c r="AE915" s="29"/>
      <c r="AF915" s="29"/>
      <c r="AG915" s="29"/>
      <c r="AH915" s="30"/>
      <c r="AI915" s="31"/>
      <c r="AJ915" s="28"/>
      <c r="AK915" s="32"/>
      <c r="AL915" s="32"/>
      <c r="AM915" s="32"/>
      <c r="AN915" s="32"/>
      <c r="AO915" s="32"/>
      <c r="AP915" s="29"/>
    </row>
    <row r="916">
      <c r="A916" s="115"/>
      <c r="B916" s="116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O916" s="116"/>
      <c r="Q916" s="116"/>
      <c r="T916" s="114"/>
      <c r="Y916" s="118"/>
      <c r="Z916" s="28"/>
      <c r="AA916" s="28"/>
      <c r="AB916" s="29"/>
      <c r="AC916" s="29"/>
      <c r="AD916" s="29"/>
      <c r="AE916" s="29"/>
      <c r="AF916" s="29"/>
      <c r="AG916" s="29"/>
      <c r="AH916" s="30"/>
      <c r="AI916" s="29"/>
      <c r="AJ916" s="32"/>
      <c r="AK916" s="32"/>
      <c r="AL916" s="32"/>
      <c r="AM916" s="32"/>
      <c r="AN916" s="32"/>
      <c r="AO916" s="32"/>
      <c r="AP916" s="29"/>
    </row>
    <row r="917">
      <c r="A917" s="115"/>
      <c r="B917" s="116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O917" s="116"/>
      <c r="Q917" s="116"/>
      <c r="T917" s="114"/>
      <c r="Y917" s="118"/>
      <c r="Z917" s="28"/>
      <c r="AA917" s="28"/>
      <c r="AB917" s="29"/>
      <c r="AC917" s="29"/>
      <c r="AD917" s="29"/>
      <c r="AE917" s="29"/>
      <c r="AF917" s="29"/>
      <c r="AG917" s="29"/>
      <c r="AH917" s="30"/>
      <c r="AI917" s="31"/>
      <c r="AJ917" s="28"/>
      <c r="AK917" s="32"/>
      <c r="AL917" s="32"/>
      <c r="AM917" s="32"/>
      <c r="AN917" s="32"/>
      <c r="AO917" s="28"/>
      <c r="AP917" s="29"/>
    </row>
    <row r="918">
      <c r="A918" s="115"/>
      <c r="B918" s="116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O918" s="116"/>
      <c r="Q918" s="116"/>
      <c r="T918" s="114"/>
      <c r="Y918" s="118"/>
      <c r="Z918" s="28"/>
      <c r="AA918" s="28"/>
      <c r="AB918" s="28"/>
      <c r="AC918" s="28"/>
      <c r="AD918" s="29"/>
      <c r="AE918" s="29"/>
      <c r="AF918" s="29"/>
      <c r="AG918" s="29"/>
      <c r="AH918" s="30"/>
      <c r="AI918" s="31"/>
      <c r="AJ918" s="28"/>
      <c r="AK918" s="32"/>
      <c r="AL918" s="32"/>
      <c r="AM918" s="32"/>
      <c r="AN918" s="32"/>
      <c r="AO918" s="28"/>
      <c r="AP918" s="29"/>
    </row>
    <row r="919">
      <c r="A919" s="115"/>
      <c r="B919" s="116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O919" s="116"/>
      <c r="Q919" s="116"/>
      <c r="T919" s="114"/>
      <c r="Y919" s="118"/>
      <c r="Z919" s="28"/>
      <c r="AA919" s="28"/>
      <c r="AB919" s="28"/>
      <c r="AC919" s="29"/>
      <c r="AD919" s="29"/>
      <c r="AE919" s="29"/>
      <c r="AF919" s="29"/>
      <c r="AG919" s="29"/>
      <c r="AH919" s="30"/>
      <c r="AI919" s="31"/>
      <c r="AJ919" s="28"/>
      <c r="AK919" s="32"/>
      <c r="AL919" s="32"/>
      <c r="AM919" s="32"/>
      <c r="AN919" s="32"/>
      <c r="AO919" s="28"/>
      <c r="AP919" s="29"/>
    </row>
    <row r="920">
      <c r="A920" s="115"/>
      <c r="B920" s="116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O920" s="116"/>
      <c r="Q920" s="116"/>
      <c r="T920" s="114"/>
      <c r="Y920" s="118"/>
      <c r="Z920" s="28"/>
      <c r="AA920" s="28"/>
      <c r="AB920" s="28"/>
      <c r="AC920" s="28"/>
      <c r="AD920" s="29"/>
      <c r="AE920" s="29"/>
      <c r="AF920" s="29"/>
      <c r="AG920" s="29"/>
      <c r="AH920" s="30"/>
      <c r="AI920" s="31"/>
      <c r="AJ920" s="28"/>
      <c r="AK920" s="32"/>
      <c r="AL920" s="32"/>
      <c r="AM920" s="32"/>
      <c r="AN920" s="32"/>
      <c r="AO920" s="28"/>
      <c r="AP920" s="29"/>
    </row>
    <row r="921">
      <c r="A921" s="115"/>
      <c r="B921" s="116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O921" s="116"/>
      <c r="Q921" s="116"/>
      <c r="T921" s="114"/>
      <c r="Y921" s="118"/>
      <c r="Z921" s="28"/>
      <c r="AA921" s="28"/>
      <c r="AB921" s="28"/>
      <c r="AC921" s="28"/>
      <c r="AD921" s="28"/>
      <c r="AE921" s="28"/>
      <c r="AF921" s="29"/>
      <c r="AG921" s="29"/>
      <c r="AH921" s="30"/>
      <c r="AI921" s="31"/>
      <c r="AJ921" s="28"/>
      <c r="AK921" s="32"/>
      <c r="AL921" s="32"/>
      <c r="AM921" s="32"/>
      <c r="AN921" s="32"/>
      <c r="AO921" s="28"/>
      <c r="AP921" s="29"/>
    </row>
    <row r="922">
      <c r="A922" s="115"/>
      <c r="B922" s="116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O922" s="116"/>
      <c r="Q922" s="116"/>
      <c r="T922" s="114"/>
      <c r="Y922" s="118"/>
      <c r="Z922" s="28"/>
      <c r="AA922" s="28"/>
      <c r="AB922" s="29"/>
      <c r="AC922" s="29"/>
      <c r="AD922" s="29"/>
      <c r="AE922" s="29"/>
      <c r="AF922" s="29"/>
      <c r="AG922" s="29"/>
      <c r="AH922" s="30"/>
      <c r="AI922" s="31"/>
      <c r="AJ922" s="28"/>
      <c r="AK922" s="32"/>
      <c r="AL922" s="32"/>
      <c r="AM922" s="32"/>
      <c r="AN922" s="32"/>
      <c r="AO922" s="28"/>
      <c r="AP922" s="29"/>
    </row>
    <row r="923">
      <c r="A923" s="115"/>
      <c r="B923" s="116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O923" s="116"/>
      <c r="Q923" s="116"/>
      <c r="T923" s="114"/>
      <c r="Y923" s="118"/>
      <c r="Z923" s="28"/>
      <c r="AA923" s="28"/>
      <c r="AB923" s="28"/>
      <c r="AC923" s="28"/>
      <c r="AD923" s="28"/>
      <c r="AE923" s="29"/>
      <c r="AF923" s="29"/>
      <c r="AG923" s="29"/>
      <c r="AH923" s="30"/>
      <c r="AI923" s="31"/>
      <c r="AJ923" s="28"/>
      <c r="AK923" s="32"/>
      <c r="AL923" s="32"/>
      <c r="AM923" s="32"/>
      <c r="AN923" s="32"/>
      <c r="AO923" s="28"/>
      <c r="AP923" s="29"/>
    </row>
    <row r="924">
      <c r="A924" s="115"/>
      <c r="B924" s="116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O924" s="116"/>
      <c r="Q924" s="116"/>
      <c r="T924" s="114"/>
      <c r="Y924" s="118"/>
      <c r="Z924" s="28"/>
      <c r="AA924" s="28"/>
      <c r="AB924" s="28"/>
      <c r="AC924" s="29"/>
      <c r="AD924" s="29"/>
      <c r="AE924" s="29"/>
      <c r="AF924" s="29"/>
      <c r="AG924" s="29"/>
      <c r="AH924" s="30"/>
      <c r="AI924" s="31"/>
      <c r="AJ924" s="28"/>
      <c r="AK924" s="32"/>
      <c r="AL924" s="32"/>
      <c r="AM924" s="32"/>
      <c r="AN924" s="32"/>
      <c r="AO924" s="28"/>
      <c r="AP924" s="29"/>
    </row>
    <row r="925">
      <c r="A925" s="115"/>
      <c r="B925" s="116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O925" s="116"/>
      <c r="Q925" s="116"/>
      <c r="T925" s="114"/>
      <c r="Y925" s="118"/>
      <c r="Z925" s="28"/>
      <c r="AA925" s="28"/>
      <c r="AB925" s="29"/>
      <c r="AC925" s="29"/>
      <c r="AD925" s="29"/>
      <c r="AE925" s="29"/>
      <c r="AF925" s="29"/>
      <c r="AG925" s="29"/>
      <c r="AH925" s="30"/>
      <c r="AI925" s="31"/>
      <c r="AJ925" s="28"/>
      <c r="AK925" s="28"/>
      <c r="AL925" s="32"/>
      <c r="AM925" s="32"/>
      <c r="AN925" s="32"/>
      <c r="AO925" s="28"/>
      <c r="AP925" s="29"/>
    </row>
    <row r="926">
      <c r="A926" s="115"/>
      <c r="B926" s="116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O926" s="116"/>
      <c r="Q926" s="116"/>
      <c r="T926" s="114"/>
      <c r="Y926" s="118"/>
      <c r="Z926" s="28"/>
      <c r="AA926" s="28"/>
      <c r="AB926" s="28"/>
      <c r="AC926" s="28"/>
      <c r="AD926" s="28"/>
      <c r="AE926" s="29"/>
      <c r="AF926" s="29"/>
      <c r="AG926" s="29"/>
      <c r="AH926" s="30"/>
      <c r="AI926" s="31"/>
      <c r="AJ926" s="28"/>
      <c r="AK926" s="32"/>
      <c r="AL926" s="32"/>
      <c r="AM926" s="32"/>
      <c r="AN926" s="32"/>
      <c r="AO926" s="28"/>
      <c r="AP926" s="29"/>
    </row>
    <row r="927">
      <c r="A927" s="115"/>
      <c r="B927" s="116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O927" s="116"/>
      <c r="Q927" s="116"/>
      <c r="T927" s="114"/>
      <c r="Y927" s="118"/>
      <c r="Z927" s="28"/>
      <c r="AA927" s="28"/>
      <c r="AB927" s="28"/>
      <c r="AC927" s="29"/>
      <c r="AD927" s="29"/>
      <c r="AE927" s="29"/>
      <c r="AF927" s="29"/>
      <c r="AG927" s="29"/>
      <c r="AH927" s="30"/>
      <c r="AI927" s="31"/>
      <c r="AJ927" s="28"/>
      <c r="AK927" s="32"/>
      <c r="AL927" s="32"/>
      <c r="AM927" s="32"/>
      <c r="AN927" s="32"/>
      <c r="AO927" s="28"/>
      <c r="AP927" s="29"/>
    </row>
    <row r="928">
      <c r="A928" s="115"/>
      <c r="B928" s="116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O928" s="116"/>
      <c r="Q928" s="116"/>
      <c r="T928" s="114"/>
      <c r="Y928" s="118"/>
      <c r="Z928" s="28"/>
      <c r="AA928" s="28"/>
      <c r="AB928" s="28"/>
      <c r="AC928" s="29"/>
      <c r="AD928" s="29"/>
      <c r="AE928" s="29"/>
      <c r="AF928" s="29"/>
      <c r="AG928" s="29"/>
      <c r="AH928" s="30"/>
      <c r="AI928" s="31"/>
      <c r="AJ928" s="32"/>
      <c r="AK928" s="32"/>
      <c r="AL928" s="32"/>
      <c r="AM928" s="32"/>
      <c r="AN928" s="32"/>
      <c r="AO928" s="32"/>
      <c r="AP928" s="29"/>
    </row>
    <row r="929">
      <c r="A929" s="115"/>
      <c r="B929" s="116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O929" s="116"/>
      <c r="Q929" s="116"/>
      <c r="T929" s="114"/>
      <c r="Y929" s="118"/>
      <c r="Z929" s="28"/>
      <c r="AA929" s="28"/>
      <c r="AB929" s="28"/>
      <c r="AC929" s="28"/>
      <c r="AD929" s="29"/>
      <c r="AE929" s="29"/>
      <c r="AF929" s="29"/>
      <c r="AG929" s="29"/>
      <c r="AH929" s="30"/>
      <c r="AI929" s="31"/>
      <c r="AJ929" s="28"/>
      <c r="AK929" s="32"/>
      <c r="AL929" s="32"/>
      <c r="AM929" s="32"/>
      <c r="AN929" s="32"/>
      <c r="AO929" s="32"/>
      <c r="AP929" s="29"/>
    </row>
    <row r="930">
      <c r="A930" s="115"/>
      <c r="B930" s="116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O930" s="116"/>
      <c r="Q930" s="116"/>
      <c r="T930" s="114"/>
      <c r="Y930" s="118"/>
      <c r="Z930" s="28"/>
      <c r="AA930" s="28"/>
      <c r="AB930" s="28"/>
      <c r="AC930" s="29"/>
      <c r="AD930" s="29"/>
      <c r="AE930" s="29"/>
      <c r="AF930" s="29"/>
      <c r="AG930" s="29"/>
      <c r="AH930" s="30"/>
      <c r="AI930" s="31"/>
      <c r="AJ930" s="28"/>
      <c r="AK930" s="32"/>
      <c r="AL930" s="32"/>
      <c r="AM930" s="32"/>
      <c r="AN930" s="32"/>
      <c r="AO930" s="28"/>
      <c r="AP930" s="29"/>
    </row>
    <row r="931">
      <c r="A931" s="115"/>
      <c r="B931" s="116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O931" s="116"/>
      <c r="Q931" s="116"/>
      <c r="T931" s="114"/>
      <c r="Y931" s="118"/>
      <c r="Z931" s="28"/>
      <c r="AA931" s="28"/>
      <c r="AB931" s="28"/>
      <c r="AC931" s="28"/>
      <c r="AD931" s="29"/>
      <c r="AE931" s="29"/>
      <c r="AF931" s="29"/>
      <c r="AG931" s="29"/>
      <c r="AH931" s="30"/>
      <c r="AI931" s="31"/>
      <c r="AJ931" s="28"/>
      <c r="AK931" s="28"/>
      <c r="AL931" s="28"/>
      <c r="AM931" s="32"/>
      <c r="AN931" s="32"/>
      <c r="AO931" s="28"/>
      <c r="AP931" s="29"/>
    </row>
    <row r="932">
      <c r="A932" s="115"/>
      <c r="B932" s="116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O932" s="116"/>
      <c r="Q932" s="116"/>
      <c r="T932" s="114"/>
      <c r="Y932" s="118"/>
      <c r="Z932" s="28"/>
      <c r="AA932" s="28"/>
      <c r="AB932" s="28"/>
      <c r="AC932" s="28"/>
      <c r="AD932" s="29"/>
      <c r="AE932" s="29"/>
      <c r="AF932" s="29"/>
      <c r="AG932" s="29"/>
      <c r="AH932" s="30"/>
      <c r="AI932" s="31"/>
      <c r="AJ932" s="28"/>
      <c r="AK932" s="32"/>
      <c r="AL932" s="32"/>
      <c r="AM932" s="32"/>
      <c r="AN932" s="32"/>
      <c r="AO932" s="28"/>
      <c r="AP932" s="29"/>
    </row>
    <row r="933">
      <c r="A933" s="115"/>
      <c r="B933" s="116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O933" s="116"/>
      <c r="Q933" s="116"/>
      <c r="T933" s="114"/>
      <c r="Y933" s="118"/>
      <c r="Z933" s="28"/>
      <c r="AA933" s="28"/>
      <c r="AB933" s="28"/>
      <c r="AC933" s="29"/>
      <c r="AD933" s="29"/>
      <c r="AE933" s="29"/>
      <c r="AF933" s="29"/>
      <c r="AG933" s="29"/>
      <c r="AH933" s="30"/>
      <c r="AI933" s="31"/>
      <c r="AJ933" s="28"/>
      <c r="AK933" s="32"/>
      <c r="AL933" s="32"/>
      <c r="AM933" s="32"/>
      <c r="AN933" s="32"/>
      <c r="AO933" s="28"/>
      <c r="AP933" s="29"/>
    </row>
    <row r="934">
      <c r="A934" s="115"/>
      <c r="B934" s="116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O934" s="116"/>
      <c r="Q934" s="116"/>
      <c r="T934" s="114"/>
      <c r="Y934" s="118"/>
      <c r="Z934" s="28"/>
      <c r="AA934" s="28"/>
      <c r="AB934" s="28"/>
      <c r="AC934" s="29"/>
      <c r="AD934" s="29"/>
      <c r="AE934" s="29"/>
      <c r="AF934" s="29"/>
      <c r="AG934" s="29"/>
      <c r="AH934" s="30"/>
      <c r="AI934" s="31"/>
      <c r="AJ934" s="32"/>
      <c r="AK934" s="32"/>
      <c r="AL934" s="32"/>
      <c r="AM934" s="32"/>
      <c r="AN934" s="32"/>
      <c r="AO934" s="32"/>
      <c r="AP934" s="29"/>
    </row>
    <row r="935">
      <c r="A935" s="115"/>
      <c r="B935" s="116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O935" s="116"/>
      <c r="Q935" s="116"/>
      <c r="T935" s="114"/>
      <c r="Y935" s="118"/>
      <c r="Z935" s="28"/>
      <c r="AA935" s="28"/>
      <c r="AB935" s="29"/>
      <c r="AC935" s="29"/>
      <c r="AD935" s="29"/>
      <c r="AE935" s="29"/>
      <c r="AF935" s="29"/>
      <c r="AG935" s="29"/>
      <c r="AH935" s="30"/>
      <c r="AI935" s="31"/>
      <c r="AJ935" s="28"/>
      <c r="AK935" s="32"/>
      <c r="AL935" s="32"/>
      <c r="AM935" s="32"/>
      <c r="AN935" s="32"/>
      <c r="AO935" s="32"/>
      <c r="AP935" s="29"/>
    </row>
    <row r="936">
      <c r="A936" s="115"/>
      <c r="B936" s="116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O936" s="116"/>
      <c r="Q936" s="116"/>
      <c r="T936" s="114"/>
      <c r="Y936" s="118"/>
      <c r="Z936" s="28"/>
      <c r="AA936" s="28"/>
      <c r="AB936" s="29"/>
      <c r="AC936" s="29"/>
      <c r="AD936" s="29"/>
      <c r="AE936" s="29"/>
      <c r="AF936" s="29"/>
      <c r="AG936" s="29"/>
      <c r="AH936" s="30"/>
      <c r="AI936" s="31"/>
      <c r="AJ936" s="28"/>
      <c r="AK936" s="32"/>
      <c r="AL936" s="32"/>
      <c r="AM936" s="32"/>
      <c r="AN936" s="32"/>
      <c r="AO936" s="28"/>
      <c r="AP936" s="29"/>
    </row>
    <row r="937">
      <c r="A937" s="115"/>
      <c r="B937" s="116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O937" s="116"/>
      <c r="Q937" s="116"/>
      <c r="T937" s="114"/>
      <c r="Y937" s="118"/>
      <c r="Z937" s="28"/>
      <c r="AA937" s="28"/>
      <c r="AB937" s="29"/>
      <c r="AC937" s="29"/>
      <c r="AD937" s="29"/>
      <c r="AE937" s="29"/>
      <c r="AF937" s="29"/>
      <c r="AG937" s="29"/>
      <c r="AH937" s="30"/>
      <c r="AI937" s="31"/>
      <c r="AJ937" s="28"/>
      <c r="AK937" s="28"/>
      <c r="AL937" s="32"/>
      <c r="AM937" s="32"/>
      <c r="AN937" s="32"/>
      <c r="AO937" s="28"/>
      <c r="AP937" s="29"/>
    </row>
    <row r="938">
      <c r="A938" s="115"/>
      <c r="B938" s="116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O938" s="116"/>
      <c r="Q938" s="116"/>
      <c r="T938" s="114"/>
      <c r="Y938" s="118"/>
      <c r="Z938" s="28"/>
      <c r="AA938" s="28"/>
      <c r="AB938" s="28"/>
      <c r="AC938" s="29"/>
      <c r="AD938" s="29"/>
      <c r="AE938" s="29"/>
      <c r="AF938" s="29"/>
      <c r="AG938" s="29"/>
      <c r="AH938" s="30"/>
      <c r="AI938" s="31"/>
      <c r="AJ938" s="28"/>
      <c r="AK938" s="32"/>
      <c r="AL938" s="32"/>
      <c r="AM938" s="32"/>
      <c r="AN938" s="32"/>
      <c r="AO938" s="28"/>
      <c r="AP938" s="29"/>
    </row>
    <row r="939">
      <c r="A939" s="115"/>
      <c r="B939" s="116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O939" s="116"/>
      <c r="Q939" s="116"/>
      <c r="T939" s="114"/>
      <c r="Y939" s="118"/>
      <c r="Z939" s="28"/>
      <c r="AA939" s="28"/>
      <c r="AB939" s="28"/>
      <c r="AC939" s="28"/>
      <c r="AD939" s="29"/>
      <c r="AE939" s="29"/>
      <c r="AF939" s="29"/>
      <c r="AG939" s="29"/>
      <c r="AH939" s="30"/>
      <c r="AI939" s="31"/>
      <c r="AJ939" s="28"/>
      <c r="AK939" s="32"/>
      <c r="AL939" s="32"/>
      <c r="AM939" s="32"/>
      <c r="AN939" s="32"/>
      <c r="AO939" s="28"/>
      <c r="AP939" s="29"/>
    </row>
    <row r="940">
      <c r="A940" s="115"/>
      <c r="B940" s="116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O940" s="116"/>
      <c r="Q940" s="116"/>
      <c r="T940" s="114"/>
      <c r="Y940" s="118"/>
      <c r="Z940" s="28"/>
      <c r="AA940" s="28"/>
      <c r="AB940" s="28"/>
      <c r="AC940" s="28"/>
      <c r="AD940" s="28"/>
      <c r="AE940" s="29"/>
      <c r="AF940" s="29"/>
      <c r="AG940" s="29"/>
      <c r="AH940" s="30"/>
      <c r="AI940" s="39"/>
      <c r="AJ940" s="28"/>
      <c r="AK940" s="32"/>
      <c r="AL940" s="32"/>
      <c r="AM940" s="32"/>
      <c r="AN940" s="32"/>
      <c r="AO940" s="28"/>
      <c r="AP940" s="29"/>
    </row>
    <row r="941">
      <c r="A941" s="115"/>
      <c r="B941" s="116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O941" s="116"/>
      <c r="Q941" s="116"/>
      <c r="T941" s="114"/>
      <c r="Y941" s="118"/>
      <c r="Z941" s="28"/>
      <c r="AA941" s="28"/>
      <c r="AB941" s="28"/>
      <c r="AC941" s="29"/>
      <c r="AD941" s="29"/>
      <c r="AE941" s="29"/>
      <c r="AF941" s="29"/>
      <c r="AG941" s="29"/>
      <c r="AH941" s="30"/>
      <c r="AI941" s="31"/>
      <c r="AJ941" s="28"/>
      <c r="AK941" s="32"/>
      <c r="AL941" s="32"/>
      <c r="AM941" s="32"/>
      <c r="AN941" s="32"/>
      <c r="AO941" s="28"/>
      <c r="AP941" s="29"/>
    </row>
    <row r="942">
      <c r="A942" s="115"/>
      <c r="B942" s="116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O942" s="116"/>
      <c r="Q942" s="116"/>
      <c r="T942" s="114"/>
      <c r="Y942" s="118"/>
      <c r="Z942" s="28"/>
      <c r="AA942" s="28"/>
      <c r="AB942" s="28"/>
      <c r="AC942" s="29"/>
      <c r="AD942" s="29"/>
      <c r="AE942" s="29"/>
      <c r="AF942" s="29"/>
      <c r="AG942" s="29"/>
      <c r="AH942" s="30"/>
      <c r="AI942" s="39"/>
      <c r="AJ942" s="28"/>
      <c r="AK942" s="28"/>
      <c r="AL942" s="28"/>
      <c r="AM942" s="32"/>
      <c r="AN942" s="32"/>
      <c r="AO942" s="28"/>
      <c r="AP942" s="29"/>
    </row>
    <row r="943">
      <c r="A943" s="115"/>
      <c r="B943" s="116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O943" s="116"/>
      <c r="Q943" s="116"/>
      <c r="T943" s="114"/>
      <c r="Y943" s="118"/>
      <c r="Z943" s="28"/>
      <c r="AA943" s="28"/>
      <c r="AB943" s="28"/>
      <c r="AC943" s="28"/>
      <c r="AD943" s="29"/>
      <c r="AE943" s="29"/>
      <c r="AF943" s="29"/>
      <c r="AG943" s="29"/>
      <c r="AH943" s="30"/>
      <c r="AI943" s="31"/>
      <c r="AJ943" s="28"/>
      <c r="AK943" s="32"/>
      <c r="AL943" s="32"/>
      <c r="AM943" s="32"/>
      <c r="AN943" s="32"/>
      <c r="AO943" s="28"/>
      <c r="AP943" s="29"/>
    </row>
    <row r="944">
      <c r="A944" s="115"/>
      <c r="B944" s="116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O944" s="116"/>
      <c r="Q944" s="116"/>
      <c r="T944" s="114"/>
      <c r="Y944" s="118"/>
      <c r="Z944" s="28"/>
      <c r="AA944" s="28"/>
      <c r="AB944" s="29"/>
      <c r="AC944" s="29"/>
      <c r="AD944" s="29"/>
      <c r="AE944" s="29"/>
      <c r="AF944" s="29"/>
      <c r="AG944" s="29"/>
      <c r="AH944" s="30"/>
      <c r="AI944" s="31"/>
      <c r="AJ944" s="28"/>
      <c r="AK944" s="32"/>
      <c r="AL944" s="32"/>
      <c r="AM944" s="32"/>
      <c r="AN944" s="32"/>
      <c r="AO944" s="28"/>
      <c r="AP944" s="29"/>
    </row>
    <row r="945">
      <c r="A945" s="115"/>
      <c r="B945" s="116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O945" s="116"/>
      <c r="Q945" s="116"/>
      <c r="T945" s="114"/>
      <c r="Y945" s="118"/>
      <c r="Z945" s="28"/>
      <c r="AA945" s="28"/>
      <c r="AB945" s="28"/>
      <c r="AC945" s="29"/>
      <c r="AD945" s="29"/>
      <c r="AE945" s="29"/>
      <c r="AF945" s="29"/>
      <c r="AG945" s="29"/>
      <c r="AH945" s="30"/>
      <c r="AI945" s="31"/>
      <c r="AJ945" s="28"/>
      <c r="AK945" s="32"/>
      <c r="AL945" s="32"/>
      <c r="AM945" s="32"/>
      <c r="AN945" s="32"/>
      <c r="AO945" s="28"/>
      <c r="AP945" s="29"/>
    </row>
    <row r="946">
      <c r="A946" s="115"/>
      <c r="B946" s="116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O946" s="116"/>
      <c r="Q946" s="116"/>
      <c r="T946" s="114"/>
      <c r="Y946" s="118"/>
      <c r="Z946" s="28"/>
      <c r="AA946" s="28"/>
      <c r="AB946" s="28"/>
      <c r="AC946" s="28"/>
      <c r="AD946" s="29"/>
      <c r="AE946" s="29"/>
      <c r="AF946" s="29"/>
      <c r="AG946" s="29"/>
      <c r="AH946" s="30"/>
      <c r="AI946" s="31"/>
      <c r="AJ946" s="28"/>
      <c r="AK946" s="32"/>
      <c r="AL946" s="32"/>
      <c r="AM946" s="32"/>
      <c r="AN946" s="32"/>
      <c r="AO946" s="28"/>
      <c r="AP946" s="29"/>
    </row>
    <row r="947">
      <c r="A947" s="115"/>
      <c r="B947" s="116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O947" s="116"/>
      <c r="Q947" s="116"/>
      <c r="T947" s="114"/>
      <c r="Y947" s="118"/>
      <c r="Z947" s="28"/>
      <c r="AA947" s="28"/>
      <c r="AB947" s="28"/>
      <c r="AC947" s="28"/>
      <c r="AD947" s="29"/>
      <c r="AE947" s="29"/>
      <c r="AF947" s="29"/>
      <c r="AG947" s="29"/>
      <c r="AH947" s="30"/>
      <c r="AI947" s="31"/>
      <c r="AJ947" s="28"/>
      <c r="AK947" s="28"/>
      <c r="AL947" s="28"/>
      <c r="AM947" s="28"/>
      <c r="AN947" s="28"/>
      <c r="AO947" s="28"/>
      <c r="AP947" s="29"/>
    </row>
    <row r="948">
      <c r="A948" s="115"/>
      <c r="B948" s="116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O948" s="116"/>
      <c r="Q948" s="116"/>
      <c r="T948" s="114"/>
      <c r="Y948" s="118"/>
      <c r="Z948" s="28"/>
      <c r="AA948" s="28"/>
      <c r="AB948" s="28"/>
      <c r="AC948" s="28"/>
      <c r="AD948" s="29"/>
      <c r="AE948" s="29"/>
      <c r="AF948" s="29"/>
      <c r="AG948" s="29"/>
      <c r="AH948" s="30"/>
      <c r="AI948" s="31"/>
      <c r="AJ948" s="32"/>
      <c r="AK948" s="28"/>
      <c r="AL948" s="32"/>
      <c r="AM948" s="32"/>
      <c r="AN948" s="32"/>
      <c r="AO948" s="28"/>
      <c r="AP948" s="29"/>
    </row>
    <row r="949">
      <c r="A949" s="115"/>
      <c r="B949" s="116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O949" s="116"/>
      <c r="Q949" s="116"/>
      <c r="T949" s="114"/>
      <c r="Y949" s="118"/>
      <c r="Z949" s="28"/>
      <c r="AA949" s="28"/>
      <c r="AB949" s="28"/>
      <c r="AC949" s="28"/>
      <c r="AD949" s="28"/>
      <c r="AE949" s="29"/>
      <c r="AF949" s="29"/>
      <c r="AG949" s="29"/>
      <c r="AH949" s="119"/>
      <c r="AI949" s="31"/>
      <c r="AJ949" s="28"/>
      <c r="AK949" s="28"/>
      <c r="AL949" s="28"/>
      <c r="AM949" s="28"/>
      <c r="AN949" s="28"/>
      <c r="AO949" s="32"/>
      <c r="AP949" s="29"/>
    </row>
    <row r="950">
      <c r="A950" s="115"/>
      <c r="B950" s="116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O950" s="116"/>
      <c r="Q950" s="116"/>
      <c r="T950" s="114"/>
      <c r="Y950" s="118"/>
      <c r="Z950" s="28"/>
      <c r="AA950" s="28"/>
      <c r="AB950" s="28"/>
      <c r="AC950" s="28"/>
      <c r="AD950" s="28"/>
      <c r="AE950" s="29"/>
      <c r="AF950" s="29"/>
      <c r="AG950" s="29"/>
      <c r="AH950" s="30"/>
      <c r="AI950" s="31"/>
      <c r="AJ950" s="32"/>
      <c r="AK950" s="32"/>
      <c r="AL950" s="32"/>
      <c r="AM950" s="32"/>
      <c r="AN950" s="32"/>
      <c r="AO950" s="32"/>
      <c r="AP950" s="29"/>
    </row>
    <row r="951">
      <c r="A951" s="115"/>
      <c r="B951" s="116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O951" s="116"/>
      <c r="Q951" s="116"/>
      <c r="T951" s="114"/>
      <c r="Y951" s="118"/>
      <c r="Z951" s="28"/>
      <c r="AA951" s="28"/>
      <c r="AB951" s="28"/>
      <c r="AC951" s="28"/>
      <c r="AD951" s="29"/>
      <c r="AE951" s="29"/>
      <c r="AF951" s="29"/>
      <c r="AG951" s="29"/>
      <c r="AH951" s="30"/>
      <c r="AI951" s="31"/>
      <c r="AJ951" s="28"/>
      <c r="AK951" s="32"/>
      <c r="AL951" s="32"/>
      <c r="AM951" s="32"/>
      <c r="AN951" s="32"/>
      <c r="AO951" s="28"/>
      <c r="AP951" s="29"/>
    </row>
    <row r="952">
      <c r="A952" s="115"/>
      <c r="B952" s="116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O952" s="116"/>
      <c r="Q952" s="116"/>
      <c r="T952" s="114"/>
      <c r="Y952" s="118"/>
      <c r="Z952" s="28"/>
      <c r="AA952" s="28"/>
      <c r="AB952" s="28"/>
      <c r="AC952" s="28"/>
      <c r="AD952" s="28"/>
      <c r="AE952" s="29"/>
      <c r="AF952" s="29"/>
      <c r="AG952" s="29"/>
      <c r="AH952" s="30"/>
      <c r="AI952" s="31"/>
      <c r="AJ952" s="28"/>
      <c r="AK952" s="32"/>
      <c r="AL952" s="32"/>
      <c r="AM952" s="32"/>
      <c r="AN952" s="32"/>
      <c r="AO952" s="28"/>
      <c r="AP952" s="29"/>
    </row>
    <row r="953">
      <c r="A953" s="115"/>
      <c r="B953" s="116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O953" s="116"/>
      <c r="Q953" s="116"/>
      <c r="T953" s="114"/>
      <c r="Y953" s="118"/>
      <c r="Z953" s="28"/>
      <c r="AA953" s="28"/>
      <c r="AB953" s="28"/>
      <c r="AC953" s="29"/>
      <c r="AD953" s="29"/>
      <c r="AE953" s="29"/>
      <c r="AF953" s="29"/>
      <c r="AG953" s="29"/>
      <c r="AH953" s="30"/>
      <c r="AI953" s="31"/>
      <c r="AJ953" s="28"/>
      <c r="AK953" s="32"/>
      <c r="AL953" s="32"/>
      <c r="AM953" s="32"/>
      <c r="AN953" s="32"/>
      <c r="AO953" s="28"/>
      <c r="AP953" s="29"/>
    </row>
    <row r="954">
      <c r="A954" s="115"/>
      <c r="B954" s="116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O954" s="116"/>
      <c r="Q954" s="116"/>
      <c r="T954" s="114"/>
      <c r="Y954" s="118"/>
      <c r="Z954" s="28"/>
      <c r="AA954" s="28"/>
      <c r="AB954" s="28"/>
      <c r="AC954" s="28"/>
      <c r="AD954" s="28"/>
      <c r="AE954" s="29"/>
      <c r="AF954" s="29"/>
      <c r="AG954" s="29"/>
      <c r="AH954" s="30"/>
      <c r="AI954" s="31"/>
      <c r="AJ954" s="32"/>
      <c r="AK954" s="32"/>
      <c r="AL954" s="32"/>
      <c r="AM954" s="32"/>
      <c r="AN954" s="32"/>
      <c r="AO954" s="32"/>
      <c r="AP954" s="29"/>
    </row>
    <row r="955">
      <c r="A955" s="115"/>
      <c r="B955" s="116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O955" s="116"/>
      <c r="Q955" s="116"/>
      <c r="T955" s="114"/>
      <c r="Y955" s="118"/>
      <c r="Z955" s="28"/>
      <c r="AA955" s="28"/>
      <c r="AB955" s="28"/>
      <c r="AC955" s="28"/>
      <c r="AD955" s="29"/>
      <c r="AE955" s="29"/>
      <c r="AF955" s="29"/>
      <c r="AG955" s="29"/>
      <c r="AH955" s="30"/>
      <c r="AI955" s="31"/>
      <c r="AJ955" s="28"/>
      <c r="AK955" s="28"/>
      <c r="AL955" s="32"/>
      <c r="AM955" s="32"/>
      <c r="AN955" s="32"/>
      <c r="AO955" s="28"/>
      <c r="AP955" s="29"/>
    </row>
    <row r="956">
      <c r="A956" s="115"/>
      <c r="B956" s="116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O956" s="116"/>
      <c r="Q956" s="116"/>
      <c r="T956" s="114"/>
      <c r="Y956" s="118"/>
      <c r="Z956" s="28"/>
      <c r="AA956" s="28"/>
      <c r="AB956" s="28"/>
      <c r="AC956" s="28"/>
      <c r="AD956" s="28"/>
      <c r="AE956" s="28"/>
      <c r="AF956" s="29"/>
      <c r="AG956" s="29"/>
      <c r="AH956" s="30"/>
      <c r="AI956" s="31"/>
      <c r="AJ956" s="28"/>
      <c r="AK956" s="32"/>
      <c r="AL956" s="32"/>
      <c r="AM956" s="32"/>
      <c r="AN956" s="32"/>
      <c r="AO956" s="28"/>
      <c r="AP956" s="29"/>
    </row>
    <row r="957">
      <c r="A957" s="115"/>
      <c r="B957" s="116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O957" s="116"/>
      <c r="Q957" s="116"/>
      <c r="T957" s="114"/>
      <c r="Y957" s="118"/>
      <c r="Z957" s="28"/>
      <c r="AA957" s="28"/>
      <c r="AB957" s="28"/>
      <c r="AC957" s="28"/>
      <c r="AD957" s="29"/>
      <c r="AE957" s="29"/>
      <c r="AF957" s="29"/>
      <c r="AG957" s="29"/>
      <c r="AH957" s="30"/>
      <c r="AI957" s="31"/>
      <c r="AJ957" s="28"/>
      <c r="AK957" s="28"/>
      <c r="AL957" s="28"/>
      <c r="AM957" s="32"/>
      <c r="AN957" s="32"/>
      <c r="AO957" s="28"/>
      <c r="AP957" s="29"/>
    </row>
    <row r="958">
      <c r="A958" s="115"/>
      <c r="B958" s="116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O958" s="116"/>
      <c r="Q958" s="116"/>
      <c r="T958" s="114"/>
      <c r="Y958" s="118"/>
      <c r="Z958" s="28"/>
      <c r="AA958" s="28"/>
      <c r="AB958" s="28"/>
      <c r="AC958" s="29"/>
      <c r="AD958" s="29"/>
      <c r="AE958" s="29"/>
      <c r="AF958" s="29"/>
      <c r="AG958" s="29"/>
      <c r="AH958" s="30"/>
      <c r="AI958" s="31"/>
      <c r="AJ958" s="28"/>
      <c r="AK958" s="32"/>
      <c r="AL958" s="32"/>
      <c r="AM958" s="32"/>
      <c r="AN958" s="32"/>
      <c r="AO958" s="28"/>
      <c r="AP958" s="29"/>
    </row>
    <row r="959">
      <c r="A959" s="115"/>
      <c r="B959" s="116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O959" s="116"/>
      <c r="Q959" s="116"/>
      <c r="T959" s="114"/>
      <c r="Y959" s="118"/>
      <c r="Z959" s="28"/>
      <c r="AA959" s="28"/>
      <c r="AB959" s="28"/>
      <c r="AC959" s="28"/>
      <c r="AD959" s="28"/>
      <c r="AE959" s="29"/>
      <c r="AF959" s="29"/>
      <c r="AG959" s="29"/>
      <c r="AH959" s="30"/>
      <c r="AI959" s="31"/>
      <c r="AJ959" s="28"/>
      <c r="AK959" s="32"/>
      <c r="AL959" s="32"/>
      <c r="AM959" s="32"/>
      <c r="AN959" s="32"/>
      <c r="AO959" s="28"/>
      <c r="AP959" s="29"/>
    </row>
    <row r="960">
      <c r="A960" s="115"/>
      <c r="B960" s="116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O960" s="116"/>
      <c r="Q960" s="116"/>
      <c r="T960" s="114"/>
      <c r="Y960" s="118"/>
      <c r="Z960" s="28"/>
      <c r="AA960" s="28"/>
      <c r="AB960" s="28"/>
      <c r="AC960" s="28"/>
      <c r="AD960" s="29"/>
      <c r="AE960" s="29"/>
      <c r="AF960" s="29"/>
      <c r="AG960" s="29"/>
      <c r="AH960" s="30"/>
      <c r="AI960" s="31"/>
      <c r="AJ960" s="28"/>
      <c r="AK960" s="32"/>
      <c r="AL960" s="32"/>
      <c r="AM960" s="32"/>
      <c r="AN960" s="32"/>
      <c r="AO960" s="28"/>
      <c r="AP960" s="29"/>
    </row>
    <row r="961">
      <c r="A961" s="115"/>
      <c r="B961" s="116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O961" s="116"/>
      <c r="Q961" s="116"/>
      <c r="T961" s="114"/>
      <c r="Y961" s="118"/>
      <c r="Z961" s="28"/>
      <c r="AA961" s="28"/>
      <c r="AB961" s="29"/>
      <c r="AC961" s="29"/>
      <c r="AD961" s="29"/>
      <c r="AE961" s="29"/>
      <c r="AF961" s="29"/>
      <c r="AG961" s="29"/>
      <c r="AH961" s="30"/>
      <c r="AI961" s="31"/>
      <c r="AJ961" s="28"/>
      <c r="AK961" s="32"/>
      <c r="AL961" s="32"/>
      <c r="AM961" s="32"/>
      <c r="AN961" s="32"/>
      <c r="AO961" s="28"/>
      <c r="AP961" s="29"/>
    </row>
    <row r="962">
      <c r="A962" s="115"/>
      <c r="B962" s="116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O962" s="116"/>
      <c r="Q962" s="116"/>
      <c r="T962" s="114"/>
      <c r="Y962" s="118"/>
      <c r="Z962" s="28"/>
      <c r="AA962" s="28"/>
      <c r="AB962" s="29"/>
      <c r="AC962" s="29"/>
      <c r="AD962" s="29"/>
      <c r="AE962" s="29"/>
      <c r="AF962" s="29"/>
      <c r="AG962" s="29"/>
      <c r="AH962" s="30"/>
      <c r="AI962" s="31"/>
      <c r="AJ962" s="28"/>
      <c r="AK962" s="32"/>
      <c r="AL962" s="32"/>
      <c r="AM962" s="32"/>
      <c r="AN962" s="32"/>
      <c r="AO962" s="28"/>
      <c r="AP962" s="29"/>
    </row>
    <row r="963">
      <c r="A963" s="115"/>
      <c r="B963" s="116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O963" s="116"/>
      <c r="Q963" s="116"/>
      <c r="T963" s="114"/>
      <c r="Y963" s="118"/>
      <c r="Z963" s="28"/>
      <c r="AA963" s="28"/>
      <c r="AB963" s="29"/>
      <c r="AC963" s="29"/>
      <c r="AD963" s="29"/>
      <c r="AE963" s="29"/>
      <c r="AF963" s="29"/>
      <c r="AG963" s="29"/>
      <c r="AH963" s="30"/>
      <c r="AI963" s="31"/>
      <c r="AJ963" s="28"/>
      <c r="AK963" s="28"/>
      <c r="AL963" s="32"/>
      <c r="AM963" s="32"/>
      <c r="AN963" s="32"/>
      <c r="AO963" s="28"/>
      <c r="AP963" s="29"/>
    </row>
    <row r="964">
      <c r="A964" s="115"/>
      <c r="B964" s="116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O964" s="116"/>
      <c r="Q964" s="116"/>
      <c r="T964" s="114"/>
      <c r="Y964" s="118"/>
      <c r="Z964" s="28"/>
      <c r="AA964" s="28"/>
      <c r="AB964" s="29"/>
      <c r="AC964" s="29"/>
      <c r="AD964" s="29"/>
      <c r="AE964" s="29"/>
      <c r="AF964" s="29"/>
      <c r="AG964" s="29"/>
      <c r="AH964" s="30"/>
      <c r="AI964" s="31"/>
      <c r="AJ964" s="28"/>
      <c r="AK964" s="32"/>
      <c r="AL964" s="32"/>
      <c r="AM964" s="32"/>
      <c r="AN964" s="32"/>
      <c r="AO964" s="28"/>
      <c r="AP964" s="29"/>
    </row>
    <row r="965">
      <c r="A965" s="115"/>
      <c r="B965" s="116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O965" s="116"/>
      <c r="Q965" s="116"/>
      <c r="T965" s="114"/>
      <c r="Y965" s="118"/>
      <c r="Z965" s="28"/>
      <c r="AA965" s="28"/>
      <c r="AB965" s="28"/>
      <c r="AC965" s="28"/>
      <c r="AD965" s="29"/>
      <c r="AE965" s="29"/>
      <c r="AF965" s="29"/>
      <c r="AG965" s="29"/>
      <c r="AH965" s="30"/>
      <c r="AI965" s="31"/>
      <c r="AJ965" s="28"/>
      <c r="AK965" s="28"/>
      <c r="AL965" s="32"/>
      <c r="AM965" s="32"/>
      <c r="AN965" s="32"/>
      <c r="AO965" s="28"/>
      <c r="AP965" s="29"/>
    </row>
    <row r="966">
      <c r="A966" s="115"/>
      <c r="B966" s="116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O966" s="116"/>
      <c r="Q966" s="116"/>
      <c r="T966" s="114"/>
      <c r="Y966" s="118"/>
      <c r="Z966" s="28"/>
      <c r="AA966" s="28"/>
      <c r="AB966" s="28"/>
      <c r="AC966" s="29"/>
      <c r="AD966" s="29"/>
      <c r="AE966" s="29"/>
      <c r="AF966" s="29"/>
      <c r="AG966" s="29"/>
      <c r="AH966" s="30"/>
      <c r="AI966" s="31"/>
      <c r="AJ966" s="28"/>
      <c r="AK966" s="28"/>
      <c r="AL966" s="28"/>
      <c r="AM966" s="32"/>
      <c r="AN966" s="32"/>
      <c r="AO966" s="32"/>
      <c r="AP966" s="29"/>
    </row>
    <row r="967">
      <c r="A967" s="115"/>
      <c r="B967" s="116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O967" s="116"/>
      <c r="Q967" s="116"/>
      <c r="T967" s="114"/>
      <c r="Y967" s="118"/>
      <c r="Z967" s="28"/>
      <c r="AA967" s="28"/>
      <c r="AB967" s="29"/>
      <c r="AC967" s="29"/>
      <c r="AD967" s="29"/>
      <c r="AE967" s="29"/>
      <c r="AF967" s="29"/>
      <c r="AG967" s="29"/>
      <c r="AH967" s="30"/>
      <c r="AI967" s="31"/>
      <c r="AJ967" s="28"/>
      <c r="AK967" s="32"/>
      <c r="AL967" s="32"/>
      <c r="AM967" s="32"/>
      <c r="AN967" s="32"/>
      <c r="AO967" s="28"/>
      <c r="AP967" s="29"/>
    </row>
    <row r="968">
      <c r="A968" s="115"/>
      <c r="B968" s="116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O968" s="116"/>
      <c r="Q968" s="116"/>
      <c r="T968" s="114"/>
      <c r="Y968" s="118"/>
      <c r="Z968" s="28"/>
      <c r="AA968" s="28"/>
      <c r="AB968" s="28"/>
      <c r="AC968" s="29"/>
      <c r="AD968" s="29"/>
      <c r="AE968" s="29"/>
      <c r="AF968" s="29"/>
      <c r="AG968" s="29"/>
      <c r="AH968" s="30"/>
      <c r="AI968" s="31"/>
      <c r="AJ968" s="28"/>
      <c r="AK968" s="32"/>
      <c r="AL968" s="32"/>
      <c r="AM968" s="32"/>
      <c r="AN968" s="32"/>
      <c r="AO968" s="28"/>
      <c r="AP968" s="29"/>
    </row>
    <row r="969">
      <c r="A969" s="115"/>
      <c r="B969" s="116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O969" s="116"/>
      <c r="Q969" s="116"/>
      <c r="T969" s="114"/>
      <c r="Y969" s="118"/>
      <c r="Z969" s="28"/>
      <c r="AA969" s="28"/>
      <c r="AB969" s="28"/>
      <c r="AC969" s="28"/>
      <c r="AD969" s="28"/>
      <c r="AE969" s="29"/>
      <c r="AF969" s="29"/>
      <c r="AG969" s="29"/>
      <c r="AH969" s="30"/>
      <c r="AI969" s="31"/>
      <c r="AJ969" s="28"/>
      <c r="AK969" s="32"/>
      <c r="AL969" s="32"/>
      <c r="AM969" s="32"/>
      <c r="AN969" s="32"/>
      <c r="AO969" s="28"/>
      <c r="AP969" s="29"/>
    </row>
    <row r="970">
      <c r="A970" s="115"/>
      <c r="B970" s="116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O970" s="116"/>
      <c r="Q970" s="116"/>
      <c r="T970" s="114"/>
      <c r="Y970" s="118"/>
      <c r="Z970" s="28"/>
      <c r="AA970" s="28"/>
      <c r="AB970" s="28"/>
      <c r="AC970" s="29"/>
      <c r="AD970" s="29"/>
      <c r="AE970" s="29"/>
      <c r="AF970" s="29"/>
      <c r="AG970" s="29"/>
      <c r="AH970" s="30"/>
      <c r="AI970" s="31"/>
      <c r="AJ970" s="28"/>
      <c r="AK970" s="32"/>
      <c r="AL970" s="32"/>
      <c r="AM970" s="32"/>
      <c r="AN970" s="32"/>
      <c r="AO970" s="28"/>
      <c r="AP970" s="29"/>
    </row>
    <row r="971">
      <c r="A971" s="115"/>
      <c r="B971" s="116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O971" s="116"/>
      <c r="Q971" s="116"/>
      <c r="T971" s="114"/>
      <c r="Y971" s="118"/>
      <c r="Z971" s="28"/>
      <c r="AA971" s="28"/>
      <c r="AB971" s="28"/>
      <c r="AC971" s="29"/>
      <c r="AD971" s="29"/>
      <c r="AE971" s="29"/>
      <c r="AF971" s="29"/>
      <c r="AG971" s="29"/>
      <c r="AH971" s="30"/>
      <c r="AI971" s="31"/>
      <c r="AJ971" s="28"/>
      <c r="AK971" s="32"/>
      <c r="AL971" s="32"/>
      <c r="AM971" s="32"/>
      <c r="AN971" s="32"/>
      <c r="AO971" s="28"/>
      <c r="AP971" s="29"/>
    </row>
    <row r="972">
      <c r="A972" s="115"/>
      <c r="B972" s="116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O972" s="116"/>
      <c r="Q972" s="116"/>
      <c r="T972" s="114"/>
      <c r="Y972" s="118"/>
      <c r="Z972" s="28"/>
      <c r="AA972" s="28"/>
      <c r="AB972" s="28"/>
      <c r="AC972" s="29"/>
      <c r="AD972" s="29"/>
      <c r="AE972" s="29"/>
      <c r="AF972" s="29"/>
      <c r="AG972" s="29"/>
      <c r="AH972" s="30"/>
      <c r="AI972" s="31"/>
      <c r="AJ972" s="28"/>
      <c r="AK972" s="32"/>
      <c r="AL972" s="32"/>
      <c r="AM972" s="32"/>
      <c r="AN972" s="32"/>
      <c r="AO972" s="28"/>
      <c r="AP972" s="29"/>
    </row>
    <row r="973">
      <c r="A973" s="115"/>
      <c r="B973" s="116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O973" s="116"/>
      <c r="Q973" s="116"/>
      <c r="T973" s="114"/>
      <c r="Y973" s="118"/>
      <c r="Z973" s="28"/>
      <c r="AA973" s="28"/>
      <c r="AB973" s="28"/>
      <c r="AC973" s="29"/>
      <c r="AD973" s="29"/>
      <c r="AE973" s="29"/>
      <c r="AF973" s="29"/>
      <c r="AG973" s="29"/>
      <c r="AH973" s="30"/>
      <c r="AI973" s="31"/>
      <c r="AJ973" s="28"/>
      <c r="AK973" s="32"/>
      <c r="AL973" s="32"/>
      <c r="AM973" s="32"/>
      <c r="AN973" s="32"/>
      <c r="AO973" s="32"/>
      <c r="AP973" s="29"/>
    </row>
    <row r="974">
      <c r="A974" s="115"/>
      <c r="B974" s="116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O974" s="116"/>
      <c r="Q974" s="116"/>
      <c r="T974" s="114"/>
      <c r="Y974" s="118"/>
      <c r="Z974" s="28"/>
      <c r="AA974" s="28"/>
      <c r="AB974" s="28"/>
      <c r="AC974" s="28"/>
      <c r="AD974" s="29"/>
      <c r="AE974" s="29"/>
      <c r="AF974" s="29"/>
      <c r="AG974" s="29"/>
      <c r="AH974" s="30"/>
      <c r="AI974" s="31"/>
      <c r="AJ974" s="28"/>
      <c r="AK974" s="32"/>
      <c r="AL974" s="32"/>
      <c r="AM974" s="32"/>
      <c r="AN974" s="32"/>
      <c r="AO974" s="28"/>
      <c r="AP974" s="29"/>
    </row>
    <row r="975">
      <c r="A975" s="115"/>
      <c r="B975" s="116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O975" s="116"/>
      <c r="Q975" s="116"/>
      <c r="T975" s="114"/>
      <c r="Y975" s="118"/>
      <c r="Z975" s="28"/>
      <c r="AA975" s="28"/>
      <c r="AB975" s="28"/>
      <c r="AC975" s="28"/>
      <c r="AD975" s="28"/>
      <c r="AE975" s="29"/>
      <c r="AF975" s="29"/>
      <c r="AG975" s="29"/>
      <c r="AH975" s="30"/>
      <c r="AI975" s="31"/>
      <c r="AJ975" s="28"/>
      <c r="AK975" s="32"/>
      <c r="AL975" s="32"/>
      <c r="AM975" s="32"/>
      <c r="AN975" s="32"/>
      <c r="AO975" s="28"/>
      <c r="AP975" s="29"/>
    </row>
    <row r="976">
      <c r="A976" s="115"/>
      <c r="B976" s="116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O976" s="116"/>
      <c r="Q976" s="116"/>
      <c r="T976" s="114"/>
      <c r="Y976" s="118"/>
      <c r="Z976" s="28"/>
      <c r="AA976" s="28"/>
      <c r="AB976" s="28"/>
      <c r="AC976" s="29"/>
      <c r="AD976" s="29"/>
      <c r="AE976" s="29"/>
      <c r="AF976" s="29"/>
      <c r="AG976" s="29"/>
      <c r="AH976" s="30"/>
      <c r="AI976" s="31"/>
      <c r="AJ976" s="28"/>
      <c r="AK976" s="32"/>
      <c r="AL976" s="32"/>
      <c r="AM976" s="32"/>
      <c r="AN976" s="32"/>
      <c r="AO976" s="28"/>
      <c r="AP976" s="29"/>
    </row>
    <row r="977">
      <c r="A977" s="115"/>
      <c r="B977" s="116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O977" s="116"/>
      <c r="Q977" s="116"/>
      <c r="T977" s="114"/>
      <c r="Y977" s="118"/>
      <c r="Z977" s="28"/>
      <c r="AA977" s="28"/>
      <c r="AB977" s="28"/>
      <c r="AC977" s="28"/>
      <c r="AD977" s="29"/>
      <c r="AE977" s="29"/>
      <c r="AF977" s="29"/>
      <c r="AG977" s="29"/>
      <c r="AH977" s="30"/>
      <c r="AI977" s="31"/>
      <c r="AJ977" s="28"/>
      <c r="AK977" s="32"/>
      <c r="AL977" s="32"/>
      <c r="AM977" s="32"/>
      <c r="AN977" s="32"/>
      <c r="AO977" s="28"/>
      <c r="AP977" s="29"/>
    </row>
    <row r="978">
      <c r="A978" s="115"/>
      <c r="B978" s="116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O978" s="116"/>
      <c r="Q978" s="116"/>
      <c r="T978" s="114"/>
      <c r="Y978" s="118"/>
      <c r="Z978" s="28"/>
      <c r="AA978" s="28"/>
      <c r="AB978" s="28"/>
      <c r="AC978" s="29"/>
      <c r="AD978" s="29"/>
      <c r="AE978" s="29"/>
      <c r="AF978" s="29"/>
      <c r="AG978" s="29"/>
      <c r="AH978" s="30"/>
      <c r="AI978" s="31"/>
      <c r="AJ978" s="32"/>
      <c r="AK978" s="28"/>
      <c r="AL978" s="32"/>
      <c r="AM978" s="32"/>
      <c r="AN978" s="32"/>
      <c r="AO978" s="28"/>
      <c r="AP978" s="29"/>
    </row>
    <row r="979">
      <c r="A979" s="115"/>
      <c r="B979" s="116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O979" s="116"/>
      <c r="Q979" s="116"/>
      <c r="T979" s="114"/>
      <c r="Y979" s="118"/>
      <c r="Z979" s="28"/>
      <c r="AA979" s="28"/>
      <c r="AB979" s="28"/>
      <c r="AC979" s="28"/>
      <c r="AD979" s="29"/>
      <c r="AE979" s="29"/>
      <c r="AF979" s="29"/>
      <c r="AG979" s="29"/>
      <c r="AH979" s="30"/>
      <c r="AI979" s="31"/>
      <c r="AJ979" s="28"/>
      <c r="AK979" s="32"/>
      <c r="AL979" s="32"/>
      <c r="AM979" s="32"/>
      <c r="AN979" s="32"/>
      <c r="AO979" s="28"/>
      <c r="AP979" s="29"/>
    </row>
    <row r="980">
      <c r="A980" s="115"/>
      <c r="B980" s="116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O980" s="116"/>
      <c r="Q980" s="116"/>
      <c r="T980" s="114"/>
      <c r="Y980" s="118"/>
      <c r="Z980" s="28"/>
      <c r="AA980" s="28"/>
      <c r="AB980" s="28"/>
      <c r="AC980" s="29"/>
      <c r="AD980" s="29"/>
      <c r="AE980" s="29"/>
      <c r="AF980" s="29"/>
      <c r="AG980" s="29"/>
      <c r="AH980" s="30"/>
      <c r="AI980" s="31"/>
      <c r="AJ980" s="28"/>
      <c r="AK980" s="32"/>
      <c r="AL980" s="32"/>
      <c r="AM980" s="32"/>
      <c r="AN980" s="32"/>
      <c r="AO980" s="28"/>
      <c r="AP980" s="29"/>
    </row>
    <row r="981">
      <c r="A981" s="115"/>
      <c r="B981" s="116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O981" s="116"/>
      <c r="Q981" s="116"/>
      <c r="T981" s="114"/>
      <c r="Y981" s="118"/>
      <c r="Z981" s="28"/>
      <c r="AA981" s="28"/>
      <c r="AB981" s="28"/>
      <c r="AC981" s="28"/>
      <c r="AD981" s="29"/>
      <c r="AE981" s="29"/>
      <c r="AF981" s="29"/>
      <c r="AG981" s="29"/>
      <c r="AH981" s="30"/>
      <c r="AI981" s="31"/>
      <c r="AJ981" s="28"/>
      <c r="AK981" s="32"/>
      <c r="AL981" s="32"/>
      <c r="AM981" s="32"/>
      <c r="AN981" s="32"/>
      <c r="AO981" s="28"/>
      <c r="AP981" s="29"/>
    </row>
    <row r="982">
      <c r="A982" s="115"/>
      <c r="B982" s="116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O982" s="116"/>
      <c r="Q982" s="116"/>
      <c r="T982" s="114"/>
      <c r="Y982" s="118"/>
      <c r="Z982" s="28"/>
      <c r="AA982" s="28"/>
      <c r="AB982" s="28"/>
      <c r="AC982" s="28"/>
      <c r="AD982" s="28"/>
      <c r="AE982" s="28"/>
      <c r="AF982" s="29"/>
      <c r="AG982" s="29"/>
      <c r="AH982" s="30"/>
      <c r="AI982" s="31"/>
      <c r="AJ982" s="28"/>
      <c r="AK982" s="32"/>
      <c r="AL982" s="32"/>
      <c r="AM982" s="32"/>
      <c r="AN982" s="32"/>
      <c r="AO982" s="28"/>
      <c r="AP982" s="29"/>
    </row>
    <row r="983">
      <c r="A983" s="115"/>
      <c r="B983" s="116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O983" s="116"/>
      <c r="Q983" s="116"/>
      <c r="T983" s="114"/>
      <c r="Y983" s="118"/>
      <c r="Z983" s="28"/>
      <c r="AA983" s="28"/>
      <c r="AB983" s="28"/>
      <c r="AC983" s="28"/>
      <c r="AD983" s="29"/>
      <c r="AE983" s="29"/>
      <c r="AF983" s="29"/>
      <c r="AG983" s="29"/>
      <c r="AH983" s="30"/>
      <c r="AI983" s="39"/>
      <c r="AJ983" s="28"/>
      <c r="AK983" s="28"/>
      <c r="AL983" s="28"/>
      <c r="AM983" s="28"/>
      <c r="AN983" s="32"/>
      <c r="AO983" s="28"/>
      <c r="AP983" s="29"/>
    </row>
    <row r="984">
      <c r="A984" s="115"/>
      <c r="B984" s="116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O984" s="116"/>
      <c r="Q984" s="116"/>
      <c r="T984" s="114"/>
      <c r="Y984" s="118"/>
      <c r="Z984" s="28"/>
      <c r="AA984" s="28"/>
      <c r="AB984" s="28"/>
      <c r="AC984" s="29"/>
      <c r="AD984" s="29"/>
      <c r="AE984" s="29"/>
      <c r="AF984" s="29"/>
      <c r="AG984" s="29"/>
      <c r="AH984" s="30"/>
      <c r="AI984" s="31"/>
      <c r="AJ984" s="32"/>
      <c r="AK984" s="32"/>
      <c r="AL984" s="32"/>
      <c r="AM984" s="32"/>
      <c r="AN984" s="32"/>
      <c r="AO984" s="32"/>
      <c r="AP984" s="29"/>
    </row>
    <row r="985">
      <c r="A985" s="115"/>
      <c r="B985" s="116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O985" s="116"/>
      <c r="Q985" s="116"/>
      <c r="T985" s="114"/>
      <c r="Y985" s="118"/>
      <c r="Z985" s="28"/>
      <c r="AA985" s="28"/>
      <c r="AB985" s="28"/>
      <c r="AC985" s="29"/>
      <c r="AD985" s="29"/>
      <c r="AE985" s="29"/>
      <c r="AF985" s="29"/>
      <c r="AG985" s="29"/>
      <c r="AH985" s="30"/>
      <c r="AI985" s="31"/>
      <c r="AJ985" s="28"/>
      <c r="AK985" s="32"/>
      <c r="AL985" s="32"/>
      <c r="AM985" s="32"/>
      <c r="AN985" s="32"/>
      <c r="AO985" s="28"/>
      <c r="AP985" s="29"/>
    </row>
    <row r="986">
      <c r="A986" s="115"/>
      <c r="B986" s="116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O986" s="116"/>
      <c r="Q986" s="116"/>
      <c r="T986" s="114"/>
      <c r="Y986" s="118"/>
      <c r="Z986" s="28"/>
      <c r="AA986" s="28"/>
      <c r="AB986" s="28"/>
      <c r="AC986" s="28"/>
      <c r="AD986" s="28"/>
      <c r="AE986" s="29"/>
      <c r="AF986" s="29"/>
      <c r="AG986" s="29"/>
      <c r="AH986" s="30"/>
      <c r="AI986" s="31"/>
      <c r="AJ986" s="28"/>
      <c r="AK986" s="32"/>
      <c r="AL986" s="32"/>
      <c r="AM986" s="32"/>
      <c r="AN986" s="32"/>
      <c r="AO986" s="28"/>
      <c r="AP986" s="29"/>
    </row>
    <row r="987">
      <c r="A987" s="115"/>
      <c r="B987" s="116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O987" s="116"/>
      <c r="Q987" s="116"/>
      <c r="T987" s="114"/>
      <c r="Y987" s="118"/>
      <c r="Z987" s="28"/>
      <c r="AA987" s="28"/>
      <c r="AB987" s="28"/>
      <c r="AC987" s="29"/>
      <c r="AD987" s="29"/>
      <c r="AE987" s="29"/>
      <c r="AF987" s="29"/>
      <c r="AG987" s="29"/>
      <c r="AH987" s="30"/>
      <c r="AI987" s="31"/>
      <c r="AJ987" s="28"/>
      <c r="AK987" s="32"/>
      <c r="AL987" s="32"/>
      <c r="AM987" s="32"/>
      <c r="AN987" s="32"/>
      <c r="AO987" s="28"/>
      <c r="AP987" s="29"/>
    </row>
    <row r="988">
      <c r="A988" s="115"/>
      <c r="B988" s="116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O988" s="116"/>
      <c r="Q988" s="116"/>
      <c r="T988" s="114"/>
      <c r="Y988" s="118"/>
      <c r="Z988" s="28"/>
      <c r="AA988" s="28"/>
      <c r="AB988" s="29"/>
      <c r="AC988" s="29"/>
      <c r="AD988" s="29"/>
      <c r="AE988" s="29"/>
      <c r="AF988" s="29"/>
      <c r="AG988" s="29"/>
      <c r="AH988" s="30"/>
      <c r="AI988" s="31"/>
      <c r="AJ988" s="28"/>
      <c r="AK988" s="32"/>
      <c r="AL988" s="32"/>
      <c r="AM988" s="32"/>
      <c r="AN988" s="32"/>
      <c r="AO988" s="28"/>
      <c r="AP988" s="29"/>
    </row>
    <row r="989">
      <c r="A989" s="115"/>
      <c r="B989" s="116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O989" s="116"/>
      <c r="Q989" s="116"/>
      <c r="T989" s="114"/>
      <c r="Y989" s="118"/>
      <c r="Z989" s="28"/>
      <c r="AA989" s="28"/>
      <c r="AB989" s="28"/>
      <c r="AC989" s="28"/>
      <c r="AD989" s="29"/>
      <c r="AE989" s="29"/>
      <c r="AF989" s="29"/>
      <c r="AG989" s="29"/>
      <c r="AH989" s="30"/>
      <c r="AI989" s="31"/>
      <c r="AJ989" s="28"/>
      <c r="AK989" s="32"/>
      <c r="AL989" s="32"/>
      <c r="AM989" s="32"/>
      <c r="AN989" s="32"/>
      <c r="AO989" s="28"/>
      <c r="AP989" s="29"/>
    </row>
    <row r="990">
      <c r="A990" s="115"/>
      <c r="B990" s="116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O990" s="116"/>
      <c r="Q990" s="116"/>
      <c r="T990" s="114"/>
      <c r="Y990" s="118"/>
      <c r="Z990" s="28"/>
      <c r="AA990" s="28"/>
      <c r="AB990" s="28"/>
      <c r="AC990" s="28"/>
      <c r="AD990" s="29"/>
      <c r="AE990" s="29"/>
      <c r="AF990" s="29"/>
      <c r="AG990" s="29"/>
      <c r="AH990" s="30"/>
      <c r="AI990" s="31"/>
      <c r="AJ990" s="28"/>
      <c r="AK990" s="32"/>
      <c r="AL990" s="32"/>
      <c r="AM990" s="32"/>
      <c r="AN990" s="32"/>
      <c r="AO990" s="28"/>
      <c r="AP990" s="29"/>
    </row>
    <row r="991">
      <c r="A991" s="115"/>
      <c r="B991" s="116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O991" s="116"/>
      <c r="Q991" s="116"/>
      <c r="T991" s="114"/>
      <c r="Y991" s="118"/>
      <c r="Z991" s="28"/>
      <c r="AA991" s="28"/>
      <c r="AB991" s="28"/>
      <c r="AC991" s="29"/>
      <c r="AD991" s="29"/>
      <c r="AE991" s="29"/>
      <c r="AF991" s="29"/>
      <c r="AG991" s="29"/>
      <c r="AH991" s="30"/>
      <c r="AI991" s="31"/>
      <c r="AJ991" s="28"/>
      <c r="AK991" s="32"/>
      <c r="AL991" s="32"/>
      <c r="AM991" s="32"/>
      <c r="AN991" s="32"/>
      <c r="AO991" s="28"/>
      <c r="AP991" s="29"/>
    </row>
    <row r="992">
      <c r="A992" s="115"/>
      <c r="B992" s="116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O992" s="116"/>
      <c r="Q992" s="116"/>
      <c r="T992" s="114"/>
      <c r="Y992" s="118"/>
      <c r="Z992" s="28"/>
      <c r="AA992" s="29"/>
      <c r="AB992" s="29"/>
      <c r="AC992" s="29"/>
      <c r="AD992" s="29"/>
      <c r="AE992" s="29"/>
      <c r="AF992" s="29"/>
      <c r="AG992" s="29"/>
      <c r="AH992" s="30"/>
      <c r="AI992" s="39"/>
      <c r="AJ992" s="28"/>
      <c r="AK992" s="32"/>
      <c r="AL992" s="32"/>
      <c r="AM992" s="32"/>
      <c r="AN992" s="32"/>
      <c r="AO992" s="28"/>
      <c r="AP992" s="29"/>
    </row>
    <row r="993">
      <c r="A993" s="115"/>
      <c r="B993" s="116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O993" s="116"/>
      <c r="Q993" s="116"/>
      <c r="T993" s="114"/>
      <c r="Y993" s="118"/>
      <c r="Z993" s="28"/>
      <c r="AA993" s="28"/>
      <c r="AB993" s="28"/>
      <c r="AC993" s="28"/>
      <c r="AD993" s="29"/>
      <c r="AE993" s="29"/>
      <c r="AF993" s="29"/>
      <c r="AG993" s="29"/>
      <c r="AH993" s="30"/>
      <c r="AI993" s="31"/>
      <c r="AJ993" s="28"/>
      <c r="AK993" s="32"/>
      <c r="AL993" s="32"/>
      <c r="AM993" s="32"/>
      <c r="AN993" s="32"/>
      <c r="AO993" s="28"/>
      <c r="AP993" s="29"/>
    </row>
    <row r="994">
      <c r="A994" s="115"/>
      <c r="B994" s="116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O994" s="116"/>
      <c r="Q994" s="116"/>
      <c r="T994" s="114"/>
      <c r="Y994" s="118"/>
      <c r="Z994" s="28"/>
      <c r="AA994" s="28"/>
      <c r="AB994" s="29"/>
      <c r="AC994" s="29"/>
      <c r="AD994" s="29"/>
      <c r="AE994" s="29"/>
      <c r="AF994" s="29"/>
      <c r="AG994" s="29"/>
      <c r="AH994" s="30"/>
      <c r="AI994" s="31"/>
      <c r="AJ994" s="28"/>
      <c r="AK994" s="32"/>
      <c r="AL994" s="32"/>
      <c r="AM994" s="32"/>
      <c r="AN994" s="32"/>
      <c r="AO994" s="28"/>
      <c r="AP994" s="29"/>
    </row>
    <row r="995">
      <c r="A995" s="115"/>
      <c r="B995" s="116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O995" s="116"/>
      <c r="Q995" s="116"/>
      <c r="T995" s="114"/>
      <c r="Y995" s="118"/>
      <c r="Z995" s="28"/>
      <c r="AA995" s="28"/>
      <c r="AB995" s="28"/>
      <c r="AC995" s="29"/>
      <c r="AD995" s="29"/>
      <c r="AE995" s="29"/>
      <c r="AF995" s="29"/>
      <c r="AG995" s="29"/>
      <c r="AH995" s="30"/>
      <c r="AI995" s="31"/>
      <c r="AJ995" s="28"/>
      <c r="AK995" s="32"/>
      <c r="AL995" s="32"/>
      <c r="AM995" s="32"/>
      <c r="AN995" s="32"/>
      <c r="AO995" s="28"/>
      <c r="AP995" s="29"/>
    </row>
    <row r="996">
      <c r="A996" s="115"/>
      <c r="B996" s="116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O996" s="116"/>
      <c r="Q996" s="116"/>
      <c r="T996" s="114"/>
      <c r="Y996" s="118"/>
      <c r="Z996" s="28"/>
      <c r="AA996" s="28"/>
      <c r="AB996" s="28"/>
      <c r="AC996" s="28"/>
      <c r="AD996" s="29"/>
      <c r="AE996" s="29"/>
      <c r="AF996" s="29"/>
      <c r="AG996" s="29"/>
      <c r="AH996" s="30"/>
      <c r="AI996" s="31"/>
      <c r="AJ996" s="28"/>
      <c r="AK996" s="28"/>
      <c r="AL996" s="32"/>
      <c r="AM996" s="32"/>
      <c r="AN996" s="32"/>
      <c r="AO996" s="28"/>
      <c r="AP996" s="29"/>
    </row>
    <row r="997">
      <c r="A997" s="115"/>
      <c r="B997" s="116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O997" s="116"/>
      <c r="Q997" s="116"/>
      <c r="T997" s="114"/>
      <c r="Y997" s="118"/>
      <c r="Z997" s="28"/>
      <c r="AA997" s="28"/>
      <c r="AB997" s="28"/>
      <c r="AC997" s="28"/>
      <c r="AD997" s="29"/>
      <c r="AE997" s="29"/>
      <c r="AF997" s="29"/>
      <c r="AG997" s="29"/>
      <c r="AH997" s="30"/>
      <c r="AI997" s="31"/>
      <c r="AJ997" s="28"/>
      <c r="AK997" s="32"/>
      <c r="AL997" s="32"/>
      <c r="AM997" s="32"/>
      <c r="AN997" s="32"/>
      <c r="AO997" s="32"/>
      <c r="AP997" s="29"/>
    </row>
    <row r="998">
      <c r="A998" s="115"/>
      <c r="B998" s="116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O998" s="116"/>
      <c r="Q998" s="116"/>
      <c r="T998" s="114"/>
      <c r="Y998" s="118"/>
      <c r="Z998" s="28"/>
      <c r="AA998" s="28"/>
      <c r="AB998" s="28"/>
      <c r="AC998" s="28"/>
      <c r="AD998" s="29"/>
      <c r="AE998" s="29"/>
      <c r="AF998" s="29"/>
      <c r="AG998" s="29"/>
      <c r="AH998" s="30"/>
      <c r="AI998" s="31"/>
      <c r="AJ998" s="32"/>
      <c r="AK998" s="32"/>
      <c r="AL998" s="32"/>
      <c r="AM998" s="32"/>
      <c r="AN998" s="32"/>
      <c r="AO998" s="32"/>
      <c r="AP998" s="29"/>
    </row>
    <row r="999">
      <c r="A999" s="115"/>
      <c r="B999" s="116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O999" s="116"/>
      <c r="Q999" s="116"/>
      <c r="T999" s="114"/>
      <c r="Y999" s="118"/>
      <c r="Z999" s="28"/>
      <c r="AA999" s="28"/>
      <c r="AB999" s="28"/>
      <c r="AC999" s="28"/>
      <c r="AD999" s="28"/>
      <c r="AE999" s="28"/>
      <c r="AF999" s="29"/>
      <c r="AG999" s="29"/>
      <c r="AH999" s="30"/>
      <c r="AI999" s="31"/>
      <c r="AJ999" s="28"/>
      <c r="AK999" s="32"/>
      <c r="AL999" s="32"/>
      <c r="AM999" s="32"/>
      <c r="AN999" s="32"/>
      <c r="AO999" s="28"/>
      <c r="AP999" s="29"/>
    </row>
    <row r="1000">
      <c r="A1000" s="115"/>
      <c r="B1000" s="116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O1000" s="116"/>
      <c r="Q1000" s="116"/>
      <c r="T1000" s="114"/>
      <c r="Y1000" s="118"/>
      <c r="Z1000" s="28"/>
      <c r="AA1000" s="28"/>
      <c r="AB1000" s="28"/>
      <c r="AC1000" s="29"/>
      <c r="AD1000" s="29"/>
      <c r="AE1000" s="29"/>
      <c r="AF1000" s="29"/>
      <c r="AG1000" s="29"/>
      <c r="AH1000" s="30"/>
      <c r="AI1000" s="31"/>
      <c r="AJ1000" s="28"/>
      <c r="AK1000" s="32"/>
      <c r="AL1000" s="32"/>
      <c r="AM1000" s="32"/>
      <c r="AN1000" s="32"/>
      <c r="AO1000" s="28"/>
      <c r="AP1000" s="29"/>
    </row>
    <row r="1001">
      <c r="A1001" s="115"/>
      <c r="B1001" s="116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O1001" s="116"/>
      <c r="Q1001" s="116"/>
      <c r="T1001" s="114"/>
      <c r="Y1001" s="118"/>
      <c r="Z1001" s="28"/>
      <c r="AA1001" s="28"/>
      <c r="AB1001" s="28"/>
      <c r="AC1001" s="28"/>
      <c r="AD1001" s="28"/>
      <c r="AE1001" s="29"/>
      <c r="AF1001" s="29"/>
      <c r="AG1001" s="29"/>
      <c r="AH1001" s="30"/>
      <c r="AI1001" s="31"/>
      <c r="AJ1001" s="28"/>
      <c r="AK1001" s="32"/>
      <c r="AL1001" s="32"/>
      <c r="AM1001" s="32"/>
      <c r="AN1001" s="32"/>
      <c r="AO1001" s="28"/>
      <c r="AP1001" s="29"/>
    </row>
    <row r="1002">
      <c r="A1002" s="115"/>
      <c r="B1002" s="116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O1002" s="116"/>
      <c r="Q1002" s="116"/>
      <c r="T1002" s="114"/>
      <c r="Y1002" s="118"/>
      <c r="Z1002" s="28"/>
      <c r="AA1002" s="28"/>
      <c r="AB1002" s="28"/>
      <c r="AC1002" s="28"/>
      <c r="AD1002" s="28"/>
      <c r="AE1002" s="28"/>
      <c r="AF1002" s="29"/>
      <c r="AG1002" s="29"/>
      <c r="AH1002" s="30"/>
      <c r="AI1002" s="31"/>
      <c r="AJ1002" s="28"/>
      <c r="AK1002" s="32"/>
      <c r="AL1002" s="32"/>
      <c r="AM1002" s="32"/>
      <c r="AN1002" s="32"/>
      <c r="AO1002" s="28"/>
      <c r="AP1002" s="29"/>
    </row>
    <row r="1003">
      <c r="A1003" s="115"/>
      <c r="B1003" s="116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O1003" s="116"/>
      <c r="Q1003" s="116"/>
      <c r="T1003" s="114"/>
      <c r="Y1003" s="118"/>
      <c r="Z1003" s="28"/>
      <c r="AA1003" s="28"/>
      <c r="AB1003" s="28"/>
      <c r="AC1003" s="28"/>
      <c r="AD1003" s="28"/>
      <c r="AE1003" s="28"/>
      <c r="AF1003" s="29"/>
      <c r="AG1003" s="29"/>
      <c r="AH1003" s="30"/>
      <c r="AI1003" s="31"/>
      <c r="AJ1003" s="28"/>
      <c r="AK1003" s="32"/>
      <c r="AL1003" s="32"/>
      <c r="AM1003" s="32"/>
      <c r="AN1003" s="32"/>
      <c r="AO1003" s="28"/>
      <c r="AP1003" s="29"/>
    </row>
    <row r="1004">
      <c r="A1004" s="115"/>
      <c r="B1004" s="116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O1004" s="116"/>
      <c r="Q1004" s="116"/>
      <c r="T1004" s="114"/>
      <c r="Y1004" s="118"/>
      <c r="Z1004" s="28"/>
      <c r="AA1004" s="28"/>
      <c r="AB1004" s="28"/>
      <c r="AC1004" s="28"/>
      <c r="AD1004" s="28"/>
      <c r="AE1004" s="29"/>
      <c r="AF1004" s="29"/>
      <c r="AG1004" s="29"/>
      <c r="AH1004" s="30"/>
      <c r="AI1004" s="31"/>
      <c r="AJ1004" s="28"/>
      <c r="AK1004" s="28"/>
      <c r="AL1004" s="28"/>
      <c r="AM1004" s="28"/>
      <c r="AN1004" s="32"/>
      <c r="AO1004" s="28"/>
      <c r="AP1004" s="29"/>
    </row>
    <row r="1005">
      <c r="A1005" s="115"/>
      <c r="B1005" s="116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O1005" s="116"/>
      <c r="Q1005" s="116"/>
      <c r="T1005" s="114"/>
      <c r="Y1005" s="118"/>
      <c r="Z1005" s="28"/>
      <c r="AA1005" s="28"/>
      <c r="AB1005" s="28"/>
      <c r="AC1005" s="28"/>
      <c r="AD1005" s="28"/>
      <c r="AE1005" s="29"/>
      <c r="AF1005" s="29"/>
      <c r="AG1005" s="29"/>
      <c r="AH1005" s="30"/>
      <c r="AI1005" s="31"/>
      <c r="AJ1005" s="28"/>
      <c r="AK1005" s="32"/>
      <c r="AL1005" s="32"/>
      <c r="AM1005" s="32"/>
      <c r="AN1005" s="32"/>
      <c r="AO1005" s="28"/>
      <c r="AP1005" s="29"/>
    </row>
    <row r="1006">
      <c r="A1006" s="115"/>
      <c r="B1006" s="116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O1006" s="116"/>
      <c r="Q1006" s="116"/>
      <c r="T1006" s="114"/>
      <c r="Y1006" s="118"/>
      <c r="Z1006" s="28"/>
      <c r="AA1006" s="28"/>
      <c r="AB1006" s="28"/>
      <c r="AC1006" s="28"/>
      <c r="AD1006" s="29"/>
      <c r="AE1006" s="29"/>
      <c r="AF1006" s="29"/>
      <c r="AG1006" s="29"/>
      <c r="AH1006" s="30"/>
      <c r="AI1006" s="31"/>
      <c r="AJ1006" s="28"/>
      <c r="AK1006" s="32"/>
      <c r="AL1006" s="32"/>
      <c r="AM1006" s="32"/>
      <c r="AN1006" s="32"/>
      <c r="AO1006" s="28"/>
      <c r="AP1006" s="29"/>
    </row>
    <row r="1007">
      <c r="A1007" s="115"/>
      <c r="B1007" s="116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O1007" s="116"/>
      <c r="Q1007" s="116"/>
      <c r="T1007" s="114"/>
      <c r="Y1007" s="118"/>
      <c r="Z1007" s="28"/>
      <c r="AA1007" s="28"/>
      <c r="AB1007" s="29"/>
      <c r="AC1007" s="29"/>
      <c r="AD1007" s="29"/>
      <c r="AE1007" s="29"/>
      <c r="AF1007" s="29"/>
      <c r="AG1007" s="29"/>
      <c r="AH1007" s="30"/>
      <c r="AI1007" s="31"/>
      <c r="AJ1007" s="28"/>
      <c r="AK1007" s="32"/>
      <c r="AL1007" s="32"/>
      <c r="AM1007" s="32"/>
      <c r="AN1007" s="32"/>
      <c r="AO1007" s="28"/>
      <c r="AP1007" s="29"/>
    </row>
    <row r="1008">
      <c r="A1008" s="115"/>
      <c r="B1008" s="116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O1008" s="116"/>
      <c r="Q1008" s="116"/>
      <c r="T1008" s="114"/>
      <c r="Y1008" s="118"/>
      <c r="Z1008" s="28"/>
      <c r="AA1008" s="28"/>
      <c r="AB1008" s="28"/>
      <c r="AC1008" s="29"/>
      <c r="AD1008" s="29"/>
      <c r="AE1008" s="29"/>
      <c r="AF1008" s="29"/>
      <c r="AG1008" s="29"/>
      <c r="AH1008" s="30"/>
      <c r="AI1008" s="31"/>
      <c r="AJ1008" s="32"/>
      <c r="AK1008" s="32"/>
      <c r="AL1008" s="32"/>
      <c r="AM1008" s="32"/>
      <c r="AN1008" s="32"/>
      <c r="AO1008" s="32"/>
      <c r="AP1008" s="29"/>
    </row>
    <row r="1009">
      <c r="A1009" s="115"/>
      <c r="B1009" s="116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O1009" s="116"/>
      <c r="Q1009" s="116"/>
      <c r="T1009" s="114"/>
      <c r="Y1009" s="118"/>
      <c r="Z1009" s="28"/>
      <c r="AA1009" s="28"/>
      <c r="AB1009" s="28"/>
      <c r="AC1009" s="29"/>
      <c r="AD1009" s="29"/>
      <c r="AE1009" s="29"/>
      <c r="AF1009" s="29"/>
      <c r="AG1009" s="29"/>
      <c r="AH1009" s="30"/>
      <c r="AI1009" s="31"/>
      <c r="AJ1009" s="28"/>
      <c r="AK1009" s="32"/>
      <c r="AL1009" s="32"/>
      <c r="AM1009" s="32"/>
      <c r="AN1009" s="32"/>
      <c r="AO1009" s="28"/>
      <c r="AP1009" s="29"/>
    </row>
    <row r="1010">
      <c r="A1010" s="115"/>
      <c r="B1010" s="116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O1010" s="116"/>
      <c r="Q1010" s="116"/>
      <c r="T1010" s="114"/>
      <c r="Y1010" s="118"/>
      <c r="Z1010" s="28"/>
      <c r="AA1010" s="28"/>
      <c r="AB1010" s="28"/>
      <c r="AC1010" s="28"/>
      <c r="AD1010" s="29"/>
      <c r="AE1010" s="29"/>
      <c r="AF1010" s="29"/>
      <c r="AG1010" s="29"/>
      <c r="AH1010" s="30"/>
      <c r="AI1010" s="31"/>
      <c r="AJ1010" s="28"/>
      <c r="AK1010" s="32"/>
      <c r="AL1010" s="32"/>
      <c r="AM1010" s="32"/>
      <c r="AN1010" s="32"/>
      <c r="AO1010" s="28"/>
      <c r="AP1010" s="29"/>
    </row>
    <row r="1011">
      <c r="A1011" s="115"/>
      <c r="B1011" s="116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O1011" s="116"/>
      <c r="Q1011" s="116"/>
      <c r="T1011" s="114"/>
      <c r="Y1011" s="118"/>
      <c r="Z1011" s="28"/>
      <c r="AA1011" s="28"/>
      <c r="AB1011" s="28"/>
      <c r="AC1011" s="28"/>
      <c r="AD1011" s="29"/>
      <c r="AE1011" s="29"/>
      <c r="AF1011" s="29"/>
      <c r="AG1011" s="29"/>
      <c r="AH1011" s="30"/>
      <c r="AI1011" s="31"/>
      <c r="AJ1011" s="28"/>
      <c r="AK1011" s="32"/>
      <c r="AL1011" s="32"/>
      <c r="AM1011" s="32"/>
      <c r="AN1011" s="32"/>
      <c r="AO1011" s="28"/>
      <c r="AP1011" s="29"/>
    </row>
    <row r="1012">
      <c r="A1012" s="115"/>
      <c r="B1012" s="116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O1012" s="116"/>
      <c r="Q1012" s="116"/>
      <c r="T1012" s="114"/>
      <c r="Y1012" s="118"/>
      <c r="Z1012" s="28"/>
      <c r="AA1012" s="28"/>
      <c r="AB1012" s="28"/>
      <c r="AC1012" s="28"/>
      <c r="AD1012" s="29"/>
      <c r="AE1012" s="29"/>
      <c r="AF1012" s="29"/>
      <c r="AG1012" s="29"/>
      <c r="AH1012" s="30"/>
      <c r="AI1012" s="31"/>
      <c r="AJ1012" s="28"/>
      <c r="AK1012" s="32"/>
      <c r="AL1012" s="32"/>
      <c r="AM1012" s="32"/>
      <c r="AN1012" s="32"/>
      <c r="AO1012" s="28"/>
      <c r="AP1012" s="29"/>
    </row>
    <row r="1013">
      <c r="A1013" s="115"/>
      <c r="B1013" s="116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O1013" s="116"/>
      <c r="Q1013" s="116"/>
      <c r="T1013" s="114"/>
      <c r="Y1013" s="118"/>
      <c r="Z1013" s="28"/>
      <c r="AA1013" s="28"/>
      <c r="AB1013" s="28"/>
      <c r="AC1013" s="29"/>
      <c r="AD1013" s="29"/>
      <c r="AE1013" s="29"/>
      <c r="AF1013" s="29"/>
      <c r="AG1013" s="29"/>
      <c r="AH1013" s="30"/>
      <c r="AI1013" s="31"/>
      <c r="AJ1013" s="28"/>
      <c r="AK1013" s="32"/>
      <c r="AL1013" s="32"/>
      <c r="AM1013" s="32"/>
      <c r="AN1013" s="32"/>
      <c r="AO1013" s="28"/>
      <c r="AP1013" s="29"/>
    </row>
    <row r="1014">
      <c r="A1014" s="115"/>
      <c r="B1014" s="116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O1014" s="116"/>
      <c r="Q1014" s="116"/>
      <c r="T1014" s="114"/>
      <c r="Y1014" s="118"/>
      <c r="Z1014" s="28"/>
      <c r="AA1014" s="28"/>
      <c r="AB1014" s="28"/>
      <c r="AC1014" s="28"/>
      <c r="AD1014" s="29"/>
      <c r="AE1014" s="29"/>
      <c r="AF1014" s="29"/>
      <c r="AG1014" s="29"/>
      <c r="AH1014" s="30"/>
      <c r="AI1014" s="31"/>
      <c r="AJ1014" s="28"/>
      <c r="AK1014" s="28"/>
      <c r="AL1014" s="32"/>
      <c r="AM1014" s="32"/>
      <c r="AN1014" s="32"/>
      <c r="AO1014" s="28"/>
      <c r="AP1014" s="29"/>
    </row>
    <row r="1015">
      <c r="A1015" s="115"/>
      <c r="B1015" s="116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O1015" s="116"/>
      <c r="Q1015" s="116"/>
      <c r="T1015" s="114"/>
      <c r="Y1015" s="118"/>
      <c r="Z1015" s="28"/>
      <c r="AA1015" s="28"/>
      <c r="AB1015" s="29"/>
      <c r="AC1015" s="29"/>
      <c r="AD1015" s="29"/>
      <c r="AE1015" s="29"/>
      <c r="AF1015" s="29"/>
      <c r="AG1015" s="29"/>
      <c r="AH1015" s="30"/>
      <c r="AI1015" s="31"/>
      <c r="AJ1015" s="28"/>
      <c r="AK1015" s="32"/>
      <c r="AL1015" s="32"/>
      <c r="AM1015" s="32"/>
      <c r="AN1015" s="32"/>
      <c r="AO1015" s="28"/>
      <c r="AP1015" s="29"/>
    </row>
    <row r="1016">
      <c r="A1016" s="115"/>
      <c r="B1016" s="116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O1016" s="116"/>
      <c r="Q1016" s="116"/>
      <c r="T1016" s="114"/>
      <c r="Y1016" s="118"/>
      <c r="Z1016" s="28"/>
      <c r="AA1016" s="28"/>
      <c r="AB1016" s="29"/>
      <c r="AC1016" s="29"/>
      <c r="AD1016" s="29"/>
      <c r="AE1016" s="29"/>
      <c r="AF1016" s="29"/>
      <c r="AG1016" s="29"/>
      <c r="AH1016" s="30"/>
      <c r="AI1016" s="31"/>
      <c r="AJ1016" s="28"/>
      <c r="AK1016" s="32"/>
      <c r="AL1016" s="32"/>
      <c r="AM1016" s="32"/>
      <c r="AN1016" s="32"/>
      <c r="AO1016" s="28"/>
      <c r="AP1016" s="29"/>
    </row>
    <row r="1017">
      <c r="A1017" s="115"/>
      <c r="B1017" s="116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O1017" s="116"/>
      <c r="Q1017" s="116"/>
      <c r="T1017" s="114"/>
      <c r="Y1017" s="118"/>
      <c r="Z1017" s="28"/>
      <c r="AA1017" s="28"/>
      <c r="AB1017" s="28"/>
      <c r="AC1017" s="28"/>
      <c r="AD1017" s="29"/>
      <c r="AE1017" s="29"/>
      <c r="AF1017" s="29"/>
      <c r="AG1017" s="29"/>
      <c r="AH1017" s="30"/>
      <c r="AI1017" s="31"/>
      <c r="AJ1017" s="28"/>
      <c r="AK1017" s="32"/>
      <c r="AL1017" s="32"/>
      <c r="AM1017" s="32"/>
      <c r="AN1017" s="32"/>
      <c r="AO1017" s="28"/>
      <c r="AP1017" s="29"/>
    </row>
    <row r="1018">
      <c r="A1018" s="115"/>
      <c r="B1018" s="116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O1018" s="116"/>
      <c r="Q1018" s="116"/>
      <c r="T1018" s="114"/>
      <c r="Y1018" s="118"/>
      <c r="Z1018" s="28"/>
      <c r="AA1018" s="28"/>
      <c r="AB1018" s="29"/>
      <c r="AC1018" s="29"/>
      <c r="AD1018" s="29"/>
      <c r="AE1018" s="29"/>
      <c r="AF1018" s="29"/>
      <c r="AG1018" s="29"/>
      <c r="AH1018" s="30"/>
      <c r="AI1018" s="31"/>
      <c r="AJ1018" s="28"/>
      <c r="AK1018" s="32"/>
      <c r="AL1018" s="32"/>
      <c r="AM1018" s="32"/>
      <c r="AN1018" s="32"/>
      <c r="AO1018" s="28"/>
      <c r="AP1018" s="29"/>
    </row>
    <row r="1019">
      <c r="A1019" s="115"/>
      <c r="B1019" s="116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O1019" s="116"/>
      <c r="Q1019" s="116"/>
      <c r="T1019" s="114"/>
      <c r="Y1019" s="118"/>
      <c r="Z1019" s="28"/>
      <c r="AA1019" s="28"/>
      <c r="AB1019" s="28"/>
      <c r="AC1019" s="28"/>
      <c r="AD1019" s="28"/>
      <c r="AE1019" s="29"/>
      <c r="AF1019" s="29"/>
      <c r="AG1019" s="29"/>
      <c r="AH1019" s="30"/>
      <c r="AI1019" s="31"/>
      <c r="AJ1019" s="28"/>
      <c r="AK1019" s="32"/>
      <c r="AL1019" s="32"/>
      <c r="AM1019" s="32"/>
      <c r="AN1019" s="32"/>
      <c r="AO1019" s="28"/>
      <c r="AP1019" s="29"/>
    </row>
    <row r="1020">
      <c r="A1020" s="115"/>
      <c r="B1020" s="116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O1020" s="116"/>
      <c r="Q1020" s="116"/>
      <c r="T1020" s="114"/>
      <c r="Y1020" s="118"/>
      <c r="Z1020" s="28"/>
      <c r="AA1020" s="28"/>
      <c r="AB1020" s="28"/>
      <c r="AC1020" s="28"/>
      <c r="AD1020" s="28"/>
      <c r="AE1020" s="29"/>
      <c r="AF1020" s="29"/>
      <c r="AG1020" s="29"/>
      <c r="AH1020" s="30"/>
      <c r="AI1020" s="31"/>
      <c r="AJ1020" s="28"/>
      <c r="AK1020" s="32"/>
      <c r="AL1020" s="32"/>
      <c r="AM1020" s="32"/>
      <c r="AN1020" s="32"/>
      <c r="AO1020" s="28"/>
      <c r="AP1020" s="29"/>
    </row>
    <row r="1021">
      <c r="A1021" s="115"/>
      <c r="B1021" s="116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O1021" s="116"/>
      <c r="Q1021" s="116"/>
      <c r="T1021" s="114"/>
      <c r="Y1021" s="118"/>
      <c r="Z1021" s="28"/>
      <c r="AA1021" s="28"/>
      <c r="AB1021" s="28"/>
      <c r="AC1021" s="28"/>
      <c r="AD1021" s="28"/>
      <c r="AE1021" s="29"/>
      <c r="AF1021" s="29"/>
      <c r="AG1021" s="29"/>
      <c r="AH1021" s="30"/>
      <c r="AI1021" s="31"/>
      <c r="AJ1021" s="28"/>
      <c r="AK1021" s="28"/>
      <c r="AL1021" s="32"/>
      <c r="AM1021" s="32"/>
      <c r="AN1021" s="32"/>
      <c r="AO1021" s="28"/>
      <c r="AP1021" s="29"/>
    </row>
    <row r="1022">
      <c r="A1022" s="115"/>
      <c r="B1022" s="116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O1022" s="116"/>
      <c r="Q1022" s="116"/>
      <c r="T1022" s="114"/>
      <c r="Y1022" s="118"/>
      <c r="Z1022" s="28"/>
      <c r="AA1022" s="28"/>
      <c r="AB1022" s="28"/>
      <c r="AC1022" s="28"/>
      <c r="AD1022" s="29"/>
      <c r="AE1022" s="29"/>
      <c r="AF1022" s="29"/>
      <c r="AG1022" s="29"/>
      <c r="AH1022" s="30"/>
      <c r="AI1022" s="31"/>
      <c r="AJ1022" s="28"/>
      <c r="AK1022" s="28"/>
      <c r="AL1022" s="28"/>
      <c r="AM1022" s="28"/>
      <c r="AN1022" s="32"/>
      <c r="AO1022" s="28"/>
      <c r="AP1022" s="29"/>
    </row>
    <row r="1023">
      <c r="A1023" s="115"/>
      <c r="B1023" s="116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O1023" s="116"/>
      <c r="Q1023" s="116"/>
      <c r="T1023" s="114"/>
      <c r="Y1023" s="118"/>
      <c r="Z1023" s="28"/>
      <c r="AA1023" s="28"/>
      <c r="AB1023" s="28"/>
      <c r="AC1023" s="29"/>
      <c r="AD1023" s="29"/>
      <c r="AE1023" s="29"/>
      <c r="AF1023" s="29"/>
      <c r="AG1023" s="29"/>
      <c r="AH1023" s="30"/>
      <c r="AI1023" s="31"/>
      <c r="AJ1023" s="28"/>
      <c r="AK1023" s="32"/>
      <c r="AL1023" s="32"/>
      <c r="AM1023" s="32"/>
      <c r="AN1023" s="32"/>
      <c r="AO1023" s="28"/>
      <c r="AP1023" s="29"/>
    </row>
    <row r="1024">
      <c r="A1024" s="115"/>
      <c r="B1024" s="116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O1024" s="116"/>
      <c r="Q1024" s="116"/>
      <c r="T1024" s="114"/>
      <c r="Y1024" s="118"/>
      <c r="Z1024" s="28"/>
      <c r="AA1024" s="28"/>
      <c r="AB1024" s="28"/>
      <c r="AC1024" s="28"/>
      <c r="AD1024" s="29"/>
      <c r="AE1024" s="29"/>
      <c r="AF1024" s="29"/>
      <c r="AG1024" s="29"/>
      <c r="AH1024" s="30"/>
      <c r="AI1024" s="39"/>
      <c r="AJ1024" s="32"/>
      <c r="AK1024" s="32"/>
      <c r="AL1024" s="32"/>
      <c r="AM1024" s="32"/>
      <c r="AN1024" s="32"/>
      <c r="AO1024" s="28"/>
      <c r="AP1024" s="29"/>
    </row>
    <row r="1025">
      <c r="A1025" s="115"/>
      <c r="B1025" s="116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O1025" s="116"/>
      <c r="Q1025" s="116"/>
      <c r="T1025" s="114"/>
      <c r="Y1025" s="118"/>
      <c r="Z1025" s="28"/>
      <c r="AA1025" s="28"/>
      <c r="AB1025" s="28"/>
      <c r="AC1025" s="28"/>
      <c r="AD1025" s="29"/>
      <c r="AE1025" s="29"/>
      <c r="AF1025" s="29"/>
      <c r="AG1025" s="29"/>
      <c r="AH1025" s="30"/>
      <c r="AI1025" s="31"/>
      <c r="AJ1025" s="28"/>
      <c r="AK1025" s="32"/>
      <c r="AL1025" s="32"/>
      <c r="AM1025" s="32"/>
      <c r="AN1025" s="32"/>
      <c r="AO1025" s="28"/>
      <c r="AP1025" s="29"/>
    </row>
    <row r="1026">
      <c r="A1026" s="115"/>
      <c r="B1026" s="116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O1026" s="116"/>
      <c r="Q1026" s="116"/>
      <c r="T1026" s="114"/>
      <c r="Y1026" s="118"/>
      <c r="Z1026" s="28"/>
      <c r="AA1026" s="28"/>
      <c r="AB1026" s="28"/>
      <c r="AC1026" s="28"/>
      <c r="AD1026" s="29"/>
      <c r="AE1026" s="29"/>
      <c r="AF1026" s="29"/>
      <c r="AG1026" s="29"/>
      <c r="AH1026" s="30"/>
      <c r="AI1026" s="31"/>
      <c r="AJ1026" s="28"/>
      <c r="AK1026" s="32"/>
      <c r="AL1026" s="32"/>
      <c r="AM1026" s="32"/>
      <c r="AN1026" s="32"/>
      <c r="AO1026" s="28"/>
      <c r="AP1026" s="29"/>
    </row>
    <row r="1027">
      <c r="A1027" s="115"/>
      <c r="B1027" s="116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O1027" s="116"/>
      <c r="Q1027" s="116"/>
      <c r="T1027" s="114"/>
      <c r="Y1027" s="118"/>
      <c r="Z1027" s="28"/>
      <c r="AA1027" s="28"/>
      <c r="AB1027" s="28"/>
      <c r="AC1027" s="29"/>
      <c r="AD1027" s="29"/>
      <c r="AE1027" s="29"/>
      <c r="AF1027" s="29"/>
      <c r="AG1027" s="29"/>
      <c r="AH1027" s="30"/>
      <c r="AI1027" s="31"/>
      <c r="AJ1027" s="28"/>
      <c r="AK1027" s="32"/>
      <c r="AL1027" s="32"/>
      <c r="AM1027" s="32"/>
      <c r="AN1027" s="32"/>
      <c r="AO1027" s="28"/>
      <c r="AP1027" s="29"/>
    </row>
    <row r="1028">
      <c r="A1028" s="115"/>
      <c r="B1028" s="116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O1028" s="116"/>
      <c r="Q1028" s="116"/>
      <c r="T1028" s="114"/>
      <c r="Y1028" s="118"/>
      <c r="Z1028" s="28"/>
      <c r="AA1028" s="28"/>
      <c r="AB1028" s="28"/>
      <c r="AC1028" s="29"/>
      <c r="AD1028" s="29"/>
      <c r="AE1028" s="29"/>
      <c r="AF1028" s="29"/>
      <c r="AG1028" s="29"/>
      <c r="AH1028" s="30"/>
      <c r="AI1028" s="31"/>
      <c r="AJ1028" s="28"/>
      <c r="AK1028" s="28"/>
      <c r="AL1028" s="28"/>
      <c r="AM1028" s="28"/>
      <c r="AN1028" s="28"/>
      <c r="AO1028" s="28"/>
      <c r="AP1028" s="29"/>
    </row>
    <row r="1029">
      <c r="A1029" s="115"/>
      <c r="B1029" s="116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O1029" s="116"/>
      <c r="Q1029" s="116"/>
      <c r="T1029" s="114"/>
      <c r="Y1029" s="118"/>
      <c r="Z1029" s="28"/>
      <c r="AA1029" s="28"/>
      <c r="AB1029" s="28"/>
      <c r="AC1029" s="28"/>
      <c r="AD1029" s="29"/>
      <c r="AE1029" s="29"/>
      <c r="AF1029" s="29"/>
      <c r="AG1029" s="29"/>
      <c r="AH1029" s="30"/>
      <c r="AI1029" s="31"/>
      <c r="AJ1029" s="28"/>
      <c r="AK1029" s="28"/>
      <c r="AL1029" s="28"/>
      <c r="AM1029" s="28"/>
      <c r="AN1029" s="28"/>
      <c r="AO1029" s="28"/>
      <c r="AP1029" s="29"/>
    </row>
    <row r="1030">
      <c r="A1030" s="115"/>
      <c r="B1030" s="116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O1030" s="116"/>
      <c r="Q1030" s="116"/>
      <c r="T1030" s="114"/>
      <c r="Y1030" s="118"/>
      <c r="Z1030" s="28"/>
      <c r="AA1030" s="28"/>
      <c r="AB1030" s="28"/>
      <c r="AC1030" s="28"/>
      <c r="AD1030" s="28"/>
      <c r="AE1030" s="29"/>
      <c r="AF1030" s="29"/>
      <c r="AG1030" s="29"/>
      <c r="AH1030" s="30"/>
      <c r="AI1030" s="31"/>
      <c r="AJ1030" s="28"/>
      <c r="AK1030" s="28"/>
      <c r="AL1030" s="32"/>
      <c r="AM1030" s="32"/>
      <c r="AN1030" s="32"/>
      <c r="AO1030" s="28"/>
      <c r="AP1030" s="29"/>
    </row>
    <row r="1031">
      <c r="A1031" s="115"/>
      <c r="B1031" s="116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O1031" s="116"/>
      <c r="Q1031" s="116"/>
      <c r="T1031" s="114"/>
      <c r="Y1031" s="118"/>
      <c r="Z1031" s="28"/>
      <c r="AA1031" s="28"/>
      <c r="AB1031" s="28"/>
      <c r="AC1031" s="28"/>
      <c r="AD1031" s="28"/>
      <c r="AE1031" s="29"/>
      <c r="AF1031" s="29"/>
      <c r="AG1031" s="29"/>
      <c r="AH1031" s="30"/>
      <c r="AI1031" s="31"/>
      <c r="AJ1031" s="28"/>
      <c r="AK1031" s="32"/>
      <c r="AL1031" s="32"/>
      <c r="AM1031" s="32"/>
      <c r="AN1031" s="32"/>
      <c r="AO1031" s="28"/>
      <c r="AP1031" s="29"/>
    </row>
    <row r="1032">
      <c r="A1032" s="115"/>
      <c r="B1032" s="116"/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O1032" s="116"/>
      <c r="Q1032" s="116"/>
      <c r="T1032" s="114"/>
      <c r="Y1032" s="118"/>
      <c r="Z1032" s="28"/>
      <c r="AA1032" s="28"/>
      <c r="AB1032" s="28"/>
      <c r="AC1032" s="28"/>
      <c r="AD1032" s="29"/>
      <c r="AE1032" s="29"/>
      <c r="AF1032" s="29"/>
      <c r="AG1032" s="29"/>
      <c r="AH1032" s="30"/>
      <c r="AI1032" s="31"/>
      <c r="AJ1032" s="28"/>
      <c r="AK1032" s="32"/>
      <c r="AL1032" s="32"/>
      <c r="AM1032" s="32"/>
      <c r="AN1032" s="32"/>
      <c r="AO1032" s="28"/>
      <c r="AP1032" s="29"/>
    </row>
    <row r="1033">
      <c r="A1033" s="115"/>
      <c r="B1033" s="116"/>
      <c r="C1033" s="115"/>
      <c r="D1033" s="115"/>
      <c r="E1033" s="115"/>
      <c r="F1033" s="115"/>
      <c r="G1033" s="115"/>
      <c r="H1033" s="115"/>
      <c r="I1033" s="115"/>
      <c r="J1033" s="115"/>
      <c r="K1033" s="115"/>
      <c r="L1033" s="115"/>
      <c r="O1033" s="116"/>
      <c r="Q1033" s="116"/>
      <c r="T1033" s="114"/>
      <c r="Y1033" s="118"/>
      <c r="Z1033" s="28"/>
      <c r="AA1033" s="28"/>
      <c r="AB1033" s="28"/>
      <c r="AC1033" s="28"/>
      <c r="AD1033" s="28"/>
      <c r="AE1033" s="29"/>
      <c r="AF1033" s="29"/>
      <c r="AG1033" s="29"/>
      <c r="AH1033" s="30"/>
      <c r="AI1033" s="31"/>
      <c r="AJ1033" s="28"/>
      <c r="AK1033" s="32"/>
      <c r="AL1033" s="32"/>
      <c r="AM1033" s="32"/>
      <c r="AN1033" s="32"/>
      <c r="AO1033" s="28"/>
      <c r="AP1033" s="29"/>
    </row>
    <row r="1034">
      <c r="A1034" s="115"/>
      <c r="B1034" s="116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O1034" s="116"/>
      <c r="Q1034" s="116"/>
      <c r="T1034" s="114"/>
      <c r="Y1034" s="118"/>
      <c r="Z1034" s="28"/>
      <c r="AA1034" s="28"/>
      <c r="AB1034" s="28"/>
      <c r="AC1034" s="29"/>
      <c r="AD1034" s="29"/>
      <c r="AE1034" s="29"/>
      <c r="AF1034" s="29"/>
      <c r="AG1034" s="29"/>
      <c r="AH1034" s="30"/>
      <c r="AI1034" s="31"/>
      <c r="AJ1034" s="28"/>
      <c r="AK1034" s="32"/>
      <c r="AL1034" s="32"/>
      <c r="AM1034" s="32"/>
      <c r="AN1034" s="32"/>
      <c r="AO1034" s="28"/>
      <c r="AP1034" s="29"/>
    </row>
    <row r="1035">
      <c r="A1035" s="115"/>
      <c r="B1035" s="116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O1035" s="116"/>
      <c r="Q1035" s="116"/>
      <c r="T1035" s="114"/>
      <c r="Y1035" s="118"/>
      <c r="Z1035" s="28"/>
      <c r="AA1035" s="28"/>
      <c r="AB1035" s="29"/>
      <c r="AC1035" s="29"/>
      <c r="AD1035" s="29"/>
      <c r="AE1035" s="29"/>
      <c r="AF1035" s="29"/>
      <c r="AG1035" s="29"/>
      <c r="AH1035" s="30"/>
      <c r="AI1035" s="31"/>
      <c r="AJ1035" s="28"/>
      <c r="AK1035" s="28"/>
      <c r="AL1035" s="32"/>
      <c r="AM1035" s="32"/>
      <c r="AN1035" s="32"/>
      <c r="AO1035" s="28"/>
      <c r="AP1035" s="29"/>
    </row>
    <row r="1036">
      <c r="A1036" s="115"/>
      <c r="B1036" s="116"/>
      <c r="C1036" s="115"/>
      <c r="D1036" s="115"/>
      <c r="E1036" s="115"/>
      <c r="F1036" s="115"/>
      <c r="G1036" s="115"/>
      <c r="H1036" s="115"/>
      <c r="I1036" s="115"/>
      <c r="J1036" s="115"/>
      <c r="K1036" s="115"/>
      <c r="L1036" s="115"/>
      <c r="O1036" s="116"/>
      <c r="Q1036" s="116"/>
      <c r="T1036" s="114"/>
      <c r="Y1036" s="118"/>
      <c r="Z1036" s="28"/>
      <c r="AA1036" s="28"/>
      <c r="AB1036" s="28"/>
      <c r="AC1036" s="28"/>
      <c r="AD1036" s="29"/>
      <c r="AE1036" s="29"/>
      <c r="AF1036" s="29"/>
      <c r="AG1036" s="29"/>
      <c r="AH1036" s="119"/>
      <c r="AI1036" s="31"/>
      <c r="AJ1036" s="28"/>
      <c r="AK1036" s="28"/>
      <c r="AL1036" s="28"/>
      <c r="AM1036" s="28"/>
      <c r="AN1036" s="32"/>
      <c r="AO1036" s="32"/>
      <c r="AP1036" s="29"/>
    </row>
    <row r="1037">
      <c r="A1037" s="115"/>
      <c r="B1037" s="116"/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O1037" s="116"/>
      <c r="Q1037" s="116"/>
      <c r="T1037" s="114"/>
      <c r="Y1037" s="118"/>
      <c r="Z1037" s="28"/>
      <c r="AA1037" s="28"/>
      <c r="AB1037" s="28"/>
      <c r="AC1037" s="29"/>
      <c r="AD1037" s="29"/>
      <c r="AE1037" s="29"/>
      <c r="AF1037" s="29"/>
      <c r="AG1037" s="29"/>
      <c r="AH1037" s="30"/>
      <c r="AI1037" s="31"/>
      <c r="AJ1037" s="28"/>
      <c r="AK1037" s="32"/>
      <c r="AL1037" s="32"/>
      <c r="AM1037" s="32"/>
      <c r="AN1037" s="32"/>
      <c r="AO1037" s="28"/>
      <c r="AP1037" s="29"/>
    </row>
    <row r="1038">
      <c r="A1038" s="115"/>
      <c r="B1038" s="116"/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O1038" s="116"/>
      <c r="Q1038" s="116"/>
      <c r="T1038" s="114"/>
      <c r="Y1038" s="118"/>
      <c r="Z1038" s="28"/>
      <c r="AA1038" s="28"/>
      <c r="AB1038" s="28"/>
      <c r="AC1038" s="28"/>
      <c r="AD1038" s="29"/>
      <c r="AE1038" s="29"/>
      <c r="AF1038" s="29"/>
      <c r="AG1038" s="29"/>
      <c r="AH1038" s="30"/>
      <c r="AI1038" s="31"/>
      <c r="AJ1038" s="28"/>
      <c r="AK1038" s="28"/>
      <c r="AL1038" s="28"/>
      <c r="AM1038" s="32"/>
      <c r="AN1038" s="32"/>
      <c r="AO1038" s="28"/>
      <c r="AP1038" s="29"/>
    </row>
    <row r="1039">
      <c r="A1039" s="115"/>
      <c r="B1039" s="116"/>
      <c r="C1039" s="115"/>
      <c r="D1039" s="115"/>
      <c r="E1039" s="115"/>
      <c r="F1039" s="115"/>
      <c r="G1039" s="115"/>
      <c r="H1039" s="115"/>
      <c r="I1039" s="115"/>
      <c r="J1039" s="115"/>
      <c r="K1039" s="115"/>
      <c r="L1039" s="115"/>
      <c r="O1039" s="116"/>
      <c r="Q1039" s="116"/>
      <c r="T1039" s="114"/>
      <c r="Y1039" s="118"/>
      <c r="Z1039" s="28"/>
      <c r="AA1039" s="28"/>
      <c r="AB1039" s="28"/>
      <c r="AC1039" s="28"/>
      <c r="AD1039" s="29"/>
      <c r="AE1039" s="29"/>
      <c r="AF1039" s="29"/>
      <c r="AG1039" s="29"/>
      <c r="AH1039" s="30"/>
      <c r="AI1039" s="31"/>
      <c r="AJ1039" s="28"/>
      <c r="AK1039" s="28"/>
      <c r="AL1039" s="28"/>
      <c r="AM1039" s="28"/>
      <c r="AN1039" s="32"/>
      <c r="AO1039" s="28"/>
      <c r="AP1039" s="29"/>
    </row>
    <row r="1040">
      <c r="A1040" s="115"/>
      <c r="B1040" s="116"/>
      <c r="C1040" s="115"/>
      <c r="D1040" s="115"/>
      <c r="E1040" s="115"/>
      <c r="F1040" s="115"/>
      <c r="G1040" s="115"/>
      <c r="H1040" s="115"/>
      <c r="I1040" s="115"/>
      <c r="J1040" s="115"/>
      <c r="K1040" s="115"/>
      <c r="L1040" s="115"/>
      <c r="O1040" s="116"/>
      <c r="Q1040" s="116"/>
      <c r="T1040" s="114"/>
      <c r="Y1040" s="118"/>
      <c r="Z1040" s="28"/>
      <c r="AA1040" s="28"/>
      <c r="AB1040" s="28"/>
      <c r="AC1040" s="28"/>
      <c r="AD1040" s="29"/>
      <c r="AE1040" s="29"/>
      <c r="AF1040" s="29"/>
      <c r="AG1040" s="29"/>
      <c r="AH1040" s="30"/>
      <c r="AI1040" s="31"/>
      <c r="AJ1040" s="28"/>
      <c r="AK1040" s="28"/>
      <c r="AL1040" s="28"/>
      <c r="AM1040" s="32"/>
      <c r="AN1040" s="32"/>
      <c r="AO1040" s="32"/>
      <c r="AP1040" s="29"/>
    </row>
    <row r="1041">
      <c r="A1041" s="115"/>
      <c r="B1041" s="116"/>
      <c r="C1041" s="115"/>
      <c r="D1041" s="115"/>
      <c r="E1041" s="115"/>
      <c r="F1041" s="115"/>
      <c r="G1041" s="115"/>
      <c r="H1041" s="115"/>
      <c r="I1041" s="115"/>
      <c r="J1041" s="115"/>
      <c r="K1041" s="115"/>
      <c r="L1041" s="115"/>
      <c r="O1041" s="116"/>
      <c r="Q1041" s="116"/>
      <c r="T1041" s="114"/>
      <c r="Y1041" s="118"/>
      <c r="Z1041" s="28"/>
      <c r="AA1041" s="28"/>
      <c r="AB1041" s="28"/>
      <c r="AC1041" s="29"/>
      <c r="AD1041" s="29"/>
      <c r="AE1041" s="29"/>
      <c r="AF1041" s="29"/>
      <c r="AG1041" s="29"/>
      <c r="AH1041" s="30"/>
      <c r="AI1041" s="31"/>
      <c r="AJ1041" s="28"/>
      <c r="AK1041" s="32"/>
      <c r="AL1041" s="32"/>
      <c r="AM1041" s="32"/>
      <c r="AN1041" s="32"/>
      <c r="AO1041" s="32"/>
      <c r="AP1041" s="29"/>
    </row>
    <row r="1042">
      <c r="A1042" s="115"/>
      <c r="B1042" s="116"/>
      <c r="C1042" s="115"/>
      <c r="D1042" s="115"/>
      <c r="E1042" s="115"/>
      <c r="F1042" s="115"/>
      <c r="G1042" s="115"/>
      <c r="H1042" s="115"/>
      <c r="I1042" s="115"/>
      <c r="J1042" s="115"/>
      <c r="K1042" s="115"/>
      <c r="L1042" s="115"/>
      <c r="O1042" s="116"/>
      <c r="Q1042" s="116"/>
      <c r="T1042" s="114"/>
      <c r="Y1042" s="118"/>
      <c r="Z1042" s="28"/>
      <c r="AA1042" s="28"/>
      <c r="AB1042" s="29"/>
      <c r="AC1042" s="29"/>
      <c r="AD1042" s="29"/>
      <c r="AE1042" s="29"/>
      <c r="AF1042" s="29"/>
      <c r="AG1042" s="29"/>
      <c r="AH1042" s="30"/>
      <c r="AI1042" s="31"/>
      <c r="AJ1042" s="28"/>
      <c r="AK1042" s="28"/>
      <c r="AL1042" s="28"/>
      <c r="AM1042" s="28"/>
      <c r="AN1042" s="32"/>
      <c r="AO1042" s="28"/>
      <c r="AP1042" s="29"/>
    </row>
    <row r="1043">
      <c r="A1043" s="115"/>
      <c r="B1043" s="116"/>
      <c r="C1043" s="115"/>
      <c r="D1043" s="115"/>
      <c r="E1043" s="115"/>
      <c r="F1043" s="115"/>
      <c r="G1043" s="115"/>
      <c r="H1043" s="115"/>
      <c r="I1043" s="115"/>
      <c r="J1043" s="115"/>
      <c r="K1043" s="115"/>
      <c r="L1043" s="115"/>
      <c r="O1043" s="116"/>
      <c r="Q1043" s="116"/>
      <c r="T1043" s="114"/>
      <c r="Y1043" s="118"/>
      <c r="Z1043" s="28"/>
      <c r="AA1043" s="28"/>
      <c r="AB1043" s="28"/>
      <c r="AC1043" s="28"/>
      <c r="AD1043" s="28"/>
      <c r="AE1043" s="29"/>
      <c r="AF1043" s="29"/>
      <c r="AG1043" s="29"/>
      <c r="AH1043" s="30"/>
      <c r="AI1043" s="31"/>
      <c r="AJ1043" s="28"/>
      <c r="AK1043" s="32"/>
      <c r="AL1043" s="32"/>
      <c r="AM1043" s="32"/>
      <c r="AN1043" s="32"/>
      <c r="AO1043" s="28"/>
      <c r="AP1043" s="29"/>
    </row>
    <row r="1044">
      <c r="A1044" s="115"/>
      <c r="B1044" s="116"/>
      <c r="C1044" s="115"/>
      <c r="D1044" s="115"/>
      <c r="E1044" s="115"/>
      <c r="F1044" s="115"/>
      <c r="G1044" s="115"/>
      <c r="H1044" s="115"/>
      <c r="I1044" s="115"/>
      <c r="J1044" s="115"/>
      <c r="K1044" s="115"/>
      <c r="L1044" s="115"/>
      <c r="O1044" s="116"/>
      <c r="Q1044" s="116"/>
      <c r="T1044" s="114"/>
      <c r="Y1044" s="118"/>
      <c r="Z1044" s="28"/>
      <c r="AA1044" s="28"/>
      <c r="AB1044" s="28"/>
      <c r="AC1044" s="29"/>
      <c r="AD1044" s="29"/>
      <c r="AE1044" s="29"/>
      <c r="AF1044" s="29"/>
      <c r="AG1044" s="29"/>
      <c r="AH1044" s="30"/>
      <c r="AI1044" s="31"/>
      <c r="AJ1044" s="28"/>
      <c r="AK1044" s="32"/>
      <c r="AL1044" s="32"/>
      <c r="AM1044" s="32"/>
      <c r="AN1044" s="32"/>
      <c r="AO1044" s="28"/>
      <c r="AP1044" s="29"/>
    </row>
    <row r="1045">
      <c r="A1045" s="115"/>
      <c r="B1045" s="116"/>
      <c r="C1045" s="115"/>
      <c r="D1045" s="115"/>
      <c r="E1045" s="115"/>
      <c r="F1045" s="115"/>
      <c r="G1045" s="115"/>
      <c r="H1045" s="115"/>
      <c r="I1045" s="115"/>
      <c r="J1045" s="115"/>
      <c r="K1045" s="115"/>
      <c r="L1045" s="115"/>
      <c r="O1045" s="116"/>
      <c r="Q1045" s="116"/>
      <c r="T1045" s="114"/>
      <c r="Y1045" s="118"/>
      <c r="Z1045" s="28"/>
      <c r="AA1045" s="28"/>
      <c r="AB1045" s="28"/>
      <c r="AC1045" s="28"/>
      <c r="AD1045" s="28"/>
      <c r="AE1045" s="29"/>
      <c r="AF1045" s="29"/>
      <c r="AG1045" s="29"/>
      <c r="AH1045" s="30"/>
      <c r="AI1045" s="31"/>
      <c r="AJ1045" s="28"/>
      <c r="AK1045" s="32"/>
      <c r="AL1045" s="32"/>
      <c r="AM1045" s="32"/>
      <c r="AN1045" s="32"/>
      <c r="AO1045" s="28"/>
      <c r="AP1045" s="29"/>
    </row>
    <row r="1046">
      <c r="A1046" s="115"/>
      <c r="B1046" s="116"/>
      <c r="C1046" s="115"/>
      <c r="D1046" s="115"/>
      <c r="E1046" s="115"/>
      <c r="F1046" s="115"/>
      <c r="G1046" s="115"/>
      <c r="H1046" s="115"/>
      <c r="I1046" s="115"/>
      <c r="J1046" s="115"/>
      <c r="K1046" s="115"/>
      <c r="L1046" s="115"/>
      <c r="O1046" s="116"/>
      <c r="Q1046" s="116"/>
      <c r="T1046" s="114"/>
      <c r="Y1046" s="118"/>
      <c r="Z1046" s="28"/>
      <c r="AA1046" s="28"/>
      <c r="AB1046" s="28"/>
      <c r="AC1046" s="29"/>
      <c r="AD1046" s="29"/>
      <c r="AE1046" s="29"/>
      <c r="AF1046" s="29"/>
      <c r="AG1046" s="29"/>
      <c r="AH1046" s="30"/>
      <c r="AI1046" s="31"/>
      <c r="AJ1046" s="28"/>
      <c r="AK1046" s="32"/>
      <c r="AL1046" s="32"/>
      <c r="AM1046" s="32"/>
      <c r="AN1046" s="32"/>
      <c r="AO1046" s="28"/>
      <c r="AP1046" s="29"/>
    </row>
    <row r="1047">
      <c r="A1047" s="115"/>
      <c r="B1047" s="116"/>
      <c r="C1047" s="115"/>
      <c r="D1047" s="115"/>
      <c r="E1047" s="115"/>
      <c r="F1047" s="115"/>
      <c r="G1047" s="115"/>
      <c r="H1047" s="115"/>
      <c r="I1047" s="115"/>
      <c r="J1047" s="115"/>
      <c r="K1047" s="115"/>
      <c r="L1047" s="115"/>
      <c r="O1047" s="116"/>
      <c r="Q1047" s="116"/>
      <c r="T1047" s="114"/>
      <c r="Y1047" s="118"/>
      <c r="Z1047" s="28"/>
      <c r="AA1047" s="28"/>
      <c r="AB1047" s="28"/>
      <c r="AC1047" s="28"/>
      <c r="AD1047" s="29"/>
      <c r="AE1047" s="29"/>
      <c r="AF1047" s="29"/>
      <c r="AG1047" s="29"/>
      <c r="AH1047" s="30"/>
      <c r="AI1047" s="31"/>
      <c r="AJ1047" s="28"/>
      <c r="AK1047" s="29"/>
      <c r="AL1047" s="29"/>
      <c r="AM1047" s="29"/>
      <c r="AN1047" s="29"/>
      <c r="AO1047" s="28"/>
      <c r="AP1047" s="29"/>
    </row>
    <row r="1048">
      <c r="A1048" s="115"/>
      <c r="B1048" s="116"/>
      <c r="C1048" s="115"/>
      <c r="D1048" s="115"/>
      <c r="E1048" s="115"/>
      <c r="F1048" s="115"/>
      <c r="G1048" s="115"/>
      <c r="H1048" s="115"/>
      <c r="I1048" s="115"/>
      <c r="J1048" s="115"/>
      <c r="K1048" s="115"/>
      <c r="L1048" s="115"/>
      <c r="O1048" s="116"/>
      <c r="Q1048" s="116"/>
      <c r="T1048" s="114"/>
      <c r="Y1048" s="118"/>
      <c r="Z1048" s="28"/>
      <c r="AA1048" s="28"/>
      <c r="AB1048" s="28"/>
      <c r="AC1048" s="29"/>
      <c r="AD1048" s="29"/>
      <c r="AE1048" s="29"/>
      <c r="AF1048" s="29"/>
      <c r="AG1048" s="29"/>
      <c r="AH1048" s="30"/>
      <c r="AI1048" s="31"/>
      <c r="AJ1048" s="28"/>
      <c r="AK1048" s="32"/>
      <c r="AL1048" s="32"/>
      <c r="AM1048" s="32"/>
      <c r="AN1048" s="32"/>
      <c r="AO1048" s="28"/>
      <c r="AP1048" s="29"/>
    </row>
    <row r="1049">
      <c r="A1049" s="115"/>
      <c r="B1049" s="116"/>
      <c r="C1049" s="115"/>
      <c r="D1049" s="115"/>
      <c r="E1049" s="115"/>
      <c r="F1049" s="115"/>
      <c r="G1049" s="115"/>
      <c r="H1049" s="115"/>
      <c r="I1049" s="115"/>
      <c r="J1049" s="115"/>
      <c r="K1049" s="115"/>
      <c r="L1049" s="115"/>
      <c r="O1049" s="116"/>
      <c r="Q1049" s="116"/>
      <c r="T1049" s="114"/>
      <c r="Y1049" s="118"/>
      <c r="Z1049" s="28"/>
      <c r="AA1049" s="28"/>
      <c r="AB1049" s="29"/>
      <c r="AC1049" s="29"/>
      <c r="AD1049" s="29"/>
      <c r="AE1049" s="29"/>
      <c r="AF1049" s="29"/>
      <c r="AG1049" s="29"/>
      <c r="AH1049" s="30"/>
      <c r="AI1049" s="39"/>
      <c r="AJ1049" s="28"/>
      <c r="AK1049" s="32"/>
      <c r="AL1049" s="32"/>
      <c r="AM1049" s="32"/>
      <c r="AN1049" s="32"/>
      <c r="AO1049" s="28"/>
      <c r="AP1049" s="29"/>
    </row>
    <row r="1050">
      <c r="A1050" s="115"/>
      <c r="B1050" s="116"/>
      <c r="C1050" s="115"/>
      <c r="D1050" s="115"/>
      <c r="E1050" s="115"/>
      <c r="F1050" s="115"/>
      <c r="G1050" s="115"/>
      <c r="H1050" s="115"/>
      <c r="I1050" s="115"/>
      <c r="J1050" s="115"/>
      <c r="K1050" s="115"/>
      <c r="L1050" s="115"/>
      <c r="O1050" s="116"/>
      <c r="Q1050" s="116"/>
      <c r="T1050" s="114"/>
      <c r="Y1050" s="118"/>
      <c r="Z1050" s="28"/>
      <c r="AA1050" s="28"/>
      <c r="AB1050" s="28"/>
      <c r="AC1050" s="28"/>
      <c r="AD1050" s="29"/>
      <c r="AE1050" s="29"/>
      <c r="AF1050" s="29"/>
      <c r="AG1050" s="29"/>
      <c r="AH1050" s="30"/>
      <c r="AI1050" s="31"/>
      <c r="AJ1050" s="28"/>
      <c r="AK1050" s="28"/>
      <c r="AL1050" s="32"/>
      <c r="AM1050" s="32"/>
      <c r="AN1050" s="32"/>
      <c r="AO1050" s="28"/>
      <c r="AP1050" s="29"/>
    </row>
    <row r="1051">
      <c r="A1051" s="115"/>
      <c r="B1051" s="116"/>
      <c r="C1051" s="115"/>
      <c r="D1051" s="115"/>
      <c r="E1051" s="115"/>
      <c r="F1051" s="115"/>
      <c r="G1051" s="115"/>
      <c r="H1051" s="115"/>
      <c r="I1051" s="115"/>
      <c r="J1051" s="115"/>
      <c r="K1051" s="115"/>
      <c r="L1051" s="115"/>
      <c r="O1051" s="116"/>
      <c r="Q1051" s="116"/>
      <c r="T1051" s="114"/>
      <c r="Y1051" s="118"/>
      <c r="Z1051" s="28"/>
      <c r="AA1051" s="28"/>
      <c r="AB1051" s="29"/>
      <c r="AC1051" s="29"/>
      <c r="AD1051" s="29"/>
      <c r="AE1051" s="29"/>
      <c r="AF1051" s="29"/>
      <c r="AG1051" s="29"/>
      <c r="AH1051" s="30"/>
      <c r="AI1051" s="31"/>
      <c r="AJ1051" s="28"/>
      <c r="AK1051" s="32"/>
      <c r="AL1051" s="32"/>
      <c r="AM1051" s="32"/>
      <c r="AN1051" s="32"/>
      <c r="AO1051" s="28"/>
      <c r="AP1051" s="29"/>
    </row>
    <row r="1052">
      <c r="A1052" s="115"/>
      <c r="B1052" s="116"/>
      <c r="C1052" s="115"/>
      <c r="D1052" s="115"/>
      <c r="E1052" s="115"/>
      <c r="F1052" s="115"/>
      <c r="G1052" s="115"/>
      <c r="H1052" s="115"/>
      <c r="I1052" s="115"/>
      <c r="J1052" s="115"/>
      <c r="K1052" s="115"/>
      <c r="L1052" s="115"/>
      <c r="O1052" s="116"/>
      <c r="Q1052" s="116"/>
      <c r="T1052" s="114"/>
      <c r="Y1052" s="118"/>
      <c r="Z1052" s="28"/>
      <c r="AA1052" s="28"/>
      <c r="AB1052" s="28"/>
      <c r="AC1052" s="28"/>
      <c r="AD1052" s="29"/>
      <c r="AE1052" s="29"/>
      <c r="AF1052" s="29"/>
      <c r="AG1052" s="29"/>
      <c r="AH1052" s="30"/>
      <c r="AI1052" s="31"/>
      <c r="AJ1052" s="28"/>
      <c r="AK1052" s="32"/>
      <c r="AL1052" s="32"/>
      <c r="AM1052" s="32"/>
      <c r="AN1052" s="32"/>
      <c r="AO1052" s="28"/>
      <c r="AP1052" s="29"/>
    </row>
    <row r="1053">
      <c r="A1053" s="115"/>
      <c r="B1053" s="116"/>
      <c r="C1053" s="115"/>
      <c r="D1053" s="115"/>
      <c r="E1053" s="115"/>
      <c r="F1053" s="115"/>
      <c r="G1053" s="115"/>
      <c r="H1053" s="115"/>
      <c r="I1053" s="115"/>
      <c r="J1053" s="115"/>
      <c r="K1053" s="115"/>
      <c r="L1053" s="115"/>
      <c r="O1053" s="116"/>
      <c r="Q1053" s="116"/>
      <c r="T1053" s="114"/>
      <c r="Y1053" s="118"/>
      <c r="Z1053" s="28"/>
      <c r="AA1053" s="28"/>
      <c r="AB1053" s="28"/>
      <c r="AC1053" s="29"/>
      <c r="AD1053" s="29"/>
      <c r="AE1053" s="29"/>
      <c r="AF1053" s="29"/>
      <c r="AG1053" s="29"/>
      <c r="AH1053" s="30"/>
      <c r="AI1053" s="31"/>
      <c r="AJ1053" s="28"/>
      <c r="AK1053" s="32"/>
      <c r="AL1053" s="32"/>
      <c r="AM1053" s="32"/>
      <c r="AN1053" s="32"/>
      <c r="AO1053" s="28"/>
      <c r="AP1053" s="29"/>
    </row>
    <row r="1054">
      <c r="A1054" s="115"/>
      <c r="B1054" s="116"/>
      <c r="C1054" s="115"/>
      <c r="D1054" s="115"/>
      <c r="E1054" s="115"/>
      <c r="F1054" s="115"/>
      <c r="G1054" s="115"/>
      <c r="H1054" s="115"/>
      <c r="I1054" s="115"/>
      <c r="J1054" s="115"/>
      <c r="K1054" s="115"/>
      <c r="L1054" s="115"/>
      <c r="O1054" s="116"/>
      <c r="Q1054" s="116"/>
      <c r="T1054" s="114"/>
      <c r="Y1054" s="118"/>
      <c r="Z1054" s="28"/>
      <c r="AA1054" s="28"/>
      <c r="AB1054" s="28"/>
      <c r="AC1054" s="28"/>
      <c r="AD1054" s="29"/>
      <c r="AE1054" s="29"/>
      <c r="AF1054" s="29"/>
      <c r="AG1054" s="29"/>
      <c r="AH1054" s="30"/>
      <c r="AI1054" s="31"/>
      <c r="AJ1054" s="28"/>
      <c r="AK1054" s="28"/>
      <c r="AL1054" s="28"/>
      <c r="AM1054" s="28"/>
      <c r="AN1054" s="28"/>
      <c r="AO1054" s="28"/>
      <c r="AP1054" s="29"/>
    </row>
    <row r="1055">
      <c r="A1055" s="115"/>
      <c r="B1055" s="116"/>
      <c r="C1055" s="115"/>
      <c r="D1055" s="115"/>
      <c r="E1055" s="115"/>
      <c r="F1055" s="115"/>
      <c r="G1055" s="115"/>
      <c r="H1055" s="115"/>
      <c r="I1055" s="115"/>
      <c r="J1055" s="115"/>
      <c r="K1055" s="115"/>
      <c r="L1055" s="115"/>
      <c r="O1055" s="116"/>
      <c r="Q1055" s="116"/>
      <c r="T1055" s="114"/>
      <c r="Y1055" s="118"/>
      <c r="Z1055" s="28"/>
      <c r="AA1055" s="28"/>
      <c r="AB1055" s="28"/>
      <c r="AC1055" s="28"/>
      <c r="AD1055" s="29"/>
      <c r="AE1055" s="29"/>
      <c r="AF1055" s="29"/>
      <c r="AG1055" s="29"/>
      <c r="AH1055" s="30"/>
      <c r="AI1055" s="31"/>
      <c r="AJ1055" s="28"/>
      <c r="AK1055" s="32"/>
      <c r="AL1055" s="32"/>
      <c r="AM1055" s="32"/>
      <c r="AN1055" s="32"/>
      <c r="AO1055" s="28"/>
      <c r="AP1055" s="29"/>
    </row>
    <row r="1056">
      <c r="A1056" s="115"/>
      <c r="B1056" s="116"/>
      <c r="C1056" s="115"/>
      <c r="D1056" s="115"/>
      <c r="E1056" s="115"/>
      <c r="F1056" s="115"/>
      <c r="G1056" s="115"/>
      <c r="H1056" s="115"/>
      <c r="I1056" s="115"/>
      <c r="J1056" s="115"/>
      <c r="K1056" s="115"/>
      <c r="L1056" s="115"/>
      <c r="O1056" s="116"/>
      <c r="Q1056" s="116"/>
      <c r="T1056" s="114"/>
      <c r="Y1056" s="118"/>
      <c r="Z1056" s="28"/>
      <c r="AA1056" s="28"/>
      <c r="AB1056" s="28"/>
      <c r="AC1056" s="28"/>
      <c r="AD1056" s="29"/>
      <c r="AE1056" s="29"/>
      <c r="AF1056" s="29"/>
      <c r="AG1056" s="29"/>
      <c r="AH1056" s="30"/>
      <c r="AI1056" s="31"/>
      <c r="AJ1056" s="28"/>
      <c r="AK1056" s="28"/>
      <c r="AL1056" s="28"/>
      <c r="AM1056" s="32"/>
      <c r="AN1056" s="32"/>
      <c r="AO1056" s="28"/>
      <c r="AP1056" s="29"/>
    </row>
    <row r="1057">
      <c r="A1057" s="115"/>
      <c r="B1057" s="116"/>
      <c r="C1057" s="115"/>
      <c r="D1057" s="115"/>
      <c r="E1057" s="115"/>
      <c r="F1057" s="115"/>
      <c r="G1057" s="115"/>
      <c r="H1057" s="115"/>
      <c r="I1057" s="115"/>
      <c r="J1057" s="115"/>
      <c r="K1057" s="115"/>
      <c r="L1057" s="115"/>
      <c r="O1057" s="116"/>
      <c r="Q1057" s="116"/>
      <c r="T1057" s="114"/>
      <c r="Y1057" s="118"/>
      <c r="Z1057" s="28"/>
      <c r="AA1057" s="28"/>
      <c r="AB1057" s="28"/>
      <c r="AC1057" s="29"/>
      <c r="AD1057" s="29"/>
      <c r="AE1057" s="29"/>
      <c r="AF1057" s="29"/>
      <c r="AG1057" s="29"/>
      <c r="AH1057" s="30"/>
      <c r="AI1057" s="31"/>
      <c r="AJ1057" s="28"/>
      <c r="AK1057" s="32"/>
      <c r="AL1057" s="32"/>
      <c r="AM1057" s="32"/>
      <c r="AN1057" s="32"/>
      <c r="AO1057" s="28"/>
      <c r="AP1057" s="29"/>
    </row>
    <row r="1058">
      <c r="A1058" s="115"/>
      <c r="B1058" s="116"/>
      <c r="C1058" s="115"/>
      <c r="D1058" s="115"/>
      <c r="E1058" s="115"/>
      <c r="F1058" s="115"/>
      <c r="G1058" s="115"/>
      <c r="H1058" s="115"/>
      <c r="I1058" s="115"/>
      <c r="J1058" s="115"/>
      <c r="K1058" s="115"/>
      <c r="L1058" s="115"/>
      <c r="O1058" s="116"/>
      <c r="Q1058" s="116"/>
      <c r="T1058" s="114"/>
      <c r="Y1058" s="118"/>
      <c r="Z1058" s="28"/>
      <c r="AA1058" s="28"/>
      <c r="AB1058" s="28"/>
      <c r="AC1058" s="29"/>
      <c r="AD1058" s="29"/>
      <c r="AE1058" s="29"/>
      <c r="AF1058" s="29"/>
      <c r="AG1058" s="29"/>
      <c r="AH1058" s="30"/>
      <c r="AI1058" s="31"/>
      <c r="AJ1058" s="32"/>
      <c r="AK1058" s="32"/>
      <c r="AL1058" s="32"/>
      <c r="AM1058" s="32"/>
      <c r="AN1058" s="32"/>
      <c r="AO1058" s="32"/>
      <c r="AP1058" s="29"/>
    </row>
    <row r="1059">
      <c r="A1059" s="115"/>
      <c r="B1059" s="116"/>
      <c r="C1059" s="115"/>
      <c r="D1059" s="115"/>
      <c r="E1059" s="115"/>
      <c r="F1059" s="115"/>
      <c r="G1059" s="115"/>
      <c r="H1059" s="115"/>
      <c r="I1059" s="115"/>
      <c r="J1059" s="115"/>
      <c r="K1059" s="115"/>
      <c r="L1059" s="115"/>
      <c r="O1059" s="116"/>
      <c r="Q1059" s="116"/>
      <c r="T1059" s="114"/>
      <c r="Y1059" s="118"/>
      <c r="Z1059" s="28"/>
      <c r="AA1059" s="28"/>
      <c r="AB1059" s="28"/>
      <c r="AC1059" s="28"/>
      <c r="AD1059" s="29"/>
      <c r="AE1059" s="29"/>
      <c r="AF1059" s="29"/>
      <c r="AG1059" s="29"/>
      <c r="AH1059" s="30"/>
      <c r="AI1059" s="31"/>
      <c r="AJ1059" s="28"/>
      <c r="AK1059" s="32"/>
      <c r="AL1059" s="32"/>
      <c r="AM1059" s="32"/>
      <c r="AN1059" s="32"/>
      <c r="AO1059" s="28"/>
      <c r="AP1059" s="29"/>
    </row>
    <row r="1060">
      <c r="A1060" s="115"/>
      <c r="B1060" s="116"/>
      <c r="C1060" s="115"/>
      <c r="D1060" s="115"/>
      <c r="E1060" s="115"/>
      <c r="F1060" s="115"/>
      <c r="G1060" s="115"/>
      <c r="H1060" s="115"/>
      <c r="I1060" s="115"/>
      <c r="J1060" s="115"/>
      <c r="K1060" s="115"/>
      <c r="L1060" s="115"/>
      <c r="O1060" s="116"/>
      <c r="Q1060" s="116"/>
      <c r="T1060" s="114"/>
      <c r="Y1060" s="118"/>
      <c r="Z1060" s="28"/>
      <c r="AA1060" s="28"/>
      <c r="AB1060" s="28"/>
      <c r="AC1060" s="28"/>
      <c r="AD1060" s="29"/>
      <c r="AE1060" s="29"/>
      <c r="AF1060" s="29"/>
      <c r="AG1060" s="29"/>
      <c r="AH1060" s="30"/>
      <c r="AI1060" s="31"/>
      <c r="AJ1060" s="28"/>
      <c r="AK1060" s="32"/>
      <c r="AL1060" s="32"/>
      <c r="AM1060" s="32"/>
      <c r="AN1060" s="32"/>
      <c r="AO1060" s="28"/>
      <c r="AP1060" s="29"/>
    </row>
    <row r="1061">
      <c r="A1061" s="115"/>
      <c r="B1061" s="116"/>
      <c r="C1061" s="115"/>
      <c r="D1061" s="115"/>
      <c r="E1061" s="115"/>
      <c r="F1061" s="115"/>
      <c r="G1061" s="115"/>
      <c r="H1061" s="115"/>
      <c r="I1061" s="115"/>
      <c r="J1061" s="115"/>
      <c r="K1061" s="115"/>
      <c r="L1061" s="115"/>
      <c r="O1061" s="116"/>
      <c r="Q1061" s="116"/>
      <c r="T1061" s="114"/>
      <c r="Y1061" s="118"/>
      <c r="Z1061" s="28"/>
      <c r="AA1061" s="28"/>
      <c r="AB1061" s="28"/>
      <c r="AC1061" s="28"/>
      <c r="AD1061" s="29"/>
      <c r="AE1061" s="29"/>
      <c r="AF1061" s="29"/>
      <c r="AG1061" s="29"/>
      <c r="AH1061" s="30"/>
      <c r="AI1061" s="31"/>
      <c r="AJ1061" s="28"/>
      <c r="AK1061" s="32"/>
      <c r="AL1061" s="32"/>
      <c r="AM1061" s="32"/>
      <c r="AN1061" s="32"/>
      <c r="AO1061" s="28"/>
      <c r="AP1061" s="29"/>
    </row>
    <row r="1062">
      <c r="A1062" s="115"/>
      <c r="B1062" s="116"/>
      <c r="C1062" s="115"/>
      <c r="D1062" s="115"/>
      <c r="E1062" s="115"/>
      <c r="F1062" s="115"/>
      <c r="G1062" s="115"/>
      <c r="H1062" s="115"/>
      <c r="I1062" s="115"/>
      <c r="J1062" s="115"/>
      <c r="K1062" s="115"/>
      <c r="L1062" s="115"/>
      <c r="O1062" s="116"/>
      <c r="Q1062" s="116"/>
      <c r="T1062" s="114"/>
      <c r="Y1062" s="118"/>
      <c r="Z1062" s="28"/>
      <c r="AA1062" s="28"/>
      <c r="AB1062" s="28"/>
      <c r="AC1062" s="29"/>
      <c r="AD1062" s="29"/>
      <c r="AE1062" s="29"/>
      <c r="AF1062" s="29"/>
      <c r="AG1062" s="29"/>
      <c r="AH1062" s="30"/>
      <c r="AI1062" s="31"/>
      <c r="AJ1062" s="28"/>
      <c r="AK1062" s="32"/>
      <c r="AL1062" s="32"/>
      <c r="AM1062" s="32"/>
      <c r="AN1062" s="32"/>
      <c r="AO1062" s="28"/>
      <c r="AP1062" s="29"/>
    </row>
    <row r="1063">
      <c r="A1063" s="115"/>
      <c r="B1063" s="116"/>
      <c r="C1063" s="115"/>
      <c r="D1063" s="115"/>
      <c r="E1063" s="115"/>
      <c r="F1063" s="115"/>
      <c r="G1063" s="115"/>
      <c r="H1063" s="115"/>
      <c r="I1063" s="115"/>
      <c r="J1063" s="115"/>
      <c r="K1063" s="115"/>
      <c r="L1063" s="115"/>
      <c r="O1063" s="116"/>
      <c r="Q1063" s="116"/>
      <c r="T1063" s="114"/>
      <c r="Y1063" s="118"/>
      <c r="Z1063" s="28"/>
      <c r="AA1063" s="28"/>
      <c r="AB1063" s="28"/>
      <c r="AC1063" s="28"/>
      <c r="AD1063" s="28"/>
      <c r="AE1063" s="29"/>
      <c r="AF1063" s="29"/>
      <c r="AG1063" s="29"/>
      <c r="AH1063" s="30"/>
      <c r="AI1063" s="31"/>
      <c r="AJ1063" s="28"/>
      <c r="AK1063" s="32"/>
      <c r="AL1063" s="32"/>
      <c r="AM1063" s="32"/>
      <c r="AN1063" s="32"/>
      <c r="AO1063" s="28"/>
      <c r="AP1063" s="29"/>
    </row>
    <row r="1064">
      <c r="A1064" s="115"/>
      <c r="B1064" s="116"/>
      <c r="C1064" s="115"/>
      <c r="D1064" s="115"/>
      <c r="E1064" s="115"/>
      <c r="F1064" s="115"/>
      <c r="G1064" s="115"/>
      <c r="H1064" s="115"/>
      <c r="I1064" s="115"/>
      <c r="J1064" s="115"/>
      <c r="K1064" s="115"/>
      <c r="L1064" s="115"/>
      <c r="O1064" s="116"/>
      <c r="Q1064" s="116"/>
      <c r="T1064" s="114"/>
      <c r="Y1064" s="118"/>
      <c r="Z1064" s="28"/>
      <c r="AA1064" s="28"/>
      <c r="AB1064" s="28"/>
      <c r="AC1064" s="28"/>
      <c r="AD1064" s="29"/>
      <c r="AE1064" s="29"/>
      <c r="AF1064" s="29"/>
      <c r="AG1064" s="29"/>
      <c r="AH1064" s="30"/>
      <c r="AI1064" s="31"/>
      <c r="AJ1064" s="28"/>
      <c r="AK1064" s="32"/>
      <c r="AL1064" s="32"/>
      <c r="AM1064" s="32"/>
      <c r="AN1064" s="32"/>
      <c r="AO1064" s="28"/>
      <c r="AP1064" s="29"/>
    </row>
    <row r="1065">
      <c r="A1065" s="115"/>
      <c r="B1065" s="116"/>
      <c r="C1065" s="115"/>
      <c r="D1065" s="115"/>
      <c r="E1065" s="115"/>
      <c r="F1065" s="115"/>
      <c r="G1065" s="115"/>
      <c r="H1065" s="115"/>
      <c r="I1065" s="115"/>
      <c r="J1065" s="115"/>
      <c r="K1065" s="115"/>
      <c r="L1065" s="115"/>
      <c r="O1065" s="116"/>
      <c r="Q1065" s="116"/>
      <c r="T1065" s="114"/>
      <c r="Y1065" s="118"/>
      <c r="Z1065" s="28"/>
      <c r="AA1065" s="28"/>
      <c r="AB1065" s="28"/>
      <c r="AC1065" s="28"/>
      <c r="AD1065" s="29"/>
      <c r="AE1065" s="29"/>
      <c r="AF1065" s="29"/>
      <c r="AG1065" s="29"/>
      <c r="AH1065" s="30"/>
      <c r="AI1065" s="31"/>
      <c r="AJ1065" s="28"/>
      <c r="AK1065" s="32"/>
      <c r="AL1065" s="32"/>
      <c r="AM1065" s="32"/>
      <c r="AN1065" s="32"/>
      <c r="AO1065" s="28"/>
      <c r="AP1065" s="29"/>
    </row>
    <row r="1066">
      <c r="A1066" s="115"/>
      <c r="B1066" s="116"/>
      <c r="C1066" s="115"/>
      <c r="D1066" s="115"/>
      <c r="E1066" s="115"/>
      <c r="F1066" s="115"/>
      <c r="G1066" s="115"/>
      <c r="H1066" s="115"/>
      <c r="I1066" s="115"/>
      <c r="J1066" s="115"/>
      <c r="K1066" s="115"/>
      <c r="L1066" s="115"/>
      <c r="O1066" s="116"/>
      <c r="Q1066" s="116"/>
      <c r="T1066" s="114"/>
      <c r="Y1066" s="118"/>
      <c r="Z1066" s="28"/>
      <c r="AA1066" s="28"/>
      <c r="AB1066" s="28"/>
      <c r="AC1066" s="29"/>
      <c r="AD1066" s="29"/>
      <c r="AE1066" s="29"/>
      <c r="AF1066" s="29"/>
      <c r="AG1066" s="29"/>
      <c r="AH1066" s="30"/>
      <c r="AI1066" s="31"/>
      <c r="AJ1066" s="28"/>
      <c r="AK1066" s="32"/>
      <c r="AL1066" s="32"/>
      <c r="AM1066" s="32"/>
      <c r="AN1066" s="32"/>
      <c r="AO1066" s="28"/>
      <c r="AP1066" s="29"/>
    </row>
    <row r="1067">
      <c r="A1067" s="115"/>
      <c r="B1067" s="116"/>
      <c r="C1067" s="115"/>
      <c r="D1067" s="115"/>
      <c r="E1067" s="115"/>
      <c r="F1067" s="115"/>
      <c r="G1067" s="115"/>
      <c r="H1067" s="115"/>
      <c r="I1067" s="115"/>
      <c r="J1067" s="115"/>
      <c r="K1067" s="115"/>
      <c r="L1067" s="115"/>
      <c r="O1067" s="116"/>
      <c r="Q1067" s="116"/>
      <c r="T1067" s="114"/>
      <c r="Y1067" s="118"/>
      <c r="Z1067" s="28"/>
      <c r="AA1067" s="28"/>
      <c r="AB1067" s="28"/>
      <c r="AC1067" s="29"/>
      <c r="AD1067" s="29"/>
      <c r="AE1067" s="29"/>
      <c r="AF1067" s="29"/>
      <c r="AG1067" s="29"/>
      <c r="AH1067" s="30"/>
      <c r="AI1067" s="31"/>
      <c r="AJ1067" s="28"/>
      <c r="AK1067" s="32"/>
      <c r="AL1067" s="32"/>
      <c r="AM1067" s="32"/>
      <c r="AN1067" s="32"/>
      <c r="AO1067" s="28"/>
      <c r="AP1067" s="29"/>
    </row>
    <row r="1068">
      <c r="A1068" s="115"/>
      <c r="B1068" s="116"/>
      <c r="C1068" s="115"/>
      <c r="D1068" s="115"/>
      <c r="E1068" s="115"/>
      <c r="F1068" s="115"/>
      <c r="G1068" s="115"/>
      <c r="H1068" s="115"/>
      <c r="I1068" s="115"/>
      <c r="J1068" s="115"/>
      <c r="K1068" s="115"/>
      <c r="L1068" s="115"/>
      <c r="O1068" s="116"/>
      <c r="Q1068" s="116"/>
      <c r="T1068" s="114"/>
      <c r="Y1068" s="118"/>
      <c r="Z1068" s="28"/>
      <c r="AA1068" s="28"/>
      <c r="AB1068" s="28"/>
      <c r="AC1068" s="29"/>
      <c r="AD1068" s="29"/>
      <c r="AE1068" s="29"/>
      <c r="AF1068" s="29"/>
      <c r="AG1068" s="29"/>
      <c r="AH1068" s="30"/>
      <c r="AI1068" s="39"/>
      <c r="AJ1068" s="28"/>
      <c r="AK1068" s="28"/>
      <c r="AL1068" s="28"/>
      <c r="AM1068" s="32"/>
      <c r="AN1068" s="32"/>
      <c r="AO1068" s="32"/>
      <c r="AP1068" s="29"/>
    </row>
    <row r="1069">
      <c r="A1069" s="115"/>
      <c r="B1069" s="116"/>
      <c r="C1069" s="115"/>
      <c r="D1069" s="115"/>
      <c r="E1069" s="115"/>
      <c r="F1069" s="115"/>
      <c r="G1069" s="115"/>
      <c r="H1069" s="115"/>
      <c r="I1069" s="115"/>
      <c r="J1069" s="115"/>
      <c r="K1069" s="115"/>
      <c r="L1069" s="115"/>
      <c r="O1069" s="116"/>
      <c r="Q1069" s="116"/>
      <c r="T1069" s="114"/>
      <c r="Y1069" s="118"/>
      <c r="Z1069" s="28"/>
      <c r="AA1069" s="28"/>
      <c r="AB1069" s="28"/>
      <c r="AC1069" s="29"/>
      <c r="AD1069" s="29"/>
      <c r="AE1069" s="29"/>
      <c r="AF1069" s="29"/>
      <c r="AG1069" s="29"/>
      <c r="AH1069" s="30"/>
      <c r="AI1069" s="31"/>
      <c r="AJ1069" s="28"/>
      <c r="AK1069" s="32"/>
      <c r="AL1069" s="32"/>
      <c r="AM1069" s="32"/>
      <c r="AN1069" s="32"/>
      <c r="AO1069" s="28"/>
      <c r="AP1069" s="29"/>
    </row>
    <row r="1070">
      <c r="A1070" s="115"/>
      <c r="B1070" s="116"/>
      <c r="C1070" s="115"/>
      <c r="D1070" s="115"/>
      <c r="E1070" s="115"/>
      <c r="F1070" s="115"/>
      <c r="G1070" s="115"/>
      <c r="H1070" s="115"/>
      <c r="I1070" s="115"/>
      <c r="J1070" s="115"/>
      <c r="K1070" s="115"/>
      <c r="L1070" s="115"/>
      <c r="O1070" s="116"/>
      <c r="Q1070" s="116"/>
      <c r="T1070" s="114"/>
      <c r="Y1070" s="118"/>
      <c r="Z1070" s="28"/>
      <c r="AA1070" s="28"/>
      <c r="AB1070" s="29"/>
      <c r="AC1070" s="29"/>
      <c r="AD1070" s="29"/>
      <c r="AE1070" s="29"/>
      <c r="AF1070" s="29"/>
      <c r="AG1070" s="29"/>
      <c r="AH1070" s="30"/>
      <c r="AI1070" s="31"/>
      <c r="AJ1070" s="28"/>
      <c r="AK1070" s="32"/>
      <c r="AL1070" s="32"/>
      <c r="AM1070" s="32"/>
      <c r="AN1070" s="32"/>
      <c r="AO1070" s="28"/>
      <c r="AP1070" s="29"/>
    </row>
    <row r="1071">
      <c r="A1071" s="115"/>
      <c r="B1071" s="116"/>
      <c r="C1071" s="115"/>
      <c r="D1071" s="115"/>
      <c r="E1071" s="115"/>
      <c r="F1071" s="115"/>
      <c r="G1071" s="115"/>
      <c r="H1071" s="115"/>
      <c r="I1071" s="115"/>
      <c r="J1071" s="115"/>
      <c r="K1071" s="115"/>
      <c r="L1071" s="115"/>
      <c r="O1071" s="116"/>
      <c r="Q1071" s="116"/>
      <c r="T1071" s="114"/>
      <c r="Y1071" s="118"/>
      <c r="Z1071" s="28"/>
      <c r="AA1071" s="28"/>
      <c r="AB1071" s="28"/>
      <c r="AC1071" s="28"/>
      <c r="AD1071" s="29"/>
      <c r="AE1071" s="29"/>
      <c r="AF1071" s="29"/>
      <c r="AG1071" s="29"/>
      <c r="AH1071" s="30"/>
      <c r="AI1071" s="31"/>
      <c r="AJ1071" s="28"/>
      <c r="AK1071" s="28"/>
      <c r="AL1071" s="28"/>
      <c r="AM1071" s="32"/>
      <c r="AN1071" s="32"/>
      <c r="AO1071" s="28"/>
      <c r="AP1071" s="29"/>
    </row>
    <row r="1072">
      <c r="A1072" s="115"/>
      <c r="B1072" s="116"/>
      <c r="C1072" s="115"/>
      <c r="D1072" s="115"/>
      <c r="E1072" s="115"/>
      <c r="F1072" s="115"/>
      <c r="G1072" s="115"/>
      <c r="H1072" s="115"/>
      <c r="I1072" s="115"/>
      <c r="J1072" s="115"/>
      <c r="K1072" s="115"/>
      <c r="L1072" s="115"/>
      <c r="O1072" s="116"/>
      <c r="Q1072" s="116"/>
      <c r="T1072" s="114"/>
      <c r="Y1072" s="118"/>
      <c r="Z1072" s="28"/>
      <c r="AA1072" s="28"/>
      <c r="AB1072" s="28"/>
      <c r="AC1072" s="29"/>
      <c r="AD1072" s="29"/>
      <c r="AE1072" s="29"/>
      <c r="AF1072" s="29"/>
      <c r="AG1072" s="29"/>
      <c r="AH1072" s="30"/>
      <c r="AI1072" s="31"/>
      <c r="AJ1072" s="28"/>
      <c r="AK1072" s="32"/>
      <c r="AL1072" s="32"/>
      <c r="AM1072" s="32"/>
      <c r="AN1072" s="32"/>
      <c r="AO1072" s="28"/>
      <c r="AP1072" s="29"/>
    </row>
    <row r="1073">
      <c r="A1073" s="115"/>
      <c r="B1073" s="116"/>
      <c r="C1073" s="115"/>
      <c r="D1073" s="115"/>
      <c r="E1073" s="115"/>
      <c r="F1073" s="115"/>
      <c r="G1073" s="115"/>
      <c r="H1073" s="115"/>
      <c r="I1073" s="115"/>
      <c r="J1073" s="115"/>
      <c r="K1073" s="115"/>
      <c r="L1073" s="115"/>
      <c r="O1073" s="116"/>
      <c r="Q1073" s="116"/>
      <c r="T1073" s="114"/>
      <c r="Y1073" s="118"/>
      <c r="Z1073" s="28"/>
      <c r="AA1073" s="28"/>
      <c r="AB1073" s="28"/>
      <c r="AC1073" s="28"/>
      <c r="AD1073" s="29"/>
      <c r="AE1073" s="29"/>
      <c r="AF1073" s="29"/>
      <c r="AG1073" s="29"/>
      <c r="AH1073" s="30"/>
      <c r="AI1073" s="31"/>
      <c r="AJ1073" s="28"/>
      <c r="AK1073" s="32"/>
      <c r="AL1073" s="32"/>
      <c r="AM1073" s="32"/>
      <c r="AN1073" s="32"/>
      <c r="AO1073" s="28"/>
      <c r="AP1073" s="29"/>
    </row>
    <row r="1074">
      <c r="A1074" s="115"/>
      <c r="B1074" s="116"/>
      <c r="C1074" s="115"/>
      <c r="D1074" s="115"/>
      <c r="E1074" s="115"/>
      <c r="F1074" s="115"/>
      <c r="G1074" s="115"/>
      <c r="H1074" s="115"/>
      <c r="I1074" s="115"/>
      <c r="J1074" s="115"/>
      <c r="K1074" s="115"/>
      <c r="L1074" s="115"/>
      <c r="O1074" s="116"/>
      <c r="Q1074" s="116"/>
      <c r="T1074" s="114"/>
      <c r="Y1074" s="118"/>
      <c r="Z1074" s="28"/>
      <c r="AA1074" s="28"/>
      <c r="AB1074" s="28"/>
      <c r="AC1074" s="28"/>
      <c r="AD1074" s="29"/>
      <c r="AE1074" s="29"/>
      <c r="AF1074" s="29"/>
      <c r="AG1074" s="29"/>
      <c r="AH1074" s="30"/>
      <c r="AI1074" s="31"/>
      <c r="AJ1074" s="28"/>
      <c r="AK1074" s="32"/>
      <c r="AL1074" s="32"/>
      <c r="AM1074" s="32"/>
      <c r="AN1074" s="32"/>
      <c r="AO1074" s="28"/>
      <c r="AP1074" s="29"/>
    </row>
    <row r="1075">
      <c r="A1075" s="115"/>
      <c r="B1075" s="116"/>
      <c r="C1075" s="115"/>
      <c r="D1075" s="115"/>
      <c r="E1075" s="115"/>
      <c r="F1075" s="115"/>
      <c r="G1075" s="115"/>
      <c r="H1075" s="115"/>
      <c r="I1075" s="115"/>
      <c r="J1075" s="115"/>
      <c r="K1075" s="115"/>
      <c r="L1075" s="115"/>
      <c r="O1075" s="116"/>
      <c r="Q1075" s="116"/>
      <c r="T1075" s="114"/>
      <c r="Y1075" s="118"/>
      <c r="Z1075" s="28"/>
      <c r="AA1075" s="28"/>
      <c r="AB1075" s="29"/>
      <c r="AC1075" s="29"/>
      <c r="AD1075" s="29"/>
      <c r="AE1075" s="29"/>
      <c r="AF1075" s="29"/>
      <c r="AG1075" s="29"/>
      <c r="AH1075" s="30"/>
      <c r="AI1075" s="31"/>
      <c r="AJ1075" s="28"/>
      <c r="AK1075" s="32"/>
      <c r="AL1075" s="32"/>
      <c r="AM1075" s="32"/>
      <c r="AN1075" s="32"/>
      <c r="AO1075" s="28"/>
      <c r="AP1075" s="29"/>
    </row>
    <row r="1076">
      <c r="A1076" s="115"/>
      <c r="B1076" s="116"/>
      <c r="C1076" s="115"/>
      <c r="D1076" s="115"/>
      <c r="E1076" s="115"/>
      <c r="F1076" s="115"/>
      <c r="G1076" s="115"/>
      <c r="H1076" s="115"/>
      <c r="I1076" s="115"/>
      <c r="J1076" s="115"/>
      <c r="K1076" s="115"/>
      <c r="L1076" s="115"/>
      <c r="O1076" s="116"/>
      <c r="Q1076" s="116"/>
      <c r="T1076" s="114"/>
      <c r="Y1076" s="118"/>
      <c r="Z1076" s="28"/>
      <c r="AA1076" s="28"/>
      <c r="AB1076" s="29"/>
      <c r="AC1076" s="29"/>
      <c r="AD1076" s="29"/>
      <c r="AE1076" s="29"/>
      <c r="AF1076" s="29"/>
      <c r="AG1076" s="29"/>
      <c r="AH1076" s="30"/>
      <c r="AI1076" s="31"/>
      <c r="AJ1076" s="28"/>
      <c r="AK1076" s="32"/>
      <c r="AL1076" s="32"/>
      <c r="AM1076" s="32"/>
      <c r="AN1076" s="32"/>
      <c r="AO1076" s="28"/>
      <c r="AP1076" s="29"/>
    </row>
    <row r="1077">
      <c r="A1077" s="115"/>
      <c r="B1077" s="116"/>
      <c r="C1077" s="115"/>
      <c r="D1077" s="115"/>
      <c r="E1077" s="115"/>
      <c r="F1077" s="115"/>
      <c r="G1077" s="115"/>
      <c r="H1077" s="115"/>
      <c r="I1077" s="115"/>
      <c r="J1077" s="115"/>
      <c r="K1077" s="115"/>
      <c r="L1077" s="115"/>
      <c r="O1077" s="116"/>
      <c r="Q1077" s="116"/>
      <c r="T1077" s="114"/>
      <c r="Y1077" s="118"/>
      <c r="Z1077" s="28"/>
      <c r="AA1077" s="28"/>
      <c r="AB1077" s="28"/>
      <c r="AC1077" s="28"/>
      <c r="AD1077" s="29"/>
      <c r="AE1077" s="29"/>
      <c r="AF1077" s="29"/>
      <c r="AG1077" s="29"/>
      <c r="AH1077" s="30"/>
      <c r="AI1077" s="31"/>
      <c r="AJ1077" s="28"/>
      <c r="AK1077" s="32"/>
      <c r="AL1077" s="32"/>
      <c r="AM1077" s="32"/>
      <c r="AN1077" s="32"/>
      <c r="AO1077" s="28"/>
      <c r="AP1077" s="29"/>
    </row>
    <row r="1078">
      <c r="A1078" s="115"/>
      <c r="B1078" s="116"/>
      <c r="C1078" s="115"/>
      <c r="D1078" s="115"/>
      <c r="E1078" s="115"/>
      <c r="F1078" s="115"/>
      <c r="G1078" s="115"/>
      <c r="H1078" s="115"/>
      <c r="I1078" s="115"/>
      <c r="J1078" s="115"/>
      <c r="K1078" s="115"/>
      <c r="L1078" s="115"/>
      <c r="O1078" s="116"/>
      <c r="Q1078" s="116"/>
      <c r="T1078" s="114"/>
      <c r="Y1078" s="118"/>
      <c r="Z1078" s="28"/>
      <c r="AA1078" s="28"/>
      <c r="AB1078" s="29"/>
      <c r="AC1078" s="29"/>
      <c r="AD1078" s="29"/>
      <c r="AE1078" s="29"/>
      <c r="AF1078" s="29"/>
      <c r="AG1078" s="29"/>
      <c r="AH1078" s="30"/>
      <c r="AI1078" s="31"/>
      <c r="AJ1078" s="28"/>
      <c r="AK1078" s="32"/>
      <c r="AL1078" s="32"/>
      <c r="AM1078" s="32"/>
      <c r="AN1078" s="32"/>
      <c r="AO1078" s="28"/>
      <c r="AP1078" s="29"/>
    </row>
    <row r="1079">
      <c r="A1079" s="115"/>
      <c r="B1079" s="116"/>
      <c r="C1079" s="115"/>
      <c r="D1079" s="115"/>
      <c r="E1079" s="115"/>
      <c r="F1079" s="115"/>
      <c r="G1079" s="115"/>
      <c r="H1079" s="115"/>
      <c r="I1079" s="115"/>
      <c r="J1079" s="115"/>
      <c r="K1079" s="115"/>
      <c r="L1079" s="115"/>
      <c r="O1079" s="116"/>
      <c r="Q1079" s="116"/>
      <c r="T1079" s="114"/>
      <c r="Y1079" s="118"/>
      <c r="Z1079" s="28"/>
      <c r="AA1079" s="28"/>
      <c r="AB1079" s="28"/>
      <c r="AC1079" s="28"/>
      <c r="AD1079" s="28"/>
      <c r="AE1079" s="29"/>
      <c r="AF1079" s="29"/>
      <c r="AG1079" s="29"/>
      <c r="AH1079" s="30"/>
      <c r="AI1079" s="31"/>
      <c r="AJ1079" s="28"/>
      <c r="AK1079" s="32"/>
      <c r="AL1079" s="32"/>
      <c r="AM1079" s="32"/>
      <c r="AN1079" s="32"/>
      <c r="AO1079" s="28"/>
      <c r="AP1079" s="29"/>
    </row>
    <row r="1080">
      <c r="A1080" s="115"/>
      <c r="B1080" s="116"/>
      <c r="C1080" s="115"/>
      <c r="D1080" s="115"/>
      <c r="E1080" s="115"/>
      <c r="F1080" s="115"/>
      <c r="G1080" s="115"/>
      <c r="H1080" s="115"/>
      <c r="I1080" s="115"/>
      <c r="J1080" s="115"/>
      <c r="K1080" s="115"/>
      <c r="L1080" s="115"/>
      <c r="O1080" s="116"/>
      <c r="Q1080" s="116"/>
      <c r="T1080" s="114"/>
      <c r="Y1080" s="118"/>
      <c r="Z1080" s="28"/>
      <c r="AA1080" s="28"/>
      <c r="AB1080" s="29"/>
      <c r="AC1080" s="29"/>
      <c r="AD1080" s="29"/>
      <c r="AE1080" s="29"/>
      <c r="AF1080" s="29"/>
      <c r="AG1080" s="29"/>
      <c r="AH1080" s="30"/>
      <c r="AI1080" s="31"/>
      <c r="AJ1080" s="28"/>
      <c r="AK1080" s="32"/>
      <c r="AL1080" s="32"/>
      <c r="AM1080" s="32"/>
      <c r="AN1080" s="32"/>
      <c r="AO1080" s="28"/>
      <c r="AP1080" s="29"/>
    </row>
    <row r="1081">
      <c r="A1081" s="115"/>
      <c r="B1081" s="116"/>
      <c r="C1081" s="115"/>
      <c r="D1081" s="115"/>
      <c r="E1081" s="115"/>
      <c r="F1081" s="115"/>
      <c r="G1081" s="115"/>
      <c r="H1081" s="115"/>
      <c r="I1081" s="115"/>
      <c r="J1081" s="115"/>
      <c r="K1081" s="115"/>
      <c r="L1081" s="115"/>
      <c r="O1081" s="116"/>
      <c r="Q1081" s="116"/>
      <c r="T1081" s="114"/>
      <c r="Y1081" s="118"/>
      <c r="Z1081" s="28"/>
      <c r="AA1081" s="28"/>
      <c r="AB1081" s="28"/>
      <c r="AC1081" s="28"/>
      <c r="AD1081" s="29"/>
      <c r="AE1081" s="29"/>
      <c r="AF1081" s="29"/>
      <c r="AG1081" s="29"/>
      <c r="AH1081" s="30"/>
      <c r="AI1081" s="31"/>
      <c r="AJ1081" s="28"/>
      <c r="AK1081" s="32"/>
      <c r="AL1081" s="32"/>
      <c r="AM1081" s="32"/>
      <c r="AN1081" s="32"/>
      <c r="AO1081" s="28"/>
      <c r="AP1081" s="29"/>
    </row>
    <row r="1082">
      <c r="A1082" s="115"/>
      <c r="B1082" s="116"/>
      <c r="C1082" s="115"/>
      <c r="D1082" s="115"/>
      <c r="E1082" s="115"/>
      <c r="F1082" s="115"/>
      <c r="G1082" s="115"/>
      <c r="H1082" s="115"/>
      <c r="I1082" s="115"/>
      <c r="J1082" s="115"/>
      <c r="K1082" s="115"/>
      <c r="L1082" s="115"/>
      <c r="O1082" s="116"/>
      <c r="Q1082" s="116"/>
      <c r="T1082" s="114"/>
      <c r="Y1082" s="118"/>
      <c r="Z1082" s="28"/>
      <c r="AA1082" s="28"/>
      <c r="AB1082" s="28"/>
      <c r="AC1082" s="29"/>
      <c r="AD1082" s="29"/>
      <c r="AE1082" s="29"/>
      <c r="AF1082" s="29"/>
      <c r="AG1082" s="29"/>
      <c r="AH1082" s="30"/>
      <c r="AI1082" s="31"/>
      <c r="AJ1082" s="28"/>
      <c r="AK1082" s="32"/>
      <c r="AL1082" s="32"/>
      <c r="AM1082" s="32"/>
      <c r="AN1082" s="32"/>
      <c r="AO1082" s="28"/>
      <c r="AP1082" s="29"/>
    </row>
    <row r="1083">
      <c r="A1083" s="115"/>
      <c r="B1083" s="116"/>
      <c r="C1083" s="115"/>
      <c r="D1083" s="115"/>
      <c r="E1083" s="115"/>
      <c r="F1083" s="115"/>
      <c r="G1083" s="115"/>
      <c r="H1083" s="115"/>
      <c r="I1083" s="115"/>
      <c r="J1083" s="115"/>
      <c r="K1083" s="115"/>
      <c r="L1083" s="115"/>
      <c r="O1083" s="116"/>
      <c r="Q1083" s="116"/>
      <c r="T1083" s="114"/>
      <c r="Y1083" s="118"/>
      <c r="Z1083" s="28"/>
      <c r="AA1083" s="28"/>
      <c r="AB1083" s="28"/>
      <c r="AC1083" s="28"/>
      <c r="AD1083" s="29"/>
      <c r="AE1083" s="29"/>
      <c r="AF1083" s="29"/>
      <c r="AG1083" s="29"/>
      <c r="AH1083" s="30"/>
      <c r="AI1083" s="31"/>
      <c r="AJ1083" s="28"/>
      <c r="AK1083" s="32"/>
      <c r="AL1083" s="32"/>
      <c r="AM1083" s="32"/>
      <c r="AN1083" s="32"/>
      <c r="AO1083" s="28"/>
      <c r="AP1083" s="29"/>
    </row>
    <row r="1084">
      <c r="A1084" s="115"/>
      <c r="B1084" s="116"/>
      <c r="C1084" s="115"/>
      <c r="D1084" s="115"/>
      <c r="E1084" s="115"/>
      <c r="F1084" s="115"/>
      <c r="G1084" s="115"/>
      <c r="H1084" s="115"/>
      <c r="I1084" s="115"/>
      <c r="J1084" s="115"/>
      <c r="K1084" s="115"/>
      <c r="L1084" s="115"/>
      <c r="O1084" s="116"/>
      <c r="Q1084" s="116"/>
      <c r="T1084" s="114"/>
      <c r="Y1084" s="118"/>
      <c r="Z1084" s="28"/>
      <c r="AA1084" s="28"/>
      <c r="AB1084" s="28"/>
      <c r="AC1084" s="29"/>
      <c r="AD1084" s="29"/>
      <c r="AE1084" s="29"/>
      <c r="AF1084" s="29"/>
      <c r="AG1084" s="29"/>
      <c r="AH1084" s="30"/>
      <c r="AI1084" s="31"/>
      <c r="AJ1084" s="28"/>
      <c r="AK1084" s="32"/>
      <c r="AL1084" s="32"/>
      <c r="AM1084" s="32"/>
      <c r="AN1084" s="32"/>
      <c r="AO1084" s="28"/>
      <c r="AP1084" s="29"/>
    </row>
    <row r="1085">
      <c r="A1085" s="115"/>
      <c r="B1085" s="116"/>
      <c r="C1085" s="115"/>
      <c r="D1085" s="115"/>
      <c r="E1085" s="115"/>
      <c r="F1085" s="115"/>
      <c r="G1085" s="115"/>
      <c r="H1085" s="115"/>
      <c r="I1085" s="115"/>
      <c r="J1085" s="115"/>
      <c r="K1085" s="115"/>
      <c r="L1085" s="115"/>
      <c r="O1085" s="116"/>
      <c r="Q1085" s="116"/>
      <c r="T1085" s="114"/>
      <c r="Y1085" s="118"/>
      <c r="Z1085" s="28"/>
      <c r="AA1085" s="28"/>
      <c r="AB1085" s="28"/>
      <c r="AC1085" s="29"/>
      <c r="AD1085" s="29"/>
      <c r="AE1085" s="29"/>
      <c r="AF1085" s="29"/>
      <c r="AG1085" s="29"/>
      <c r="AH1085" s="30"/>
      <c r="AI1085" s="31"/>
      <c r="AJ1085" s="28"/>
      <c r="AK1085" s="32"/>
      <c r="AL1085" s="32"/>
      <c r="AM1085" s="32"/>
      <c r="AN1085" s="32"/>
      <c r="AO1085" s="32"/>
      <c r="AP1085" s="29"/>
    </row>
    <row r="1086">
      <c r="A1086" s="115"/>
      <c r="B1086" s="116"/>
      <c r="C1086" s="115"/>
      <c r="D1086" s="115"/>
      <c r="E1086" s="115"/>
      <c r="F1086" s="115"/>
      <c r="G1086" s="115"/>
      <c r="H1086" s="115"/>
      <c r="I1086" s="115"/>
      <c r="J1086" s="115"/>
      <c r="K1086" s="115"/>
      <c r="L1086" s="115"/>
      <c r="O1086" s="116"/>
      <c r="Q1086" s="116"/>
      <c r="T1086" s="114"/>
      <c r="Y1086" s="118"/>
      <c r="Z1086" s="28"/>
      <c r="AA1086" s="28"/>
      <c r="AB1086" s="28"/>
      <c r="AC1086" s="28"/>
      <c r="AD1086" s="29"/>
      <c r="AE1086" s="29"/>
      <c r="AF1086" s="29"/>
      <c r="AG1086" s="29"/>
      <c r="AH1086" s="30"/>
      <c r="AI1086" s="31"/>
      <c r="AJ1086" s="28"/>
      <c r="AK1086" s="28"/>
      <c r="AL1086" s="28"/>
      <c r="AM1086" s="28"/>
      <c r="AN1086" s="28"/>
      <c r="AO1086" s="28"/>
      <c r="AP1086" s="29"/>
    </row>
    <row r="1087">
      <c r="A1087" s="115"/>
      <c r="B1087" s="116"/>
      <c r="C1087" s="115"/>
      <c r="D1087" s="115"/>
      <c r="E1087" s="115"/>
      <c r="F1087" s="115"/>
      <c r="G1087" s="115"/>
      <c r="H1087" s="115"/>
      <c r="I1087" s="115"/>
      <c r="J1087" s="115"/>
      <c r="K1087" s="115"/>
      <c r="L1087" s="115"/>
      <c r="O1087" s="116"/>
      <c r="Q1087" s="116"/>
      <c r="T1087" s="114"/>
      <c r="Y1087" s="118"/>
      <c r="Z1087" s="28"/>
      <c r="AA1087" s="28"/>
      <c r="AB1087" s="28"/>
      <c r="AC1087" s="28"/>
      <c r="AD1087" s="29"/>
      <c r="AE1087" s="29"/>
      <c r="AF1087" s="29"/>
      <c r="AG1087" s="29"/>
      <c r="AH1087" s="30"/>
      <c r="AI1087" s="31"/>
      <c r="AJ1087" s="28"/>
      <c r="AK1087" s="32"/>
      <c r="AL1087" s="32"/>
      <c r="AM1087" s="32"/>
      <c r="AN1087" s="32"/>
      <c r="AO1087" s="28"/>
      <c r="AP1087" s="29"/>
    </row>
    <row r="1088">
      <c r="A1088" s="115"/>
      <c r="B1088" s="116"/>
      <c r="C1088" s="115"/>
      <c r="D1088" s="115"/>
      <c r="E1088" s="115"/>
      <c r="F1088" s="115"/>
      <c r="G1088" s="115"/>
      <c r="H1088" s="115"/>
      <c r="I1088" s="115"/>
      <c r="J1088" s="115"/>
      <c r="K1088" s="115"/>
      <c r="L1088" s="115"/>
      <c r="O1088" s="116"/>
      <c r="Q1088" s="116"/>
      <c r="T1088" s="114"/>
      <c r="Y1088" s="118"/>
      <c r="Z1088" s="28"/>
      <c r="AA1088" s="28"/>
      <c r="AB1088" s="28"/>
      <c r="AC1088" s="29"/>
      <c r="AD1088" s="29"/>
      <c r="AE1088" s="29"/>
      <c r="AF1088" s="29"/>
      <c r="AG1088" s="29"/>
      <c r="AH1088" s="30"/>
      <c r="AI1088" s="31"/>
      <c r="AJ1088" s="28"/>
      <c r="AK1088" s="32"/>
      <c r="AL1088" s="32"/>
      <c r="AM1088" s="32"/>
      <c r="AN1088" s="32"/>
      <c r="AO1088" s="28"/>
      <c r="AP1088" s="29"/>
    </row>
    <row r="1089">
      <c r="A1089" s="115"/>
      <c r="B1089" s="116"/>
      <c r="C1089" s="115"/>
      <c r="D1089" s="115"/>
      <c r="E1089" s="115"/>
      <c r="F1089" s="115"/>
      <c r="G1089" s="115"/>
      <c r="H1089" s="115"/>
      <c r="I1089" s="115"/>
      <c r="J1089" s="115"/>
      <c r="K1089" s="115"/>
      <c r="L1089" s="115"/>
      <c r="O1089" s="116"/>
      <c r="Q1089" s="116"/>
      <c r="T1089" s="114"/>
      <c r="Y1089" s="118"/>
      <c r="Z1089" s="28"/>
      <c r="AA1089" s="28"/>
      <c r="AB1089" s="28"/>
      <c r="AC1089" s="29"/>
      <c r="AD1089" s="29"/>
      <c r="AE1089" s="29"/>
      <c r="AF1089" s="29"/>
      <c r="AG1089" s="29"/>
      <c r="AH1089" s="30"/>
      <c r="AI1089" s="31"/>
      <c r="AJ1089" s="28"/>
      <c r="AK1089" s="32"/>
      <c r="AL1089" s="32"/>
      <c r="AM1089" s="32"/>
      <c r="AN1089" s="32"/>
      <c r="AO1089" s="28"/>
      <c r="AP1089" s="29"/>
    </row>
    <row r="1090">
      <c r="A1090" s="115"/>
      <c r="B1090" s="116"/>
      <c r="C1090" s="115"/>
      <c r="D1090" s="115"/>
      <c r="E1090" s="115"/>
      <c r="F1090" s="115"/>
      <c r="G1090" s="115"/>
      <c r="H1090" s="115"/>
      <c r="I1090" s="115"/>
      <c r="J1090" s="115"/>
      <c r="K1090" s="115"/>
      <c r="L1090" s="115"/>
      <c r="O1090" s="116"/>
      <c r="Q1090" s="116"/>
      <c r="T1090" s="114"/>
      <c r="Y1090" s="118"/>
      <c r="Z1090" s="28"/>
      <c r="AA1090" s="29"/>
      <c r="AB1090" s="29"/>
      <c r="AC1090" s="29"/>
      <c r="AD1090" s="29"/>
      <c r="AE1090" s="29"/>
      <c r="AF1090" s="29"/>
      <c r="AG1090" s="29"/>
      <c r="AH1090" s="30"/>
      <c r="AI1090" s="32"/>
      <c r="AJ1090" s="28"/>
      <c r="AK1090" s="32"/>
      <c r="AL1090" s="32"/>
      <c r="AM1090" s="32"/>
      <c r="AN1090" s="32"/>
      <c r="AO1090" s="28"/>
      <c r="AP1090" s="29"/>
    </row>
    <row r="1091">
      <c r="A1091" s="115"/>
      <c r="B1091" s="116"/>
      <c r="C1091" s="115"/>
      <c r="D1091" s="115"/>
      <c r="E1091" s="115"/>
      <c r="F1091" s="115"/>
      <c r="G1091" s="115"/>
      <c r="H1091" s="115"/>
      <c r="I1091" s="115"/>
      <c r="J1091" s="115"/>
      <c r="K1091" s="115"/>
      <c r="L1091" s="115"/>
      <c r="O1091" s="116"/>
      <c r="Q1091" s="116"/>
      <c r="T1091" s="114"/>
      <c r="Y1091" s="118"/>
      <c r="Z1091" s="28"/>
      <c r="AA1091" s="28"/>
      <c r="AB1091" s="28"/>
      <c r="AC1091" s="28"/>
      <c r="AD1091" s="29"/>
      <c r="AE1091" s="29"/>
      <c r="AF1091" s="29"/>
      <c r="AG1091" s="29"/>
      <c r="AH1091" s="30"/>
      <c r="AI1091" s="31"/>
      <c r="AJ1091" s="28"/>
      <c r="AK1091" s="32"/>
      <c r="AL1091" s="32"/>
      <c r="AM1091" s="32"/>
      <c r="AN1091" s="32"/>
      <c r="AO1091" s="28"/>
      <c r="AP1091" s="29"/>
    </row>
    <row r="1092">
      <c r="A1092" s="115"/>
      <c r="B1092" s="116"/>
      <c r="C1092" s="115"/>
      <c r="D1092" s="115"/>
      <c r="E1092" s="115"/>
      <c r="F1092" s="115"/>
      <c r="G1092" s="115"/>
      <c r="H1092" s="115"/>
      <c r="I1092" s="115"/>
      <c r="J1092" s="115"/>
      <c r="K1092" s="115"/>
      <c r="L1092" s="115"/>
      <c r="O1092" s="116"/>
      <c r="Q1092" s="116"/>
      <c r="T1092" s="114"/>
      <c r="Y1092" s="118"/>
      <c r="Z1092" s="28"/>
      <c r="AA1092" s="28"/>
      <c r="AB1092" s="28"/>
      <c r="AC1092" s="29"/>
      <c r="AD1092" s="29"/>
      <c r="AE1092" s="29"/>
      <c r="AF1092" s="29"/>
      <c r="AG1092" s="29"/>
      <c r="AH1092" s="30"/>
      <c r="AI1092" s="31"/>
      <c r="AJ1092" s="28"/>
      <c r="AK1092" s="32"/>
      <c r="AL1092" s="32"/>
      <c r="AM1092" s="32"/>
      <c r="AN1092" s="32"/>
      <c r="AO1092" s="28"/>
      <c r="AP1092" s="29"/>
    </row>
    <row r="1093">
      <c r="A1093" s="115"/>
      <c r="B1093" s="116"/>
      <c r="C1093" s="115"/>
      <c r="D1093" s="115"/>
      <c r="E1093" s="115"/>
      <c r="F1093" s="115"/>
      <c r="G1093" s="115"/>
      <c r="H1093" s="115"/>
      <c r="I1093" s="115"/>
      <c r="J1093" s="115"/>
      <c r="K1093" s="115"/>
      <c r="L1093" s="115"/>
      <c r="O1093" s="116"/>
      <c r="Q1093" s="116"/>
      <c r="T1093" s="114"/>
      <c r="Y1093" s="118"/>
      <c r="Z1093" s="28"/>
      <c r="AA1093" s="28"/>
      <c r="AB1093" s="28"/>
      <c r="AC1093" s="29"/>
      <c r="AD1093" s="29"/>
      <c r="AE1093" s="29"/>
      <c r="AF1093" s="29"/>
      <c r="AG1093" s="29"/>
      <c r="AH1093" s="30"/>
      <c r="AI1093" s="31"/>
      <c r="AJ1093" s="32"/>
      <c r="AK1093" s="32"/>
      <c r="AL1093" s="32"/>
      <c r="AM1093" s="32"/>
      <c r="AN1093" s="32"/>
      <c r="AO1093" s="32"/>
      <c r="AP1093" s="29"/>
    </row>
    <row r="1094">
      <c r="A1094" s="115"/>
      <c r="B1094" s="116"/>
      <c r="C1094" s="115"/>
      <c r="D1094" s="115"/>
      <c r="E1094" s="115"/>
      <c r="F1094" s="115"/>
      <c r="G1094" s="115"/>
      <c r="H1094" s="115"/>
      <c r="I1094" s="115"/>
      <c r="J1094" s="115"/>
      <c r="K1094" s="115"/>
      <c r="L1094" s="115"/>
      <c r="O1094" s="116"/>
      <c r="Q1094" s="116"/>
      <c r="T1094" s="114"/>
      <c r="Y1094" s="118"/>
      <c r="Z1094" s="28"/>
      <c r="AA1094" s="28"/>
      <c r="AB1094" s="28"/>
      <c r="AC1094" s="28"/>
      <c r="AD1094" s="29"/>
      <c r="AE1094" s="29"/>
      <c r="AF1094" s="29"/>
      <c r="AG1094" s="29"/>
      <c r="AH1094" s="30"/>
      <c r="AI1094" s="31"/>
      <c r="AJ1094" s="28"/>
      <c r="AK1094" s="32"/>
      <c r="AL1094" s="32"/>
      <c r="AM1094" s="32"/>
      <c r="AN1094" s="32"/>
      <c r="AO1094" s="28"/>
      <c r="AP1094" s="29"/>
    </row>
    <row r="1095">
      <c r="A1095" s="115"/>
      <c r="B1095" s="116"/>
      <c r="C1095" s="115"/>
      <c r="D1095" s="115"/>
      <c r="E1095" s="115"/>
      <c r="F1095" s="115"/>
      <c r="G1095" s="115"/>
      <c r="H1095" s="115"/>
      <c r="I1095" s="115"/>
      <c r="J1095" s="115"/>
      <c r="K1095" s="115"/>
      <c r="L1095" s="115"/>
      <c r="O1095" s="116"/>
      <c r="Q1095" s="116"/>
      <c r="T1095" s="114"/>
      <c r="Y1095" s="118"/>
      <c r="Z1095" s="28"/>
      <c r="AA1095" s="28"/>
      <c r="AB1095" s="28"/>
      <c r="AC1095" s="29"/>
      <c r="AD1095" s="29"/>
      <c r="AE1095" s="29"/>
      <c r="AF1095" s="29"/>
      <c r="AG1095" s="29"/>
      <c r="AH1095" s="30"/>
      <c r="AI1095" s="31"/>
      <c r="AJ1095" s="28"/>
      <c r="AK1095" s="32"/>
      <c r="AL1095" s="32"/>
      <c r="AM1095" s="32"/>
      <c r="AN1095" s="32"/>
      <c r="AO1095" s="28"/>
      <c r="AP1095" s="29"/>
    </row>
    <row r="1096">
      <c r="A1096" s="115"/>
      <c r="B1096" s="116"/>
      <c r="C1096" s="115"/>
      <c r="D1096" s="115"/>
      <c r="E1096" s="115"/>
      <c r="F1096" s="115"/>
      <c r="G1096" s="115"/>
      <c r="H1096" s="115"/>
      <c r="I1096" s="115"/>
      <c r="J1096" s="115"/>
      <c r="K1096" s="115"/>
      <c r="L1096" s="115"/>
      <c r="O1096" s="116"/>
      <c r="Q1096" s="116"/>
      <c r="T1096" s="114"/>
      <c r="Y1096" s="118"/>
      <c r="Z1096" s="28"/>
      <c r="AA1096" s="28"/>
      <c r="AB1096" s="28"/>
      <c r="AC1096" s="29"/>
      <c r="AD1096" s="29"/>
      <c r="AE1096" s="29"/>
      <c r="AF1096" s="29"/>
      <c r="AG1096" s="29"/>
      <c r="AH1096" s="30"/>
      <c r="AI1096" s="31"/>
      <c r="AJ1096" s="28"/>
      <c r="AK1096" s="28"/>
      <c r="AL1096" s="28"/>
      <c r="AM1096" s="28"/>
      <c r="AN1096" s="28"/>
      <c r="AO1096" s="28"/>
      <c r="AP1096" s="29"/>
    </row>
    <row r="1097">
      <c r="A1097" s="115"/>
      <c r="B1097" s="116"/>
      <c r="C1097" s="115"/>
      <c r="D1097" s="115"/>
      <c r="E1097" s="115"/>
      <c r="F1097" s="115"/>
      <c r="G1097" s="115"/>
      <c r="H1097" s="115"/>
      <c r="I1097" s="115"/>
      <c r="J1097" s="115"/>
      <c r="K1097" s="115"/>
      <c r="L1097" s="115"/>
      <c r="O1097" s="116"/>
      <c r="Q1097" s="116"/>
      <c r="T1097" s="114"/>
      <c r="Y1097" s="118"/>
      <c r="Z1097" s="28"/>
      <c r="AA1097" s="28"/>
      <c r="AB1097" s="28"/>
      <c r="AC1097" s="29"/>
      <c r="AD1097" s="29"/>
      <c r="AE1097" s="29"/>
      <c r="AF1097" s="29"/>
      <c r="AG1097" s="29"/>
      <c r="AH1097" s="30"/>
      <c r="AI1097" s="32"/>
      <c r="AJ1097" s="28"/>
      <c r="AK1097" s="28"/>
      <c r="AL1097" s="28"/>
      <c r="AM1097" s="28"/>
      <c r="AN1097" s="28"/>
      <c r="AO1097" s="28"/>
      <c r="AP1097" s="29"/>
    </row>
    <row r="1098">
      <c r="A1098" s="115"/>
      <c r="B1098" s="116"/>
      <c r="C1098" s="115"/>
      <c r="D1098" s="115"/>
      <c r="E1098" s="115"/>
      <c r="F1098" s="115"/>
      <c r="G1098" s="115"/>
      <c r="H1098" s="115"/>
      <c r="I1098" s="115"/>
      <c r="J1098" s="115"/>
      <c r="K1098" s="115"/>
      <c r="L1098" s="115"/>
      <c r="O1098" s="116"/>
      <c r="Q1098" s="116"/>
      <c r="T1098" s="114"/>
      <c r="Y1098" s="118"/>
      <c r="Z1098" s="28"/>
      <c r="AA1098" s="28"/>
      <c r="AB1098" s="28"/>
      <c r="AC1098" s="29"/>
      <c r="AD1098" s="29"/>
      <c r="AE1098" s="29"/>
      <c r="AF1098" s="29"/>
      <c r="AG1098" s="29"/>
      <c r="AH1098" s="30"/>
      <c r="AI1098" s="31"/>
      <c r="AJ1098" s="28"/>
      <c r="AK1098" s="32"/>
      <c r="AL1098" s="32"/>
      <c r="AM1098" s="32"/>
      <c r="AN1098" s="32"/>
      <c r="AO1098" s="28"/>
      <c r="AP1098" s="29"/>
    </row>
    <row r="1099">
      <c r="A1099" s="115"/>
      <c r="B1099" s="116"/>
      <c r="C1099" s="115"/>
      <c r="D1099" s="115"/>
      <c r="E1099" s="115"/>
      <c r="F1099" s="115"/>
      <c r="G1099" s="115"/>
      <c r="H1099" s="115"/>
      <c r="I1099" s="115"/>
      <c r="J1099" s="115"/>
      <c r="K1099" s="115"/>
      <c r="L1099" s="115"/>
      <c r="O1099" s="116"/>
      <c r="Q1099" s="116"/>
      <c r="T1099" s="114"/>
      <c r="Y1099" s="118"/>
      <c r="Z1099" s="28"/>
      <c r="AA1099" s="28"/>
      <c r="AB1099" s="29"/>
      <c r="AC1099" s="29"/>
      <c r="AD1099" s="29"/>
      <c r="AE1099" s="29"/>
      <c r="AF1099" s="29"/>
      <c r="AG1099" s="29"/>
      <c r="AH1099" s="30"/>
      <c r="AI1099" s="31"/>
      <c r="AJ1099" s="28"/>
      <c r="AK1099" s="32"/>
      <c r="AL1099" s="32"/>
      <c r="AM1099" s="32"/>
      <c r="AN1099" s="32"/>
      <c r="AO1099" s="28"/>
      <c r="AP1099" s="29"/>
    </row>
    <row r="1100">
      <c r="A1100" s="115"/>
      <c r="B1100" s="116"/>
      <c r="C1100" s="115"/>
      <c r="D1100" s="115"/>
      <c r="E1100" s="115"/>
      <c r="F1100" s="115"/>
      <c r="G1100" s="115"/>
      <c r="H1100" s="115"/>
      <c r="I1100" s="115"/>
      <c r="J1100" s="115"/>
      <c r="K1100" s="115"/>
      <c r="L1100" s="115"/>
      <c r="O1100" s="116"/>
      <c r="Q1100" s="116"/>
      <c r="T1100" s="114"/>
      <c r="Y1100" s="118"/>
      <c r="Z1100" s="28"/>
      <c r="AA1100" s="29"/>
      <c r="AB1100" s="29"/>
      <c r="AC1100" s="29"/>
      <c r="AD1100" s="29"/>
      <c r="AE1100" s="29"/>
      <c r="AF1100" s="29"/>
      <c r="AG1100" s="29"/>
      <c r="AH1100" s="30"/>
      <c r="AI1100" s="32"/>
      <c r="AJ1100" s="32"/>
      <c r="AK1100" s="32"/>
      <c r="AL1100" s="32"/>
      <c r="AM1100" s="32"/>
      <c r="AN1100" s="32"/>
      <c r="AO1100" s="32"/>
      <c r="AP1100" s="29"/>
    </row>
    <row r="1101">
      <c r="A1101" s="115"/>
      <c r="B1101" s="116"/>
      <c r="C1101" s="115"/>
      <c r="D1101" s="115"/>
      <c r="E1101" s="115"/>
      <c r="F1101" s="115"/>
      <c r="G1101" s="115"/>
      <c r="H1101" s="115"/>
      <c r="I1101" s="115"/>
      <c r="J1101" s="115"/>
      <c r="K1101" s="115"/>
      <c r="L1101" s="115"/>
      <c r="O1101" s="116"/>
      <c r="Q1101" s="116"/>
      <c r="T1101" s="114"/>
      <c r="Y1101" s="118"/>
      <c r="Z1101" s="28"/>
      <c r="AA1101" s="28"/>
      <c r="AB1101" s="28"/>
      <c r="AC1101" s="28"/>
      <c r="AD1101" s="29"/>
      <c r="AE1101" s="29"/>
      <c r="AF1101" s="29"/>
      <c r="AG1101" s="29"/>
      <c r="AH1101" s="30"/>
      <c r="AI1101" s="31"/>
      <c r="AJ1101" s="28"/>
      <c r="AK1101" s="32"/>
      <c r="AL1101" s="32"/>
      <c r="AM1101" s="32"/>
      <c r="AN1101" s="32"/>
      <c r="AO1101" s="28"/>
      <c r="AP1101" s="29"/>
    </row>
    <row r="1102">
      <c r="A1102" s="115"/>
      <c r="B1102" s="116"/>
      <c r="C1102" s="115"/>
      <c r="D1102" s="115"/>
      <c r="E1102" s="115"/>
      <c r="F1102" s="115"/>
      <c r="G1102" s="115"/>
      <c r="H1102" s="115"/>
      <c r="I1102" s="115"/>
      <c r="J1102" s="115"/>
      <c r="K1102" s="115"/>
      <c r="L1102" s="115"/>
      <c r="O1102" s="116"/>
      <c r="Q1102" s="116"/>
      <c r="T1102" s="114"/>
      <c r="Y1102" s="118"/>
      <c r="Z1102" s="28"/>
      <c r="AA1102" s="28"/>
      <c r="AB1102" s="28"/>
      <c r="AC1102" s="28"/>
      <c r="AD1102" s="29"/>
      <c r="AE1102" s="29"/>
      <c r="AF1102" s="29"/>
      <c r="AG1102" s="29"/>
      <c r="AH1102" s="30"/>
      <c r="AI1102" s="31"/>
      <c r="AJ1102" s="28"/>
      <c r="AK1102" s="32"/>
      <c r="AL1102" s="32"/>
      <c r="AM1102" s="32"/>
      <c r="AN1102" s="32"/>
      <c r="AO1102" s="28"/>
      <c r="AP1102" s="29"/>
    </row>
    <row r="1103">
      <c r="A1103" s="115"/>
      <c r="B1103" s="116"/>
      <c r="C1103" s="115"/>
      <c r="D1103" s="115"/>
      <c r="E1103" s="115"/>
      <c r="F1103" s="115"/>
      <c r="G1103" s="115"/>
      <c r="H1103" s="115"/>
      <c r="I1103" s="115"/>
      <c r="J1103" s="115"/>
      <c r="K1103" s="115"/>
      <c r="L1103" s="115"/>
      <c r="O1103" s="116"/>
      <c r="Q1103" s="116"/>
      <c r="T1103" s="114"/>
      <c r="Y1103" s="118"/>
      <c r="Z1103" s="28"/>
      <c r="AA1103" s="28"/>
      <c r="AB1103" s="28"/>
      <c r="AC1103" s="28"/>
      <c r="AD1103" s="29"/>
      <c r="AE1103" s="29"/>
      <c r="AF1103" s="29"/>
      <c r="AG1103" s="29"/>
      <c r="AH1103" s="30"/>
      <c r="AI1103" s="31"/>
      <c r="AJ1103" s="28"/>
      <c r="AK1103" s="28"/>
      <c r="AL1103" s="28"/>
      <c r="AM1103" s="28"/>
      <c r="AN1103" s="32"/>
      <c r="AO1103" s="28"/>
      <c r="AP1103" s="28"/>
    </row>
    <row r="1104">
      <c r="A1104" s="115"/>
      <c r="B1104" s="116"/>
      <c r="C1104" s="115"/>
      <c r="D1104" s="115"/>
      <c r="E1104" s="115"/>
      <c r="F1104" s="115"/>
      <c r="G1104" s="115"/>
      <c r="H1104" s="115"/>
      <c r="I1104" s="115"/>
      <c r="J1104" s="115"/>
      <c r="K1104" s="115"/>
      <c r="L1104" s="115"/>
      <c r="O1104" s="116"/>
      <c r="Q1104" s="116"/>
      <c r="T1104" s="114"/>
      <c r="Y1104" s="118"/>
      <c r="Z1104" s="28"/>
      <c r="AA1104" s="28"/>
      <c r="AB1104" s="28"/>
      <c r="AC1104" s="29"/>
      <c r="AD1104" s="29"/>
      <c r="AE1104" s="29"/>
      <c r="AF1104" s="29"/>
      <c r="AG1104" s="29"/>
      <c r="AH1104" s="30"/>
      <c r="AI1104" s="31"/>
      <c r="AJ1104" s="28"/>
      <c r="AK1104" s="32"/>
      <c r="AL1104" s="32"/>
      <c r="AM1104" s="32"/>
      <c r="AN1104" s="32"/>
      <c r="AO1104" s="28"/>
      <c r="AP1104" s="29"/>
    </row>
    <row r="1105">
      <c r="A1105" s="115"/>
      <c r="B1105" s="116"/>
      <c r="C1105" s="115"/>
      <c r="D1105" s="115"/>
      <c r="E1105" s="115"/>
      <c r="F1105" s="115"/>
      <c r="G1105" s="115"/>
      <c r="H1105" s="115"/>
      <c r="I1105" s="115"/>
      <c r="J1105" s="115"/>
      <c r="K1105" s="115"/>
      <c r="L1105" s="115"/>
      <c r="O1105" s="116"/>
      <c r="Q1105" s="116"/>
      <c r="T1105" s="114"/>
      <c r="Y1105" s="118"/>
      <c r="Z1105" s="28"/>
      <c r="AA1105" s="28"/>
      <c r="AB1105" s="29"/>
      <c r="AC1105" s="29"/>
      <c r="AD1105" s="29"/>
      <c r="AE1105" s="29"/>
      <c r="AF1105" s="29"/>
      <c r="AG1105" s="29"/>
      <c r="AH1105" s="30"/>
      <c r="AI1105" s="31"/>
      <c r="AJ1105" s="28"/>
      <c r="AK1105" s="32"/>
      <c r="AL1105" s="32"/>
      <c r="AM1105" s="32"/>
      <c r="AN1105" s="32"/>
      <c r="AO1105" s="28"/>
      <c r="AP1105" s="29"/>
    </row>
    <row r="1106">
      <c r="A1106" s="115"/>
      <c r="B1106" s="116"/>
      <c r="C1106" s="115"/>
      <c r="D1106" s="115"/>
      <c r="E1106" s="115"/>
      <c r="F1106" s="115"/>
      <c r="G1106" s="115"/>
      <c r="H1106" s="115"/>
      <c r="I1106" s="115"/>
      <c r="J1106" s="115"/>
      <c r="K1106" s="115"/>
      <c r="L1106" s="115"/>
      <c r="O1106" s="116"/>
      <c r="Q1106" s="116"/>
      <c r="T1106" s="114"/>
      <c r="Y1106" s="118"/>
      <c r="Z1106" s="28"/>
      <c r="AA1106" s="28"/>
      <c r="AB1106" s="28"/>
      <c r="AC1106" s="28"/>
      <c r="AD1106" s="28"/>
      <c r="AE1106" s="28"/>
      <c r="AF1106" s="29"/>
      <c r="AG1106" s="29"/>
      <c r="AH1106" s="30"/>
      <c r="AI1106" s="31"/>
      <c r="AJ1106" s="28"/>
      <c r="AK1106" s="28"/>
      <c r="AL1106" s="28"/>
      <c r="AM1106" s="28"/>
      <c r="AN1106" s="28"/>
      <c r="AO1106" s="28"/>
      <c r="AP1106" s="29"/>
    </row>
    <row r="1107">
      <c r="A1107" s="115"/>
      <c r="B1107" s="116"/>
      <c r="C1107" s="115"/>
      <c r="D1107" s="115"/>
      <c r="E1107" s="115"/>
      <c r="F1107" s="115"/>
      <c r="G1107" s="115"/>
      <c r="H1107" s="115"/>
      <c r="I1107" s="115"/>
      <c r="J1107" s="115"/>
      <c r="K1107" s="115"/>
      <c r="L1107" s="115"/>
      <c r="O1107" s="116"/>
      <c r="Q1107" s="116"/>
      <c r="T1107" s="114"/>
      <c r="Y1107" s="118"/>
      <c r="Z1107" s="28"/>
      <c r="AA1107" s="28"/>
      <c r="AB1107" s="28"/>
      <c r="AC1107" s="29"/>
      <c r="AD1107" s="29"/>
      <c r="AE1107" s="29"/>
      <c r="AF1107" s="29"/>
      <c r="AG1107" s="29"/>
      <c r="AH1107" s="30"/>
      <c r="AI1107" s="31"/>
      <c r="AJ1107" s="28"/>
      <c r="AK1107" s="32"/>
      <c r="AL1107" s="32"/>
      <c r="AM1107" s="32"/>
      <c r="AN1107" s="32"/>
      <c r="AO1107" s="28"/>
      <c r="AP1107" s="29"/>
    </row>
    <row r="1108">
      <c r="A1108" s="115"/>
      <c r="B1108" s="116"/>
      <c r="C1108" s="115"/>
      <c r="D1108" s="115"/>
      <c r="E1108" s="115"/>
      <c r="F1108" s="115"/>
      <c r="G1108" s="115"/>
      <c r="H1108" s="115"/>
      <c r="I1108" s="115"/>
      <c r="J1108" s="115"/>
      <c r="K1108" s="115"/>
      <c r="L1108" s="115"/>
      <c r="O1108" s="116"/>
      <c r="Q1108" s="116"/>
      <c r="T1108" s="114"/>
      <c r="Y1108" s="118"/>
      <c r="Z1108" s="28"/>
      <c r="AA1108" s="28"/>
      <c r="AB1108" s="29"/>
      <c r="AC1108" s="29"/>
      <c r="AD1108" s="29"/>
      <c r="AE1108" s="29"/>
      <c r="AF1108" s="29"/>
      <c r="AG1108" s="29"/>
      <c r="AH1108" s="30"/>
      <c r="AI1108" s="31"/>
      <c r="AJ1108" s="28"/>
      <c r="AK1108" s="32"/>
      <c r="AL1108" s="32"/>
      <c r="AM1108" s="32"/>
      <c r="AN1108" s="32"/>
      <c r="AO1108" s="28"/>
      <c r="AP1108" s="29"/>
    </row>
    <row r="1109">
      <c r="A1109" s="115"/>
      <c r="B1109" s="116"/>
      <c r="C1109" s="115"/>
      <c r="D1109" s="115"/>
      <c r="E1109" s="115"/>
      <c r="F1109" s="115"/>
      <c r="G1109" s="115"/>
      <c r="H1109" s="115"/>
      <c r="I1109" s="115"/>
      <c r="J1109" s="115"/>
      <c r="K1109" s="115"/>
      <c r="L1109" s="115"/>
      <c r="O1109" s="116"/>
      <c r="Q1109" s="116"/>
      <c r="T1109" s="114"/>
      <c r="Y1109" s="118"/>
      <c r="Z1109" s="28"/>
      <c r="AA1109" s="28"/>
      <c r="AB1109" s="28"/>
      <c r="AC1109" s="29"/>
      <c r="AD1109" s="29"/>
      <c r="AE1109" s="29"/>
      <c r="AF1109" s="29"/>
      <c r="AG1109" s="29"/>
      <c r="AH1109" s="30"/>
      <c r="AI1109" s="31"/>
      <c r="AJ1109" s="28"/>
      <c r="AK1109" s="28"/>
      <c r="AL1109" s="28"/>
      <c r="AM1109" s="32"/>
      <c r="AN1109" s="32"/>
      <c r="AO1109" s="28"/>
      <c r="AP1109" s="29"/>
    </row>
    <row r="1110">
      <c r="A1110" s="115"/>
      <c r="B1110" s="116"/>
      <c r="C1110" s="115"/>
      <c r="D1110" s="115"/>
      <c r="E1110" s="115"/>
      <c r="F1110" s="115"/>
      <c r="G1110" s="115"/>
      <c r="H1110" s="115"/>
      <c r="I1110" s="115"/>
      <c r="J1110" s="115"/>
      <c r="K1110" s="115"/>
      <c r="L1110" s="115"/>
      <c r="O1110" s="116"/>
      <c r="Q1110" s="116"/>
      <c r="T1110" s="114"/>
      <c r="Y1110" s="118"/>
      <c r="Z1110" s="28"/>
      <c r="AA1110" s="28"/>
      <c r="AB1110" s="28"/>
      <c r="AC1110" s="28"/>
      <c r="AD1110" s="29"/>
      <c r="AE1110" s="29"/>
      <c r="AF1110" s="29"/>
      <c r="AG1110" s="29"/>
      <c r="AH1110" s="30"/>
      <c r="AI1110" s="31"/>
      <c r="AJ1110" s="28"/>
      <c r="AK1110" s="28"/>
      <c r="AL1110" s="28"/>
      <c r="AM1110" s="32"/>
      <c r="AN1110" s="32"/>
      <c r="AO1110" s="28"/>
      <c r="AP1110" s="29"/>
    </row>
    <row r="1111">
      <c r="A1111" s="115"/>
      <c r="B1111" s="116"/>
      <c r="C1111" s="115"/>
      <c r="D1111" s="115"/>
      <c r="E1111" s="115"/>
      <c r="F1111" s="115"/>
      <c r="G1111" s="115"/>
      <c r="H1111" s="115"/>
      <c r="I1111" s="115"/>
      <c r="J1111" s="115"/>
      <c r="K1111" s="115"/>
      <c r="L1111" s="115"/>
      <c r="O1111" s="116"/>
      <c r="Q1111" s="116"/>
      <c r="T1111" s="114"/>
      <c r="Y1111" s="118"/>
      <c r="Z1111" s="28"/>
      <c r="AA1111" s="28"/>
      <c r="AB1111" s="28"/>
      <c r="AC1111" s="28"/>
      <c r="AD1111" s="28"/>
      <c r="AE1111" s="28"/>
      <c r="AF1111" s="29"/>
      <c r="AG1111" s="29"/>
      <c r="AH1111" s="30"/>
      <c r="AI1111" s="31"/>
      <c r="AJ1111" s="28"/>
      <c r="AK1111" s="32"/>
      <c r="AL1111" s="32"/>
      <c r="AM1111" s="32"/>
      <c r="AN1111" s="32"/>
      <c r="AO1111" s="28"/>
      <c r="AP1111" s="29"/>
    </row>
    <row r="1112">
      <c r="A1112" s="115"/>
      <c r="B1112" s="116"/>
      <c r="C1112" s="115"/>
      <c r="D1112" s="115"/>
      <c r="E1112" s="115"/>
      <c r="F1112" s="115"/>
      <c r="G1112" s="115"/>
      <c r="H1112" s="115"/>
      <c r="I1112" s="115"/>
      <c r="J1112" s="115"/>
      <c r="K1112" s="115"/>
      <c r="L1112" s="115"/>
      <c r="O1112" s="116"/>
      <c r="Q1112" s="116"/>
      <c r="T1112" s="114"/>
      <c r="Y1112" s="118"/>
      <c r="Z1112" s="28"/>
      <c r="AA1112" s="28"/>
      <c r="AB1112" s="29"/>
      <c r="AC1112" s="29"/>
      <c r="AD1112" s="29"/>
      <c r="AE1112" s="29"/>
      <c r="AF1112" s="29"/>
      <c r="AG1112" s="29"/>
      <c r="AH1112" s="30"/>
      <c r="AI1112" s="31"/>
      <c r="AJ1112" s="28"/>
      <c r="AK1112" s="32"/>
      <c r="AL1112" s="32"/>
      <c r="AM1112" s="32"/>
      <c r="AN1112" s="32"/>
      <c r="AO1112" s="28"/>
      <c r="AP1112" s="29"/>
    </row>
    <row r="1113">
      <c r="A1113" s="115"/>
      <c r="B1113" s="116"/>
      <c r="C1113" s="115"/>
      <c r="D1113" s="115"/>
      <c r="E1113" s="115"/>
      <c r="F1113" s="115"/>
      <c r="G1113" s="115"/>
      <c r="H1113" s="115"/>
      <c r="I1113" s="115"/>
      <c r="J1113" s="115"/>
      <c r="K1113" s="115"/>
      <c r="L1113" s="115"/>
      <c r="O1113" s="116"/>
      <c r="Q1113" s="116"/>
      <c r="T1113" s="114"/>
      <c r="Y1113" s="118"/>
      <c r="Z1113" s="28"/>
      <c r="AA1113" s="28"/>
      <c r="AB1113" s="29"/>
      <c r="AC1113" s="29"/>
      <c r="AD1113" s="29"/>
      <c r="AE1113" s="29"/>
      <c r="AF1113" s="29"/>
      <c r="AG1113" s="29"/>
      <c r="AH1113" s="30"/>
      <c r="AI1113" s="31"/>
      <c r="AJ1113" s="28"/>
      <c r="AK1113" s="32"/>
      <c r="AL1113" s="32"/>
      <c r="AM1113" s="32"/>
      <c r="AN1113" s="32"/>
      <c r="AO1113" s="28"/>
      <c r="AP1113" s="29"/>
    </row>
    <row r="1114">
      <c r="A1114" s="115"/>
      <c r="B1114" s="116"/>
      <c r="C1114" s="115"/>
      <c r="D1114" s="115"/>
      <c r="E1114" s="115"/>
      <c r="F1114" s="115"/>
      <c r="G1114" s="115"/>
      <c r="H1114" s="115"/>
      <c r="I1114" s="115"/>
      <c r="J1114" s="115"/>
      <c r="K1114" s="115"/>
      <c r="L1114" s="115"/>
      <c r="O1114" s="116"/>
      <c r="Q1114" s="116"/>
      <c r="T1114" s="114"/>
      <c r="Y1114" s="118"/>
      <c r="Z1114" s="28"/>
      <c r="AA1114" s="29"/>
      <c r="AB1114" s="29"/>
      <c r="AC1114" s="29"/>
      <c r="AD1114" s="29"/>
      <c r="AE1114" s="29"/>
      <c r="AF1114" s="29"/>
      <c r="AG1114" s="29"/>
      <c r="AH1114" s="30"/>
      <c r="AI1114" s="32"/>
      <c r="AJ1114" s="28"/>
      <c r="AK1114" s="32"/>
      <c r="AL1114" s="32"/>
      <c r="AM1114" s="32"/>
      <c r="AN1114" s="32"/>
      <c r="AO1114" s="28"/>
      <c r="AP1114" s="29"/>
    </row>
    <row r="1115">
      <c r="A1115" s="115"/>
      <c r="B1115" s="116"/>
      <c r="C1115" s="115"/>
      <c r="D1115" s="115"/>
      <c r="E1115" s="115"/>
      <c r="F1115" s="115"/>
      <c r="G1115" s="115"/>
      <c r="H1115" s="115"/>
      <c r="I1115" s="115"/>
      <c r="J1115" s="115"/>
      <c r="K1115" s="115"/>
      <c r="L1115" s="115"/>
      <c r="O1115" s="116"/>
      <c r="Q1115" s="116"/>
      <c r="T1115" s="114"/>
      <c r="Y1115" s="118"/>
      <c r="Z1115" s="28"/>
      <c r="AA1115" s="28"/>
      <c r="AB1115" s="28"/>
      <c r="AC1115" s="28"/>
      <c r="AD1115" s="29"/>
      <c r="AE1115" s="29"/>
      <c r="AF1115" s="29"/>
      <c r="AG1115" s="29"/>
      <c r="AH1115" s="30"/>
      <c r="AI1115" s="31"/>
      <c r="AJ1115" s="32"/>
      <c r="AK1115" s="32"/>
      <c r="AL1115" s="32"/>
      <c r="AM1115" s="32"/>
      <c r="AN1115" s="32"/>
      <c r="AO1115" s="32"/>
      <c r="AP1115" s="29"/>
    </row>
    <row r="1116">
      <c r="A1116" s="115"/>
      <c r="B1116" s="116"/>
      <c r="C1116" s="115"/>
      <c r="D1116" s="115"/>
      <c r="E1116" s="115"/>
      <c r="F1116" s="115"/>
      <c r="G1116" s="115"/>
      <c r="H1116" s="115"/>
      <c r="I1116" s="115"/>
      <c r="J1116" s="115"/>
      <c r="K1116" s="115"/>
      <c r="L1116" s="115"/>
      <c r="O1116" s="116"/>
      <c r="Q1116" s="116"/>
      <c r="T1116" s="114"/>
      <c r="Y1116" s="118"/>
      <c r="Z1116" s="28"/>
      <c r="AA1116" s="28"/>
      <c r="AB1116" s="28"/>
      <c r="AC1116" s="29"/>
      <c r="AD1116" s="29"/>
      <c r="AE1116" s="29"/>
      <c r="AF1116" s="29"/>
      <c r="AG1116" s="29"/>
      <c r="AH1116" s="30"/>
      <c r="AI1116" s="31"/>
      <c r="AJ1116" s="28"/>
      <c r="AK1116" s="32"/>
      <c r="AL1116" s="32"/>
      <c r="AM1116" s="32"/>
      <c r="AN1116" s="32"/>
      <c r="AO1116" s="28"/>
      <c r="AP1116" s="29"/>
    </row>
    <row r="1117">
      <c r="A1117" s="115"/>
      <c r="B1117" s="116"/>
      <c r="C1117" s="115"/>
      <c r="D1117" s="115"/>
      <c r="E1117" s="115"/>
      <c r="F1117" s="115"/>
      <c r="G1117" s="115"/>
      <c r="H1117" s="115"/>
      <c r="I1117" s="115"/>
      <c r="J1117" s="115"/>
      <c r="K1117" s="115"/>
      <c r="L1117" s="115"/>
      <c r="O1117" s="116"/>
      <c r="Q1117" s="116"/>
      <c r="T1117" s="114"/>
      <c r="Y1117" s="118"/>
      <c r="Z1117" s="28"/>
      <c r="AA1117" s="28"/>
      <c r="AB1117" s="29"/>
      <c r="AC1117" s="29"/>
      <c r="AD1117" s="29"/>
      <c r="AE1117" s="29"/>
      <c r="AF1117" s="29"/>
      <c r="AG1117" s="29"/>
      <c r="AH1117" s="30"/>
      <c r="AI1117" s="31"/>
      <c r="AJ1117" s="28"/>
      <c r="AK1117" s="32"/>
      <c r="AL1117" s="32"/>
      <c r="AM1117" s="32"/>
      <c r="AN1117" s="32"/>
      <c r="AO1117" s="28"/>
      <c r="AP1117" s="29"/>
    </row>
    <row r="1118">
      <c r="A1118" s="115"/>
      <c r="B1118" s="116"/>
      <c r="C1118" s="115"/>
      <c r="D1118" s="115"/>
      <c r="E1118" s="115"/>
      <c r="F1118" s="115"/>
      <c r="G1118" s="115"/>
      <c r="H1118" s="115"/>
      <c r="I1118" s="115"/>
      <c r="J1118" s="115"/>
      <c r="K1118" s="115"/>
      <c r="L1118" s="115"/>
      <c r="O1118" s="116"/>
      <c r="Q1118" s="116"/>
      <c r="T1118" s="114"/>
      <c r="Y1118" s="118"/>
      <c r="Z1118" s="28"/>
      <c r="AA1118" s="28"/>
      <c r="AB1118" s="28"/>
      <c r="AC1118" s="29"/>
      <c r="AD1118" s="29"/>
      <c r="AE1118" s="29"/>
      <c r="AF1118" s="29"/>
      <c r="AG1118" s="29"/>
      <c r="AH1118" s="30"/>
      <c r="AI1118" s="31"/>
      <c r="AJ1118" s="28"/>
      <c r="AK1118" s="32"/>
      <c r="AL1118" s="32"/>
      <c r="AM1118" s="32"/>
      <c r="AN1118" s="32"/>
      <c r="AO1118" s="28"/>
      <c r="AP1118" s="29"/>
    </row>
    <row r="1119">
      <c r="A1119" s="115"/>
      <c r="B1119" s="116"/>
      <c r="C1119" s="115"/>
      <c r="D1119" s="115"/>
      <c r="E1119" s="115"/>
      <c r="F1119" s="115"/>
      <c r="G1119" s="115"/>
      <c r="H1119" s="115"/>
      <c r="I1119" s="115"/>
      <c r="J1119" s="115"/>
      <c r="K1119" s="115"/>
      <c r="L1119" s="115"/>
      <c r="O1119" s="116"/>
      <c r="Q1119" s="116"/>
      <c r="T1119" s="114"/>
      <c r="Y1119" s="118"/>
      <c r="Z1119" s="28"/>
      <c r="AA1119" s="28"/>
      <c r="AB1119" s="28"/>
      <c r="AC1119" s="28"/>
      <c r="AD1119" s="28"/>
      <c r="AE1119" s="29"/>
      <c r="AF1119" s="29"/>
      <c r="AG1119" s="29"/>
      <c r="AH1119" s="30"/>
      <c r="AI1119" s="31"/>
      <c r="AJ1119" s="28"/>
      <c r="AK1119" s="32"/>
      <c r="AL1119" s="32"/>
      <c r="AM1119" s="32"/>
      <c r="AN1119" s="32"/>
      <c r="AO1119" s="28"/>
      <c r="AP1119" s="29"/>
    </row>
    <row r="1120">
      <c r="A1120" s="115"/>
      <c r="B1120" s="116"/>
      <c r="C1120" s="115"/>
      <c r="D1120" s="115"/>
      <c r="E1120" s="115"/>
      <c r="F1120" s="115"/>
      <c r="G1120" s="115"/>
      <c r="H1120" s="115"/>
      <c r="I1120" s="115"/>
      <c r="J1120" s="115"/>
      <c r="K1120" s="115"/>
      <c r="L1120" s="115"/>
      <c r="O1120" s="116"/>
      <c r="Q1120" s="116"/>
      <c r="T1120" s="114"/>
      <c r="Y1120" s="118"/>
      <c r="Z1120" s="28"/>
      <c r="AA1120" s="28"/>
      <c r="AB1120" s="28"/>
      <c r="AC1120" s="29"/>
      <c r="AD1120" s="29"/>
      <c r="AE1120" s="29"/>
      <c r="AF1120" s="29"/>
      <c r="AG1120" s="29"/>
      <c r="AH1120" s="30"/>
      <c r="AI1120" s="31"/>
      <c r="AJ1120" s="28"/>
      <c r="AK1120" s="28"/>
      <c r="AL1120" s="28"/>
      <c r="AM1120" s="32"/>
      <c r="AN1120" s="32"/>
      <c r="AO1120" s="28"/>
      <c r="AP1120" s="29"/>
    </row>
    <row r="1121">
      <c r="A1121" s="115"/>
      <c r="B1121" s="116"/>
      <c r="C1121" s="115"/>
      <c r="D1121" s="115"/>
      <c r="E1121" s="115"/>
      <c r="F1121" s="115"/>
      <c r="G1121" s="115"/>
      <c r="H1121" s="115"/>
      <c r="I1121" s="115"/>
      <c r="J1121" s="115"/>
      <c r="K1121" s="115"/>
      <c r="L1121" s="115"/>
      <c r="O1121" s="116"/>
      <c r="Q1121" s="116"/>
      <c r="T1121" s="114"/>
      <c r="Y1121" s="118"/>
      <c r="Z1121" s="28"/>
      <c r="AA1121" s="28"/>
      <c r="AB1121" s="28"/>
      <c r="AC1121" s="29"/>
      <c r="AD1121" s="29"/>
      <c r="AE1121" s="29"/>
      <c r="AF1121" s="29"/>
      <c r="AG1121" s="29"/>
      <c r="AH1121" s="30"/>
      <c r="AI1121" s="31"/>
      <c r="AJ1121" s="28"/>
      <c r="AK1121" s="32"/>
      <c r="AL1121" s="32"/>
      <c r="AM1121" s="32"/>
      <c r="AN1121" s="32"/>
      <c r="AO1121" s="28"/>
      <c r="AP1121" s="29"/>
    </row>
    <row r="1122">
      <c r="A1122" s="115"/>
      <c r="B1122" s="116"/>
      <c r="C1122" s="115"/>
      <c r="D1122" s="115"/>
      <c r="E1122" s="115"/>
      <c r="F1122" s="115"/>
      <c r="G1122" s="115"/>
      <c r="H1122" s="115"/>
      <c r="I1122" s="115"/>
      <c r="J1122" s="115"/>
      <c r="K1122" s="115"/>
      <c r="L1122" s="115"/>
      <c r="O1122" s="116"/>
      <c r="Q1122" s="116"/>
      <c r="T1122" s="114"/>
      <c r="Y1122" s="118"/>
      <c r="Z1122" s="28"/>
      <c r="AA1122" s="28"/>
      <c r="AB1122" s="28"/>
      <c r="AC1122" s="28"/>
      <c r="AD1122" s="28"/>
      <c r="AE1122" s="29"/>
      <c r="AF1122" s="29"/>
      <c r="AG1122" s="29"/>
      <c r="AH1122" s="30"/>
      <c r="AI1122" s="31"/>
      <c r="AJ1122" s="28"/>
      <c r="AK1122" s="32"/>
      <c r="AL1122" s="32"/>
      <c r="AM1122" s="32"/>
      <c r="AN1122" s="32"/>
      <c r="AO1122" s="28"/>
      <c r="AP1122" s="29"/>
    </row>
    <row r="1123">
      <c r="A1123" s="115"/>
      <c r="B1123" s="116"/>
      <c r="C1123" s="115"/>
      <c r="D1123" s="115"/>
      <c r="E1123" s="115"/>
      <c r="F1123" s="115"/>
      <c r="G1123" s="115"/>
      <c r="H1123" s="115"/>
      <c r="I1123" s="115"/>
      <c r="J1123" s="115"/>
      <c r="K1123" s="115"/>
      <c r="L1123" s="115"/>
      <c r="O1123" s="116"/>
      <c r="Q1123" s="116"/>
      <c r="T1123" s="114"/>
      <c r="Y1123" s="118"/>
      <c r="Z1123" s="28"/>
      <c r="AA1123" s="28"/>
      <c r="AB1123" s="28"/>
      <c r="AC1123" s="29"/>
      <c r="AD1123" s="29"/>
      <c r="AE1123" s="29"/>
      <c r="AF1123" s="29"/>
      <c r="AG1123" s="29"/>
      <c r="AH1123" s="30"/>
      <c r="AI1123" s="31"/>
      <c r="AJ1123" s="28"/>
      <c r="AK1123" s="32"/>
      <c r="AL1123" s="32"/>
      <c r="AM1123" s="32"/>
      <c r="AN1123" s="32"/>
      <c r="AO1123" s="28"/>
      <c r="AP1123" s="29"/>
    </row>
    <row r="1124">
      <c r="A1124" s="115"/>
      <c r="B1124" s="116"/>
      <c r="C1124" s="115"/>
      <c r="D1124" s="115"/>
      <c r="E1124" s="115"/>
      <c r="F1124" s="115"/>
      <c r="G1124" s="115"/>
      <c r="H1124" s="115"/>
      <c r="I1124" s="115"/>
      <c r="J1124" s="115"/>
      <c r="K1124" s="115"/>
      <c r="L1124" s="115"/>
      <c r="O1124" s="116"/>
      <c r="Q1124" s="116"/>
      <c r="T1124" s="114"/>
      <c r="Y1124" s="118"/>
      <c r="Z1124" s="28"/>
      <c r="AA1124" s="28"/>
      <c r="AB1124" s="28"/>
      <c r="AC1124" s="28"/>
      <c r="AD1124" s="29"/>
      <c r="AE1124" s="29"/>
      <c r="AF1124" s="29"/>
      <c r="AG1124" s="29"/>
      <c r="AH1124" s="30"/>
      <c r="AI1124" s="31"/>
      <c r="AJ1124" s="28"/>
      <c r="AK1124" s="32"/>
      <c r="AL1124" s="32"/>
      <c r="AM1124" s="32"/>
      <c r="AN1124" s="32"/>
      <c r="AO1124" s="28"/>
      <c r="AP1124" s="29"/>
    </row>
    <row r="1125">
      <c r="A1125" s="115"/>
      <c r="B1125" s="116"/>
      <c r="C1125" s="115"/>
      <c r="D1125" s="115"/>
      <c r="E1125" s="115"/>
      <c r="F1125" s="115"/>
      <c r="G1125" s="115"/>
      <c r="H1125" s="115"/>
      <c r="I1125" s="115"/>
      <c r="J1125" s="115"/>
      <c r="K1125" s="115"/>
      <c r="L1125" s="115"/>
      <c r="O1125" s="116"/>
      <c r="Q1125" s="116"/>
      <c r="T1125" s="114"/>
      <c r="Y1125" s="118"/>
      <c r="Z1125" s="28"/>
      <c r="AA1125" s="28"/>
      <c r="AB1125" s="28"/>
      <c r="AC1125" s="28"/>
      <c r="AD1125" s="29"/>
      <c r="AE1125" s="29"/>
      <c r="AF1125" s="29"/>
      <c r="AG1125" s="29"/>
      <c r="AH1125" s="30"/>
      <c r="AI1125" s="31"/>
      <c r="AJ1125" s="28"/>
      <c r="AK1125" s="28"/>
      <c r="AL1125" s="28"/>
      <c r="AM1125" s="28"/>
      <c r="AN1125" s="32"/>
      <c r="AO1125" s="28"/>
      <c r="AP1125" s="29"/>
    </row>
    <row r="1126">
      <c r="A1126" s="115"/>
      <c r="B1126" s="116"/>
      <c r="C1126" s="115"/>
      <c r="D1126" s="115"/>
      <c r="E1126" s="115"/>
      <c r="F1126" s="115"/>
      <c r="G1126" s="115"/>
      <c r="H1126" s="115"/>
      <c r="I1126" s="115"/>
      <c r="J1126" s="115"/>
      <c r="K1126" s="115"/>
      <c r="L1126" s="115"/>
      <c r="O1126" s="116"/>
      <c r="Q1126" s="116"/>
      <c r="T1126" s="114"/>
      <c r="Y1126" s="118"/>
      <c r="Z1126" s="28"/>
      <c r="AA1126" s="28"/>
      <c r="AB1126" s="29"/>
      <c r="AC1126" s="29"/>
      <c r="AD1126" s="29"/>
      <c r="AE1126" s="29"/>
      <c r="AF1126" s="29"/>
      <c r="AG1126" s="29"/>
      <c r="AH1126" s="122"/>
      <c r="AI1126" s="31"/>
      <c r="AJ1126" s="32"/>
      <c r="AK1126" s="32"/>
      <c r="AL1126" s="32"/>
      <c r="AM1126" s="32"/>
      <c r="AN1126" s="32"/>
      <c r="AO1126" s="32"/>
      <c r="AP1126" s="29"/>
    </row>
    <row r="1127">
      <c r="A1127" s="115"/>
      <c r="B1127" s="116"/>
      <c r="C1127" s="115"/>
      <c r="D1127" s="115"/>
      <c r="E1127" s="115"/>
      <c r="F1127" s="115"/>
      <c r="G1127" s="115"/>
      <c r="H1127" s="115"/>
      <c r="I1127" s="115"/>
      <c r="J1127" s="115"/>
      <c r="K1127" s="115"/>
      <c r="L1127" s="115"/>
      <c r="O1127" s="116"/>
      <c r="Q1127" s="116"/>
      <c r="T1127" s="114"/>
      <c r="Y1127" s="118"/>
      <c r="Z1127" s="28"/>
      <c r="AA1127" s="28"/>
      <c r="AB1127" s="28"/>
      <c r="AC1127" s="28"/>
      <c r="AD1127" s="29"/>
      <c r="AE1127" s="29"/>
      <c r="AF1127" s="29"/>
      <c r="AG1127" s="29"/>
      <c r="AH1127" s="30"/>
      <c r="AI1127" s="31"/>
      <c r="AJ1127" s="28"/>
      <c r="AK1127" s="32"/>
      <c r="AL1127" s="32"/>
      <c r="AM1127" s="32"/>
      <c r="AN1127" s="32"/>
      <c r="AO1127" s="28"/>
      <c r="AP1127" s="29"/>
    </row>
    <row r="1128">
      <c r="A1128" s="115"/>
      <c r="B1128" s="116"/>
      <c r="C1128" s="115"/>
      <c r="D1128" s="115"/>
      <c r="E1128" s="115"/>
      <c r="F1128" s="115"/>
      <c r="G1128" s="115"/>
      <c r="H1128" s="115"/>
      <c r="I1128" s="115"/>
      <c r="J1128" s="115"/>
      <c r="K1128" s="115"/>
      <c r="L1128" s="115"/>
      <c r="O1128" s="116"/>
      <c r="Q1128" s="116"/>
      <c r="T1128" s="114"/>
      <c r="Y1128" s="118"/>
      <c r="Z1128" s="28"/>
      <c r="AA1128" s="28"/>
      <c r="AB1128" s="28"/>
      <c r="AC1128" s="28"/>
      <c r="AD1128" s="29"/>
      <c r="AE1128" s="29"/>
      <c r="AF1128" s="29"/>
      <c r="AG1128" s="29"/>
      <c r="AH1128" s="30"/>
      <c r="AI1128" s="31"/>
      <c r="AJ1128" s="28"/>
      <c r="AK1128" s="32"/>
      <c r="AL1128" s="32"/>
      <c r="AM1128" s="32"/>
      <c r="AN1128" s="32"/>
      <c r="AO1128" s="28"/>
      <c r="AP1128" s="29"/>
    </row>
    <row r="1129">
      <c r="A1129" s="115"/>
      <c r="B1129" s="116"/>
      <c r="C1129" s="115"/>
      <c r="D1129" s="115"/>
      <c r="E1129" s="115"/>
      <c r="F1129" s="115"/>
      <c r="G1129" s="115"/>
      <c r="H1129" s="115"/>
      <c r="I1129" s="115"/>
      <c r="J1129" s="115"/>
      <c r="K1129" s="115"/>
      <c r="L1129" s="115"/>
      <c r="O1129" s="116"/>
      <c r="Q1129" s="116"/>
      <c r="T1129" s="114"/>
      <c r="Y1129" s="118"/>
      <c r="Z1129" s="28"/>
      <c r="AA1129" s="28"/>
      <c r="AB1129" s="28"/>
      <c r="AC1129" s="29"/>
      <c r="AD1129" s="29"/>
      <c r="AE1129" s="29"/>
      <c r="AF1129" s="29"/>
      <c r="AG1129" s="29"/>
      <c r="AH1129" s="30"/>
      <c r="AI1129" s="31"/>
      <c r="AJ1129" s="28"/>
      <c r="AK1129" s="28"/>
      <c r="AL1129" s="28"/>
      <c r="AM1129" s="32"/>
      <c r="AN1129" s="32"/>
      <c r="AO1129" s="28"/>
      <c r="AP1129" s="29"/>
    </row>
    <row r="1130">
      <c r="A1130" s="115"/>
      <c r="B1130" s="116"/>
      <c r="C1130" s="115"/>
      <c r="D1130" s="115"/>
      <c r="E1130" s="115"/>
      <c r="F1130" s="115"/>
      <c r="G1130" s="115"/>
      <c r="H1130" s="115"/>
      <c r="I1130" s="115"/>
      <c r="J1130" s="115"/>
      <c r="K1130" s="115"/>
      <c r="L1130" s="115"/>
      <c r="O1130" s="116"/>
      <c r="Q1130" s="116"/>
      <c r="T1130" s="114"/>
      <c r="Y1130" s="118"/>
      <c r="Z1130" s="28"/>
      <c r="AA1130" s="28"/>
      <c r="AB1130" s="28"/>
      <c r="AC1130" s="29"/>
      <c r="AD1130" s="29"/>
      <c r="AE1130" s="29"/>
      <c r="AF1130" s="29"/>
      <c r="AG1130" s="29"/>
      <c r="AH1130" s="30"/>
      <c r="AI1130" s="31"/>
      <c r="AJ1130" s="28"/>
      <c r="AK1130" s="32"/>
      <c r="AL1130" s="32"/>
      <c r="AM1130" s="32"/>
      <c r="AN1130" s="32"/>
      <c r="AO1130" s="32"/>
      <c r="AP1130" s="29"/>
    </row>
    <row r="1131">
      <c r="A1131" s="115"/>
      <c r="B1131" s="116"/>
      <c r="C1131" s="115"/>
      <c r="D1131" s="115"/>
      <c r="E1131" s="115"/>
      <c r="F1131" s="115"/>
      <c r="G1131" s="115"/>
      <c r="H1131" s="115"/>
      <c r="I1131" s="115"/>
      <c r="J1131" s="115"/>
      <c r="K1131" s="115"/>
      <c r="L1131" s="115"/>
      <c r="O1131" s="116"/>
      <c r="Q1131" s="116"/>
      <c r="T1131" s="114"/>
      <c r="Y1131" s="118"/>
      <c r="Z1131" s="28"/>
      <c r="AA1131" s="28"/>
      <c r="AB1131" s="28"/>
      <c r="AC1131" s="28"/>
      <c r="AD1131" s="29"/>
      <c r="AE1131" s="29"/>
      <c r="AF1131" s="29"/>
      <c r="AG1131" s="29"/>
      <c r="AH1131" s="30"/>
      <c r="AI1131" s="31"/>
      <c r="AJ1131" s="32"/>
      <c r="AK1131" s="32"/>
      <c r="AL1131" s="32"/>
      <c r="AM1131" s="32"/>
      <c r="AN1131" s="32"/>
      <c r="AO1131" s="32"/>
      <c r="AP1131" s="29"/>
    </row>
    <row r="1132">
      <c r="A1132" s="115"/>
      <c r="B1132" s="116"/>
      <c r="C1132" s="115"/>
      <c r="D1132" s="115"/>
      <c r="E1132" s="115"/>
      <c r="F1132" s="115"/>
      <c r="G1132" s="115"/>
      <c r="H1132" s="115"/>
      <c r="I1132" s="115"/>
      <c r="J1132" s="115"/>
      <c r="K1132" s="115"/>
      <c r="L1132" s="115"/>
      <c r="O1132" s="116"/>
      <c r="Q1132" s="116"/>
      <c r="T1132" s="114"/>
      <c r="Y1132" s="118"/>
      <c r="Z1132" s="28"/>
      <c r="AA1132" s="28"/>
      <c r="AB1132" s="28"/>
      <c r="AC1132" s="29"/>
      <c r="AD1132" s="29"/>
      <c r="AE1132" s="29"/>
      <c r="AF1132" s="29"/>
      <c r="AG1132" s="29"/>
      <c r="AH1132" s="30"/>
      <c r="AI1132" s="31"/>
      <c r="AJ1132" s="28"/>
      <c r="AK1132" s="32"/>
      <c r="AL1132" s="32"/>
      <c r="AM1132" s="32"/>
      <c r="AN1132" s="32"/>
      <c r="AO1132" s="28"/>
      <c r="AP1132" s="29"/>
    </row>
    <row r="1133">
      <c r="A1133" s="115"/>
      <c r="B1133" s="116"/>
      <c r="C1133" s="115"/>
      <c r="D1133" s="115"/>
      <c r="E1133" s="115"/>
      <c r="F1133" s="115"/>
      <c r="G1133" s="115"/>
      <c r="H1133" s="115"/>
      <c r="I1133" s="115"/>
      <c r="J1133" s="115"/>
      <c r="K1133" s="115"/>
      <c r="L1133" s="115"/>
      <c r="O1133" s="116"/>
      <c r="Q1133" s="116"/>
      <c r="T1133" s="114"/>
      <c r="Y1133" s="118"/>
      <c r="Z1133" s="28"/>
      <c r="AA1133" s="29"/>
      <c r="AB1133" s="29"/>
      <c r="AC1133" s="29"/>
      <c r="AD1133" s="29"/>
      <c r="AE1133" s="29"/>
      <c r="AF1133" s="29"/>
      <c r="AG1133" s="29"/>
      <c r="AH1133" s="30"/>
      <c r="AI1133" s="32"/>
      <c r="AJ1133" s="28"/>
      <c r="AK1133" s="32"/>
      <c r="AL1133" s="32"/>
      <c r="AM1133" s="32"/>
      <c r="AN1133" s="32"/>
      <c r="AO1133" s="28"/>
      <c r="AP1133" s="29"/>
    </row>
    <row r="1134">
      <c r="A1134" s="115"/>
      <c r="B1134" s="116"/>
      <c r="C1134" s="115"/>
      <c r="D1134" s="115"/>
      <c r="E1134" s="115"/>
      <c r="F1134" s="115"/>
      <c r="G1134" s="115"/>
      <c r="H1134" s="115"/>
      <c r="I1134" s="115"/>
      <c r="J1134" s="115"/>
      <c r="K1134" s="115"/>
      <c r="L1134" s="115"/>
      <c r="O1134" s="116"/>
      <c r="Q1134" s="116"/>
      <c r="T1134" s="114"/>
      <c r="Y1134" s="118"/>
      <c r="Z1134" s="28"/>
      <c r="AA1134" s="28"/>
      <c r="AB1134" s="28"/>
      <c r="AC1134" s="29"/>
      <c r="AD1134" s="29"/>
      <c r="AE1134" s="29"/>
      <c r="AF1134" s="29"/>
      <c r="AG1134" s="29"/>
      <c r="AH1134" s="30"/>
      <c r="AI1134" s="31"/>
      <c r="AJ1134" s="28"/>
      <c r="AK1134" s="32"/>
      <c r="AL1134" s="32"/>
      <c r="AM1134" s="32"/>
      <c r="AN1134" s="32"/>
      <c r="AO1134" s="28"/>
      <c r="AP1134" s="29"/>
    </row>
    <row r="1135">
      <c r="A1135" s="115"/>
      <c r="B1135" s="116"/>
      <c r="C1135" s="115"/>
      <c r="D1135" s="115"/>
      <c r="E1135" s="115"/>
      <c r="F1135" s="115"/>
      <c r="G1135" s="115"/>
      <c r="H1135" s="115"/>
      <c r="I1135" s="115"/>
      <c r="J1135" s="115"/>
      <c r="K1135" s="115"/>
      <c r="L1135" s="115"/>
      <c r="O1135" s="116"/>
      <c r="Q1135" s="116"/>
      <c r="T1135" s="114"/>
      <c r="Y1135" s="118"/>
      <c r="Z1135" s="28"/>
      <c r="AA1135" s="28"/>
      <c r="AB1135" s="28"/>
      <c r="AC1135" s="29"/>
      <c r="AD1135" s="29"/>
      <c r="AE1135" s="29"/>
      <c r="AF1135" s="29"/>
      <c r="AG1135" s="29"/>
      <c r="AH1135" s="30"/>
      <c r="AI1135" s="31"/>
      <c r="AJ1135" s="28"/>
      <c r="AK1135" s="28"/>
      <c r="AL1135" s="28"/>
      <c r="AM1135" s="32"/>
      <c r="AN1135" s="32"/>
      <c r="AO1135" s="28"/>
      <c r="AP1135" s="29"/>
    </row>
    <row r="1136">
      <c r="A1136" s="115"/>
      <c r="B1136" s="116"/>
      <c r="C1136" s="115"/>
      <c r="D1136" s="115"/>
      <c r="E1136" s="115"/>
      <c r="F1136" s="115"/>
      <c r="G1136" s="115"/>
      <c r="H1136" s="115"/>
      <c r="I1136" s="115"/>
      <c r="J1136" s="115"/>
      <c r="K1136" s="115"/>
      <c r="L1136" s="115"/>
      <c r="O1136" s="116"/>
      <c r="Q1136" s="116"/>
      <c r="T1136" s="114"/>
      <c r="Y1136" s="118"/>
      <c r="Z1136" s="28"/>
      <c r="AA1136" s="28"/>
      <c r="AB1136" s="28"/>
      <c r="AC1136" s="29"/>
      <c r="AD1136" s="29"/>
      <c r="AE1136" s="29"/>
      <c r="AF1136" s="29"/>
      <c r="AG1136" s="29"/>
      <c r="AH1136" s="30"/>
      <c r="AI1136" s="39"/>
      <c r="AJ1136" s="28"/>
      <c r="AK1136" s="28"/>
      <c r="AL1136" s="28"/>
      <c r="AM1136" s="28"/>
      <c r="AN1136" s="32"/>
      <c r="AO1136" s="28"/>
      <c r="AP1136" s="29"/>
    </row>
    <row r="1137">
      <c r="A1137" s="115"/>
      <c r="B1137" s="116"/>
      <c r="C1137" s="115"/>
      <c r="D1137" s="115"/>
      <c r="E1137" s="115"/>
      <c r="F1137" s="115"/>
      <c r="G1137" s="115"/>
      <c r="H1137" s="115"/>
      <c r="I1137" s="115"/>
      <c r="J1137" s="115"/>
      <c r="K1137" s="115"/>
      <c r="L1137" s="115"/>
      <c r="O1137" s="116"/>
      <c r="Q1137" s="116"/>
      <c r="T1137" s="114"/>
      <c r="Y1137" s="118"/>
      <c r="Z1137" s="28"/>
      <c r="AA1137" s="28"/>
      <c r="AB1137" s="28"/>
      <c r="AC1137" s="29"/>
      <c r="AD1137" s="29"/>
      <c r="AE1137" s="29"/>
      <c r="AF1137" s="29"/>
      <c r="AG1137" s="29"/>
      <c r="AH1137" s="30"/>
      <c r="AI1137" s="31"/>
      <c r="AJ1137" s="28"/>
      <c r="AK1137" s="32"/>
      <c r="AL1137" s="32"/>
      <c r="AM1137" s="32"/>
      <c r="AN1137" s="32"/>
      <c r="AO1137" s="28"/>
      <c r="AP1137" s="29"/>
    </row>
    <row r="1138">
      <c r="A1138" s="115"/>
      <c r="B1138" s="116"/>
      <c r="C1138" s="115"/>
      <c r="D1138" s="115"/>
      <c r="E1138" s="115"/>
      <c r="F1138" s="115"/>
      <c r="G1138" s="115"/>
      <c r="H1138" s="115"/>
      <c r="I1138" s="115"/>
      <c r="J1138" s="115"/>
      <c r="K1138" s="115"/>
      <c r="L1138" s="115"/>
      <c r="O1138" s="116"/>
      <c r="Q1138" s="116"/>
      <c r="T1138" s="114"/>
      <c r="Y1138" s="118"/>
      <c r="Z1138" s="28"/>
      <c r="AA1138" s="29"/>
      <c r="AB1138" s="29"/>
      <c r="AC1138" s="29"/>
      <c r="AD1138" s="29"/>
      <c r="AE1138" s="29"/>
      <c r="AF1138" s="29"/>
      <c r="AG1138" s="29"/>
      <c r="AH1138" s="30"/>
      <c r="AI1138" s="31"/>
      <c r="AJ1138" s="28"/>
      <c r="AK1138" s="32"/>
      <c r="AL1138" s="32"/>
      <c r="AM1138" s="32"/>
      <c r="AN1138" s="32"/>
      <c r="AO1138" s="28"/>
      <c r="AP1138" s="29"/>
    </row>
    <row r="1139">
      <c r="A1139" s="115"/>
      <c r="B1139" s="116"/>
      <c r="C1139" s="115"/>
      <c r="D1139" s="115"/>
      <c r="E1139" s="115"/>
      <c r="F1139" s="115"/>
      <c r="G1139" s="115"/>
      <c r="H1139" s="115"/>
      <c r="I1139" s="115"/>
      <c r="J1139" s="115"/>
      <c r="K1139" s="115"/>
      <c r="L1139" s="115"/>
      <c r="O1139" s="116"/>
      <c r="Q1139" s="116"/>
      <c r="T1139" s="114"/>
      <c r="Y1139" s="118"/>
      <c r="Z1139" s="28"/>
      <c r="AA1139" s="28"/>
      <c r="AB1139" s="28"/>
      <c r="AC1139" s="28"/>
      <c r="AD1139" s="29"/>
      <c r="AE1139" s="29"/>
      <c r="AF1139" s="29"/>
      <c r="AG1139" s="29"/>
      <c r="AH1139" s="30"/>
      <c r="AI1139" s="31"/>
      <c r="AJ1139" s="28"/>
      <c r="AK1139" s="32"/>
      <c r="AL1139" s="32"/>
      <c r="AM1139" s="32"/>
      <c r="AN1139" s="32"/>
      <c r="AO1139" s="28"/>
      <c r="AP1139" s="29"/>
    </row>
    <row r="1140">
      <c r="A1140" s="115"/>
      <c r="B1140" s="116"/>
      <c r="C1140" s="115"/>
      <c r="D1140" s="115"/>
      <c r="E1140" s="115"/>
      <c r="F1140" s="115"/>
      <c r="G1140" s="115"/>
      <c r="H1140" s="115"/>
      <c r="I1140" s="115"/>
      <c r="J1140" s="115"/>
      <c r="K1140" s="115"/>
      <c r="L1140" s="115"/>
      <c r="O1140" s="116"/>
      <c r="Q1140" s="116"/>
      <c r="T1140" s="114"/>
      <c r="Y1140" s="118"/>
      <c r="Z1140" s="28"/>
      <c r="AA1140" s="28"/>
      <c r="AB1140" s="28"/>
      <c r="AC1140" s="28"/>
      <c r="AD1140" s="29"/>
      <c r="AE1140" s="29"/>
      <c r="AF1140" s="29"/>
      <c r="AG1140" s="29"/>
      <c r="AH1140" s="30"/>
      <c r="AI1140" s="31"/>
      <c r="AJ1140" s="28"/>
      <c r="AK1140" s="32"/>
      <c r="AL1140" s="32"/>
      <c r="AM1140" s="32"/>
      <c r="AN1140" s="32"/>
      <c r="AO1140" s="28"/>
      <c r="AP1140" s="29"/>
    </row>
    <row r="1141">
      <c r="A1141" s="115"/>
      <c r="B1141" s="116"/>
      <c r="C1141" s="115"/>
      <c r="D1141" s="115"/>
      <c r="E1141" s="115"/>
      <c r="F1141" s="115"/>
      <c r="G1141" s="115"/>
      <c r="H1141" s="115"/>
      <c r="I1141" s="115"/>
      <c r="J1141" s="115"/>
      <c r="K1141" s="115"/>
      <c r="L1141" s="115"/>
      <c r="O1141" s="116"/>
      <c r="Q1141" s="116"/>
      <c r="T1141" s="114"/>
      <c r="Y1141" s="118"/>
      <c r="Z1141" s="28"/>
      <c r="AA1141" s="28"/>
      <c r="AB1141" s="29"/>
      <c r="AC1141" s="29"/>
      <c r="AD1141" s="29"/>
      <c r="AE1141" s="29"/>
      <c r="AF1141" s="29"/>
      <c r="AG1141" s="29"/>
      <c r="AH1141" s="30"/>
      <c r="AI1141" s="31"/>
      <c r="AJ1141" s="28"/>
      <c r="AK1141" s="32"/>
      <c r="AL1141" s="32"/>
      <c r="AM1141" s="32"/>
      <c r="AN1141" s="32"/>
      <c r="AO1141" s="28"/>
      <c r="AP1141" s="29"/>
    </row>
    <row r="1142">
      <c r="A1142" s="115"/>
      <c r="B1142" s="116"/>
      <c r="C1142" s="115"/>
      <c r="D1142" s="115"/>
      <c r="E1142" s="115"/>
      <c r="F1142" s="115"/>
      <c r="G1142" s="115"/>
      <c r="H1142" s="115"/>
      <c r="I1142" s="115"/>
      <c r="J1142" s="115"/>
      <c r="K1142" s="115"/>
      <c r="L1142" s="115"/>
      <c r="O1142" s="116"/>
      <c r="Q1142" s="116"/>
      <c r="T1142" s="114"/>
      <c r="Y1142" s="118"/>
      <c r="Z1142" s="28"/>
      <c r="AA1142" s="28"/>
      <c r="AB1142" s="28"/>
      <c r="AC1142" s="28"/>
      <c r="AD1142" s="29"/>
      <c r="AE1142" s="29"/>
      <c r="AF1142" s="29"/>
      <c r="AG1142" s="29"/>
      <c r="AH1142" s="30"/>
      <c r="AI1142" s="31"/>
      <c r="AJ1142" s="28"/>
      <c r="AK1142" s="28"/>
      <c r="AL1142" s="28"/>
      <c r="AM1142" s="32"/>
      <c r="AN1142" s="32"/>
      <c r="AO1142" s="28"/>
      <c r="AP1142" s="29"/>
    </row>
    <row r="1143">
      <c r="A1143" s="115"/>
      <c r="B1143" s="116"/>
      <c r="C1143" s="115"/>
      <c r="D1143" s="115"/>
      <c r="E1143" s="115"/>
      <c r="F1143" s="115"/>
      <c r="G1143" s="115"/>
      <c r="H1143" s="115"/>
      <c r="I1143" s="115"/>
      <c r="J1143" s="115"/>
      <c r="K1143" s="115"/>
      <c r="L1143" s="115"/>
      <c r="O1143" s="116"/>
      <c r="Q1143" s="116"/>
      <c r="T1143" s="114"/>
      <c r="Y1143" s="118"/>
      <c r="Z1143" s="28"/>
      <c r="AA1143" s="28"/>
      <c r="AB1143" s="28"/>
      <c r="AC1143" s="29"/>
      <c r="AD1143" s="29"/>
      <c r="AE1143" s="29"/>
      <c r="AF1143" s="29"/>
      <c r="AG1143" s="29"/>
      <c r="AH1143" s="30"/>
      <c r="AI1143" s="31"/>
      <c r="AJ1143" s="28"/>
      <c r="AK1143" s="32"/>
      <c r="AL1143" s="32"/>
      <c r="AM1143" s="32"/>
      <c r="AN1143" s="32"/>
      <c r="AO1143" s="32"/>
      <c r="AP1143" s="29"/>
    </row>
    <row r="1144">
      <c r="A1144" s="115"/>
      <c r="B1144" s="116"/>
      <c r="C1144" s="115"/>
      <c r="D1144" s="115"/>
      <c r="E1144" s="115"/>
      <c r="F1144" s="115"/>
      <c r="G1144" s="115"/>
      <c r="H1144" s="115"/>
      <c r="I1144" s="115"/>
      <c r="J1144" s="115"/>
      <c r="K1144" s="115"/>
      <c r="L1144" s="115"/>
      <c r="O1144" s="116"/>
      <c r="Q1144" s="116"/>
      <c r="T1144" s="114"/>
      <c r="Y1144" s="118"/>
      <c r="Z1144" s="28"/>
      <c r="AA1144" s="28"/>
      <c r="AB1144" s="28"/>
      <c r="AC1144" s="28"/>
      <c r="AD1144" s="29"/>
      <c r="AE1144" s="29"/>
      <c r="AF1144" s="29"/>
      <c r="AG1144" s="29"/>
      <c r="AH1144" s="30"/>
      <c r="AI1144" s="31"/>
      <c r="AJ1144" s="28"/>
      <c r="AK1144" s="32"/>
      <c r="AL1144" s="32"/>
      <c r="AM1144" s="32"/>
      <c r="AN1144" s="32"/>
      <c r="AO1144" s="28"/>
      <c r="AP1144" s="29"/>
    </row>
    <row r="1145">
      <c r="A1145" s="115"/>
      <c r="B1145" s="116"/>
      <c r="C1145" s="115"/>
      <c r="D1145" s="115"/>
      <c r="E1145" s="115"/>
      <c r="F1145" s="115"/>
      <c r="G1145" s="115"/>
      <c r="H1145" s="115"/>
      <c r="I1145" s="115"/>
      <c r="J1145" s="115"/>
      <c r="K1145" s="115"/>
      <c r="L1145" s="115"/>
      <c r="O1145" s="116"/>
      <c r="Q1145" s="116"/>
      <c r="T1145" s="114"/>
      <c r="Y1145" s="118"/>
      <c r="Z1145" s="28"/>
      <c r="AA1145" s="28"/>
      <c r="AB1145" s="28"/>
      <c r="AC1145" s="28"/>
      <c r="AD1145" s="29"/>
      <c r="AE1145" s="29"/>
      <c r="AF1145" s="29"/>
      <c r="AG1145" s="29"/>
      <c r="AH1145" s="30"/>
      <c r="AI1145" s="31"/>
      <c r="AJ1145" s="28"/>
      <c r="AK1145" s="32"/>
      <c r="AL1145" s="32"/>
      <c r="AM1145" s="32"/>
      <c r="AN1145" s="32"/>
      <c r="AO1145" s="28"/>
      <c r="AP1145" s="29"/>
    </row>
    <row r="1146">
      <c r="A1146" s="115"/>
      <c r="B1146" s="116"/>
      <c r="C1146" s="115"/>
      <c r="D1146" s="115"/>
      <c r="E1146" s="115"/>
      <c r="F1146" s="115"/>
      <c r="G1146" s="115"/>
      <c r="H1146" s="115"/>
      <c r="I1146" s="115"/>
      <c r="J1146" s="115"/>
      <c r="K1146" s="115"/>
      <c r="L1146" s="115"/>
      <c r="O1146" s="116"/>
      <c r="Q1146" s="116"/>
      <c r="T1146" s="114"/>
      <c r="Y1146" s="118"/>
      <c r="Z1146" s="28"/>
      <c r="AA1146" s="28"/>
      <c r="AB1146" s="28"/>
      <c r="AC1146" s="28"/>
      <c r="AD1146" s="29"/>
      <c r="AE1146" s="29"/>
      <c r="AF1146" s="29"/>
      <c r="AG1146" s="29"/>
      <c r="AH1146" s="30"/>
      <c r="AI1146" s="31"/>
      <c r="AJ1146" s="28"/>
      <c r="AK1146" s="32"/>
      <c r="AL1146" s="32"/>
      <c r="AM1146" s="32"/>
      <c r="AN1146" s="32"/>
      <c r="AO1146" s="32"/>
      <c r="AP1146" s="29"/>
    </row>
    <row r="1147">
      <c r="A1147" s="115"/>
      <c r="B1147" s="116"/>
      <c r="C1147" s="115"/>
      <c r="D1147" s="115"/>
      <c r="E1147" s="115"/>
      <c r="F1147" s="115"/>
      <c r="G1147" s="115"/>
      <c r="H1147" s="115"/>
      <c r="I1147" s="115"/>
      <c r="J1147" s="115"/>
      <c r="K1147" s="115"/>
      <c r="L1147" s="115"/>
      <c r="O1147" s="116"/>
      <c r="Q1147" s="116"/>
      <c r="T1147" s="114"/>
      <c r="Y1147" s="118"/>
      <c r="Z1147" s="28"/>
      <c r="AA1147" s="28"/>
      <c r="AB1147" s="28"/>
      <c r="AC1147" s="28"/>
      <c r="AD1147" s="29"/>
      <c r="AE1147" s="29"/>
      <c r="AF1147" s="29"/>
      <c r="AG1147" s="29"/>
      <c r="AH1147" s="30"/>
      <c r="AI1147" s="31"/>
      <c r="AJ1147" s="28"/>
      <c r="AK1147" s="32"/>
      <c r="AL1147" s="32"/>
      <c r="AM1147" s="32"/>
      <c r="AN1147" s="32"/>
      <c r="AO1147" s="28"/>
      <c r="AP1147" s="29"/>
    </row>
    <row r="1148">
      <c r="A1148" s="115"/>
      <c r="B1148" s="116"/>
      <c r="C1148" s="115"/>
      <c r="D1148" s="115"/>
      <c r="E1148" s="115"/>
      <c r="F1148" s="115"/>
      <c r="G1148" s="115"/>
      <c r="H1148" s="115"/>
      <c r="I1148" s="115"/>
      <c r="J1148" s="115"/>
      <c r="K1148" s="115"/>
      <c r="L1148" s="115"/>
      <c r="O1148" s="116"/>
      <c r="Q1148" s="116"/>
      <c r="T1148" s="114"/>
      <c r="Y1148" s="118"/>
      <c r="Z1148" s="28"/>
      <c r="AA1148" s="28"/>
      <c r="AB1148" s="28"/>
      <c r="AC1148" s="29"/>
      <c r="AD1148" s="29"/>
      <c r="AE1148" s="29"/>
      <c r="AF1148" s="29"/>
      <c r="AG1148" s="29"/>
      <c r="AH1148" s="30"/>
      <c r="AI1148" s="31"/>
      <c r="AJ1148" s="28"/>
      <c r="AK1148" s="32"/>
      <c r="AL1148" s="32"/>
      <c r="AM1148" s="32"/>
      <c r="AN1148" s="32"/>
      <c r="AO1148" s="28"/>
      <c r="AP1148" s="29"/>
    </row>
    <row r="1149">
      <c r="A1149" s="115"/>
      <c r="B1149" s="116"/>
      <c r="C1149" s="115"/>
      <c r="D1149" s="115"/>
      <c r="E1149" s="115"/>
      <c r="F1149" s="115"/>
      <c r="G1149" s="115"/>
      <c r="H1149" s="115"/>
      <c r="I1149" s="115"/>
      <c r="J1149" s="115"/>
      <c r="K1149" s="115"/>
      <c r="L1149" s="115"/>
      <c r="O1149" s="116"/>
      <c r="Q1149" s="116"/>
      <c r="T1149" s="114"/>
      <c r="Y1149" s="118"/>
      <c r="Z1149" s="28"/>
      <c r="AA1149" s="28"/>
      <c r="AB1149" s="28"/>
      <c r="AC1149" s="28"/>
      <c r="AD1149" s="29"/>
      <c r="AE1149" s="29"/>
      <c r="AF1149" s="29"/>
      <c r="AG1149" s="29"/>
      <c r="AH1149" s="30"/>
      <c r="AI1149" s="31"/>
      <c r="AJ1149" s="28"/>
      <c r="AK1149" s="32"/>
      <c r="AL1149" s="32"/>
      <c r="AM1149" s="32"/>
      <c r="AN1149" s="32"/>
      <c r="AO1149" s="28"/>
      <c r="AP1149" s="29"/>
    </row>
    <row r="1150">
      <c r="A1150" s="115"/>
      <c r="B1150" s="116"/>
      <c r="C1150" s="115"/>
      <c r="D1150" s="115"/>
      <c r="E1150" s="115"/>
      <c r="F1150" s="115"/>
      <c r="G1150" s="115"/>
      <c r="H1150" s="115"/>
      <c r="I1150" s="115"/>
      <c r="J1150" s="115"/>
      <c r="K1150" s="115"/>
      <c r="L1150" s="115"/>
      <c r="O1150" s="116"/>
      <c r="Q1150" s="116"/>
      <c r="T1150" s="114"/>
      <c r="Y1150" s="118"/>
      <c r="Z1150" s="28"/>
      <c r="AA1150" s="28"/>
      <c r="AB1150" s="28"/>
      <c r="AC1150" s="29"/>
      <c r="AD1150" s="29"/>
      <c r="AE1150" s="29"/>
      <c r="AF1150" s="29"/>
      <c r="AG1150" s="29"/>
      <c r="AH1150" s="30"/>
      <c r="AI1150" s="31"/>
      <c r="AJ1150" s="28"/>
      <c r="AK1150" s="32"/>
      <c r="AL1150" s="32"/>
      <c r="AM1150" s="32"/>
      <c r="AN1150" s="32"/>
      <c r="AO1150" s="28"/>
      <c r="AP1150" s="29"/>
    </row>
    <row r="1151">
      <c r="A1151" s="115"/>
      <c r="B1151" s="116"/>
      <c r="C1151" s="115"/>
      <c r="D1151" s="115"/>
      <c r="E1151" s="115"/>
      <c r="F1151" s="115"/>
      <c r="G1151" s="115"/>
      <c r="H1151" s="115"/>
      <c r="I1151" s="115"/>
      <c r="J1151" s="115"/>
      <c r="K1151" s="115"/>
      <c r="L1151" s="115"/>
      <c r="O1151" s="116"/>
      <c r="Q1151" s="116"/>
      <c r="T1151" s="114"/>
      <c r="Y1151" s="118"/>
      <c r="Z1151" s="28"/>
      <c r="AA1151" s="29"/>
      <c r="AB1151" s="29"/>
      <c r="AC1151" s="29"/>
      <c r="AD1151" s="29"/>
      <c r="AE1151" s="29"/>
      <c r="AF1151" s="29"/>
      <c r="AG1151" s="29"/>
      <c r="AH1151" s="30"/>
      <c r="AI1151" s="39"/>
      <c r="AJ1151" s="28"/>
      <c r="AK1151" s="32"/>
      <c r="AL1151" s="32"/>
      <c r="AM1151" s="32"/>
      <c r="AN1151" s="32"/>
      <c r="AO1151" s="28"/>
      <c r="AP1151" s="29"/>
    </row>
    <row r="1152">
      <c r="A1152" s="115"/>
      <c r="B1152" s="116"/>
      <c r="C1152" s="115"/>
      <c r="D1152" s="115"/>
      <c r="E1152" s="115"/>
      <c r="F1152" s="115"/>
      <c r="G1152" s="115"/>
      <c r="H1152" s="115"/>
      <c r="I1152" s="115"/>
      <c r="J1152" s="115"/>
      <c r="K1152" s="115"/>
      <c r="L1152" s="115"/>
      <c r="O1152" s="116"/>
      <c r="Q1152" s="116"/>
      <c r="T1152" s="114"/>
      <c r="Y1152" s="118"/>
      <c r="Z1152" s="28"/>
      <c r="AA1152" s="28"/>
      <c r="AB1152" s="28"/>
      <c r="AC1152" s="28"/>
      <c r="AD1152" s="28"/>
      <c r="AE1152" s="28"/>
      <c r="AF1152" s="28"/>
      <c r="AG1152" s="29"/>
      <c r="AH1152" s="30"/>
      <c r="AI1152" s="31"/>
      <c r="AJ1152" s="28"/>
      <c r="AK1152" s="32"/>
      <c r="AL1152" s="32"/>
      <c r="AM1152" s="32"/>
      <c r="AN1152" s="32"/>
      <c r="AO1152" s="28"/>
      <c r="AP1152" s="29"/>
    </row>
    <row r="1153">
      <c r="A1153" s="115"/>
      <c r="B1153" s="116"/>
      <c r="C1153" s="115"/>
      <c r="D1153" s="115"/>
      <c r="E1153" s="115"/>
      <c r="F1153" s="115"/>
      <c r="G1153" s="115"/>
      <c r="H1153" s="115"/>
      <c r="I1153" s="115"/>
      <c r="J1153" s="115"/>
      <c r="K1153" s="115"/>
      <c r="L1153" s="115"/>
      <c r="O1153" s="116"/>
      <c r="Q1153" s="116"/>
      <c r="T1153" s="114"/>
      <c r="Y1153" s="118"/>
      <c r="Z1153" s="28"/>
      <c r="AA1153" s="28"/>
      <c r="AB1153" s="28"/>
      <c r="AC1153" s="28"/>
      <c r="AD1153" s="28"/>
      <c r="AE1153" s="29"/>
      <c r="AF1153" s="29"/>
      <c r="AG1153" s="29"/>
      <c r="AH1153" s="30"/>
      <c r="AI1153" s="31"/>
      <c r="AJ1153" s="32"/>
      <c r="AK1153" s="32"/>
      <c r="AL1153" s="32"/>
      <c r="AM1153" s="32"/>
      <c r="AN1153" s="32"/>
      <c r="AO1153" s="32"/>
      <c r="AP1153" s="29"/>
    </row>
    <row r="1154">
      <c r="A1154" s="115"/>
      <c r="B1154" s="116"/>
      <c r="C1154" s="115"/>
      <c r="D1154" s="115"/>
      <c r="E1154" s="115"/>
      <c r="F1154" s="115"/>
      <c r="G1154" s="115"/>
      <c r="H1154" s="115"/>
      <c r="I1154" s="115"/>
      <c r="J1154" s="115"/>
      <c r="K1154" s="115"/>
      <c r="L1154" s="115"/>
      <c r="O1154" s="116"/>
      <c r="Q1154" s="116"/>
      <c r="T1154" s="114"/>
      <c r="Y1154" s="118"/>
      <c r="Z1154" s="28"/>
      <c r="AA1154" s="28"/>
      <c r="AB1154" s="28"/>
      <c r="AC1154" s="28"/>
      <c r="AD1154" s="29"/>
      <c r="AE1154" s="29"/>
      <c r="AF1154" s="29"/>
      <c r="AG1154" s="29"/>
      <c r="AH1154" s="30"/>
      <c r="AI1154" s="31"/>
      <c r="AJ1154" s="28"/>
      <c r="AK1154" s="28"/>
      <c r="AL1154" s="28"/>
      <c r="AM1154" s="32"/>
      <c r="AN1154" s="32"/>
      <c r="AO1154" s="28"/>
      <c r="AP1154" s="29"/>
    </row>
    <row r="1155">
      <c r="A1155" s="115"/>
      <c r="B1155" s="116"/>
      <c r="C1155" s="115"/>
      <c r="D1155" s="115"/>
      <c r="E1155" s="115"/>
      <c r="F1155" s="115"/>
      <c r="G1155" s="115"/>
      <c r="H1155" s="115"/>
      <c r="I1155" s="115"/>
      <c r="J1155" s="115"/>
      <c r="K1155" s="115"/>
      <c r="L1155" s="115"/>
      <c r="O1155" s="116"/>
      <c r="Q1155" s="116"/>
      <c r="T1155" s="114"/>
      <c r="Y1155" s="118"/>
      <c r="Z1155" s="28"/>
      <c r="AA1155" s="28"/>
      <c r="AB1155" s="28"/>
      <c r="AC1155" s="29"/>
      <c r="AD1155" s="29"/>
      <c r="AE1155" s="29"/>
      <c r="AF1155" s="29"/>
      <c r="AG1155" s="29"/>
      <c r="AH1155" s="30"/>
      <c r="AI1155" s="31"/>
      <c r="AJ1155" s="28"/>
      <c r="AK1155" s="28"/>
      <c r="AL1155" s="28"/>
      <c r="AM1155" s="28"/>
      <c r="AN1155" s="32"/>
      <c r="AO1155" s="28"/>
      <c r="AP1155" s="29"/>
    </row>
    <row r="1156">
      <c r="A1156" s="115"/>
      <c r="B1156" s="116"/>
      <c r="C1156" s="115"/>
      <c r="D1156" s="115"/>
      <c r="E1156" s="115"/>
      <c r="F1156" s="115"/>
      <c r="G1156" s="115"/>
      <c r="H1156" s="115"/>
      <c r="I1156" s="115"/>
      <c r="J1156" s="115"/>
      <c r="K1156" s="115"/>
      <c r="L1156" s="115"/>
      <c r="O1156" s="116"/>
      <c r="Q1156" s="116"/>
      <c r="T1156" s="114"/>
      <c r="Y1156" s="118"/>
      <c r="Z1156" s="28"/>
      <c r="AA1156" s="29"/>
      <c r="AB1156" s="29"/>
      <c r="AC1156" s="29"/>
      <c r="AD1156" s="29"/>
      <c r="AE1156" s="29"/>
      <c r="AF1156" s="29"/>
      <c r="AG1156" s="29"/>
      <c r="AH1156" s="30"/>
      <c r="AI1156" s="32"/>
      <c r="AJ1156" s="28"/>
      <c r="AK1156" s="32"/>
      <c r="AL1156" s="32"/>
      <c r="AM1156" s="32"/>
      <c r="AN1156" s="32"/>
      <c r="AO1156" s="28"/>
      <c r="AP1156" s="29"/>
    </row>
    <row r="1157">
      <c r="A1157" s="115"/>
      <c r="B1157" s="116"/>
      <c r="C1157" s="115"/>
      <c r="D1157" s="115"/>
      <c r="E1157" s="115"/>
      <c r="F1157" s="115"/>
      <c r="G1157" s="115"/>
      <c r="H1157" s="115"/>
      <c r="I1157" s="115"/>
      <c r="J1157" s="115"/>
      <c r="K1157" s="115"/>
      <c r="L1157" s="115"/>
      <c r="O1157" s="116"/>
      <c r="Q1157" s="116"/>
      <c r="T1157" s="114"/>
      <c r="Y1157" s="118"/>
      <c r="Z1157" s="28"/>
      <c r="AA1157" s="28"/>
      <c r="AB1157" s="28"/>
      <c r="AC1157" s="29"/>
      <c r="AD1157" s="29"/>
      <c r="AE1157" s="29"/>
      <c r="AF1157" s="29"/>
      <c r="AG1157" s="29"/>
      <c r="AH1157" s="30"/>
      <c r="AI1157" s="31"/>
      <c r="AJ1157" s="28"/>
      <c r="AK1157" s="32"/>
      <c r="AL1157" s="32"/>
      <c r="AM1157" s="32"/>
      <c r="AN1157" s="32"/>
      <c r="AO1157" s="28"/>
      <c r="AP1157" s="29"/>
    </row>
    <row r="1158">
      <c r="A1158" s="115"/>
      <c r="B1158" s="116"/>
      <c r="C1158" s="115"/>
      <c r="D1158" s="115"/>
      <c r="E1158" s="115"/>
      <c r="F1158" s="115"/>
      <c r="G1158" s="115"/>
      <c r="H1158" s="115"/>
      <c r="I1158" s="115"/>
      <c r="J1158" s="115"/>
      <c r="K1158" s="115"/>
      <c r="L1158" s="115"/>
      <c r="O1158" s="116"/>
      <c r="Q1158" s="116"/>
      <c r="T1158" s="114"/>
      <c r="Y1158" s="118"/>
      <c r="Z1158" s="28"/>
      <c r="AA1158" s="28"/>
      <c r="AB1158" s="28"/>
      <c r="AC1158" s="29"/>
      <c r="AD1158" s="29"/>
      <c r="AE1158" s="29"/>
      <c r="AF1158" s="29"/>
      <c r="AG1158" s="29"/>
      <c r="AH1158" s="30"/>
      <c r="AI1158" s="31"/>
      <c r="AJ1158" s="28"/>
      <c r="AK1158" s="32"/>
      <c r="AL1158" s="32"/>
      <c r="AM1158" s="32"/>
      <c r="AN1158" s="32"/>
      <c r="AO1158" s="28"/>
      <c r="AP1158" s="29"/>
    </row>
    <row r="1159">
      <c r="A1159" s="115"/>
      <c r="B1159" s="116"/>
      <c r="C1159" s="115"/>
      <c r="D1159" s="115"/>
      <c r="E1159" s="115"/>
      <c r="F1159" s="115"/>
      <c r="G1159" s="115"/>
      <c r="H1159" s="115"/>
      <c r="I1159" s="115"/>
      <c r="J1159" s="115"/>
      <c r="K1159" s="115"/>
      <c r="L1159" s="115"/>
      <c r="O1159" s="116"/>
      <c r="Q1159" s="116"/>
      <c r="T1159" s="114"/>
      <c r="Y1159" s="118"/>
      <c r="Z1159" s="28"/>
      <c r="AA1159" s="28"/>
      <c r="AB1159" s="28"/>
      <c r="AC1159" s="29"/>
      <c r="AD1159" s="29"/>
      <c r="AE1159" s="29"/>
      <c r="AF1159" s="29"/>
      <c r="AG1159" s="29"/>
      <c r="AH1159" s="30"/>
      <c r="AI1159" s="31"/>
      <c r="AJ1159" s="28"/>
      <c r="AK1159" s="28"/>
      <c r="AL1159" s="32"/>
      <c r="AM1159" s="32"/>
      <c r="AN1159" s="32"/>
      <c r="AO1159" s="28"/>
      <c r="AP1159" s="29"/>
    </row>
    <row r="1160">
      <c r="A1160" s="115"/>
      <c r="B1160" s="116"/>
      <c r="C1160" s="115"/>
      <c r="D1160" s="115"/>
      <c r="E1160" s="115"/>
      <c r="F1160" s="115"/>
      <c r="G1160" s="115"/>
      <c r="H1160" s="115"/>
      <c r="I1160" s="115"/>
      <c r="J1160" s="115"/>
      <c r="K1160" s="115"/>
      <c r="L1160" s="115"/>
      <c r="O1160" s="116"/>
      <c r="Q1160" s="116"/>
      <c r="T1160" s="114"/>
      <c r="Y1160" s="118"/>
      <c r="Z1160" s="28"/>
      <c r="AA1160" s="28"/>
      <c r="AB1160" s="28"/>
      <c r="AC1160" s="28"/>
      <c r="AD1160" s="28"/>
      <c r="AE1160" s="29"/>
      <c r="AF1160" s="29"/>
      <c r="AG1160" s="29"/>
      <c r="AH1160" s="30"/>
      <c r="AI1160" s="31"/>
      <c r="AJ1160" s="28"/>
      <c r="AK1160" s="32"/>
      <c r="AL1160" s="32"/>
      <c r="AM1160" s="32"/>
      <c r="AN1160" s="32"/>
      <c r="AO1160" s="28"/>
      <c r="AP1160" s="29"/>
    </row>
    <row r="1161">
      <c r="A1161" s="115"/>
      <c r="B1161" s="116"/>
      <c r="C1161" s="115"/>
      <c r="D1161" s="115"/>
      <c r="E1161" s="115"/>
      <c r="F1161" s="115"/>
      <c r="G1161" s="115"/>
      <c r="H1161" s="115"/>
      <c r="I1161" s="115"/>
      <c r="J1161" s="115"/>
      <c r="K1161" s="115"/>
      <c r="L1161" s="115"/>
      <c r="O1161" s="116"/>
      <c r="Q1161" s="116"/>
      <c r="T1161" s="114"/>
      <c r="Y1161" s="118"/>
      <c r="Z1161" s="28"/>
      <c r="AA1161" s="28"/>
      <c r="AB1161" s="28"/>
      <c r="AC1161" s="28"/>
      <c r="AD1161" s="29"/>
      <c r="AE1161" s="29"/>
      <c r="AF1161" s="29"/>
      <c r="AG1161" s="29"/>
      <c r="AH1161" s="30"/>
      <c r="AI1161" s="31"/>
      <c r="AJ1161" s="28"/>
      <c r="AK1161" s="32"/>
      <c r="AL1161" s="32"/>
      <c r="AM1161" s="32"/>
      <c r="AN1161" s="32"/>
      <c r="AO1161" s="28"/>
      <c r="AP1161" s="29"/>
    </row>
    <row r="1162">
      <c r="A1162" s="115"/>
      <c r="B1162" s="116"/>
      <c r="C1162" s="115"/>
      <c r="D1162" s="115"/>
      <c r="E1162" s="115"/>
      <c r="F1162" s="115"/>
      <c r="G1162" s="115"/>
      <c r="H1162" s="115"/>
      <c r="I1162" s="115"/>
      <c r="J1162" s="115"/>
      <c r="K1162" s="115"/>
      <c r="L1162" s="115"/>
      <c r="O1162" s="116"/>
      <c r="Q1162" s="116"/>
      <c r="T1162" s="114"/>
      <c r="Y1162" s="118"/>
      <c r="Z1162" s="28"/>
      <c r="AA1162" s="28"/>
      <c r="AB1162" s="28"/>
      <c r="AC1162" s="28"/>
      <c r="AD1162" s="29"/>
      <c r="AE1162" s="29"/>
      <c r="AF1162" s="29"/>
      <c r="AG1162" s="29"/>
      <c r="AH1162" s="30"/>
      <c r="AI1162" s="31"/>
      <c r="AJ1162" s="32"/>
      <c r="AK1162" s="32"/>
      <c r="AL1162" s="32"/>
      <c r="AM1162" s="32"/>
      <c r="AN1162" s="32"/>
      <c r="AO1162" s="32"/>
      <c r="AP1162" s="29"/>
    </row>
    <row r="1163">
      <c r="A1163" s="115"/>
      <c r="B1163" s="116"/>
      <c r="C1163" s="115"/>
      <c r="D1163" s="115"/>
      <c r="E1163" s="115"/>
      <c r="F1163" s="115"/>
      <c r="G1163" s="115"/>
      <c r="H1163" s="115"/>
      <c r="I1163" s="115"/>
      <c r="J1163" s="115"/>
      <c r="K1163" s="115"/>
      <c r="L1163" s="115"/>
      <c r="O1163" s="116"/>
      <c r="Q1163" s="116"/>
      <c r="T1163" s="114"/>
      <c r="Y1163" s="118"/>
      <c r="Z1163" s="28"/>
      <c r="AA1163" s="28"/>
      <c r="AB1163" s="29"/>
      <c r="AC1163" s="29"/>
      <c r="AD1163" s="29"/>
      <c r="AE1163" s="29"/>
      <c r="AF1163" s="29"/>
      <c r="AG1163" s="29"/>
      <c r="AH1163" s="30"/>
      <c r="AI1163" s="31"/>
      <c r="AJ1163" s="28"/>
      <c r="AK1163" s="28"/>
      <c r="AL1163" s="28"/>
      <c r="AM1163" s="28"/>
      <c r="AN1163" s="28"/>
      <c r="AO1163" s="28"/>
      <c r="AP1163" s="29"/>
    </row>
    <row r="1164">
      <c r="A1164" s="115"/>
      <c r="B1164" s="116"/>
      <c r="C1164" s="115"/>
      <c r="D1164" s="115"/>
      <c r="E1164" s="115"/>
      <c r="F1164" s="115"/>
      <c r="G1164" s="115"/>
      <c r="H1164" s="115"/>
      <c r="I1164" s="115"/>
      <c r="J1164" s="115"/>
      <c r="K1164" s="115"/>
      <c r="L1164" s="115"/>
      <c r="O1164" s="116"/>
      <c r="Q1164" s="116"/>
      <c r="T1164" s="114"/>
      <c r="Y1164" s="118"/>
      <c r="Z1164" s="28"/>
      <c r="AA1164" s="29"/>
      <c r="AB1164" s="29"/>
      <c r="AC1164" s="29"/>
      <c r="AD1164" s="29"/>
      <c r="AE1164" s="29"/>
      <c r="AF1164" s="29"/>
      <c r="AG1164" s="29"/>
      <c r="AH1164" s="30"/>
      <c r="AI1164" s="39"/>
      <c r="AJ1164" s="28"/>
      <c r="AK1164" s="32"/>
      <c r="AL1164" s="32"/>
      <c r="AM1164" s="32"/>
      <c r="AN1164" s="32"/>
      <c r="AO1164" s="28"/>
      <c r="AP1164" s="29"/>
    </row>
    <row r="1165">
      <c r="A1165" s="115"/>
      <c r="B1165" s="116"/>
      <c r="C1165" s="115"/>
      <c r="D1165" s="115"/>
      <c r="E1165" s="115"/>
      <c r="F1165" s="115"/>
      <c r="G1165" s="115"/>
      <c r="H1165" s="115"/>
      <c r="I1165" s="115"/>
      <c r="J1165" s="115"/>
      <c r="K1165" s="115"/>
      <c r="L1165" s="115"/>
      <c r="O1165" s="116"/>
      <c r="Q1165" s="116"/>
      <c r="T1165" s="114"/>
      <c r="Y1165" s="118"/>
      <c r="Z1165" s="28"/>
      <c r="AA1165" s="28"/>
      <c r="AB1165" s="28"/>
      <c r="AC1165" s="28"/>
      <c r="AD1165" s="28"/>
      <c r="AE1165" s="29"/>
      <c r="AF1165" s="29"/>
      <c r="AG1165" s="29"/>
      <c r="AH1165" s="30"/>
      <c r="AI1165" s="31"/>
      <c r="AJ1165" s="28"/>
      <c r="AK1165" s="32"/>
      <c r="AL1165" s="32"/>
      <c r="AM1165" s="32"/>
      <c r="AN1165" s="32"/>
      <c r="AO1165" s="28"/>
      <c r="AP1165" s="29"/>
    </row>
    <row r="1166">
      <c r="A1166" s="115"/>
      <c r="B1166" s="116"/>
      <c r="C1166" s="115"/>
      <c r="D1166" s="115"/>
      <c r="E1166" s="115"/>
      <c r="F1166" s="115"/>
      <c r="G1166" s="115"/>
      <c r="H1166" s="115"/>
      <c r="I1166" s="115"/>
      <c r="J1166" s="115"/>
      <c r="K1166" s="115"/>
      <c r="L1166" s="115"/>
      <c r="O1166" s="116"/>
      <c r="Q1166" s="116"/>
      <c r="T1166" s="114"/>
      <c r="Y1166" s="118"/>
      <c r="Z1166" s="28"/>
      <c r="AA1166" s="28"/>
      <c r="AB1166" s="28"/>
      <c r="AC1166" s="29"/>
      <c r="AD1166" s="29"/>
      <c r="AE1166" s="29"/>
      <c r="AF1166" s="29"/>
      <c r="AG1166" s="29"/>
      <c r="AH1166" s="30"/>
      <c r="AI1166" s="31"/>
      <c r="AJ1166" s="28"/>
      <c r="AK1166" s="32"/>
      <c r="AL1166" s="32"/>
      <c r="AM1166" s="32"/>
      <c r="AN1166" s="32"/>
      <c r="AO1166" s="28"/>
      <c r="AP1166" s="29"/>
    </row>
    <row r="1167">
      <c r="A1167" s="115"/>
      <c r="B1167" s="116"/>
      <c r="C1167" s="115"/>
      <c r="D1167" s="115"/>
      <c r="E1167" s="115"/>
      <c r="F1167" s="115"/>
      <c r="G1167" s="115"/>
      <c r="H1167" s="115"/>
      <c r="I1167" s="115"/>
      <c r="J1167" s="115"/>
      <c r="K1167" s="115"/>
      <c r="L1167" s="115"/>
      <c r="O1167" s="116"/>
      <c r="Q1167" s="116"/>
      <c r="T1167" s="114"/>
      <c r="Y1167" s="118"/>
      <c r="Z1167" s="28"/>
      <c r="AA1167" s="28"/>
      <c r="AB1167" s="28"/>
      <c r="AC1167" s="28"/>
      <c r="AD1167" s="28"/>
      <c r="AE1167" s="29"/>
      <c r="AF1167" s="29"/>
      <c r="AG1167" s="29"/>
      <c r="AH1167" s="30"/>
      <c r="AI1167" s="31"/>
      <c r="AJ1167" s="28"/>
      <c r="AK1167" s="32"/>
      <c r="AL1167" s="32"/>
      <c r="AM1167" s="32"/>
      <c r="AN1167" s="32"/>
      <c r="AO1167" s="28"/>
      <c r="AP1167" s="29"/>
    </row>
    <row r="1168">
      <c r="A1168" s="115"/>
      <c r="B1168" s="116"/>
      <c r="C1168" s="115"/>
      <c r="D1168" s="115"/>
      <c r="E1168" s="115"/>
      <c r="F1168" s="115"/>
      <c r="G1168" s="115"/>
      <c r="H1168" s="115"/>
      <c r="I1168" s="115"/>
      <c r="J1168" s="115"/>
      <c r="K1168" s="115"/>
      <c r="L1168" s="115"/>
      <c r="O1168" s="116"/>
      <c r="Q1168" s="116"/>
      <c r="T1168" s="114"/>
      <c r="Y1168" s="118"/>
      <c r="Z1168" s="28"/>
      <c r="AA1168" s="28"/>
      <c r="AB1168" s="28"/>
      <c r="AC1168" s="28"/>
      <c r="AD1168" s="29"/>
      <c r="AE1168" s="29"/>
      <c r="AF1168" s="29"/>
      <c r="AG1168" s="29"/>
      <c r="AH1168" s="30"/>
      <c r="AI1168" s="31"/>
      <c r="AJ1168" s="28"/>
      <c r="AK1168" s="32"/>
      <c r="AL1168" s="32"/>
      <c r="AM1168" s="32"/>
      <c r="AN1168" s="32"/>
      <c r="AO1168" s="28"/>
      <c r="AP1168" s="29"/>
    </row>
    <row r="1169">
      <c r="A1169" s="115"/>
      <c r="B1169" s="116"/>
      <c r="C1169" s="115"/>
      <c r="D1169" s="115"/>
      <c r="E1169" s="115"/>
      <c r="F1169" s="115"/>
      <c r="G1169" s="115"/>
      <c r="H1169" s="115"/>
      <c r="I1169" s="115"/>
      <c r="J1169" s="115"/>
      <c r="K1169" s="115"/>
      <c r="L1169" s="115"/>
      <c r="O1169" s="116"/>
      <c r="Q1169" s="116"/>
      <c r="T1169" s="114"/>
      <c r="Y1169" s="118"/>
      <c r="Z1169" s="28"/>
      <c r="AA1169" s="28"/>
      <c r="AB1169" s="28"/>
      <c r="AC1169" s="28"/>
      <c r="AD1169" s="29"/>
      <c r="AE1169" s="29"/>
      <c r="AF1169" s="29"/>
      <c r="AG1169" s="29"/>
      <c r="AH1169" s="30"/>
      <c r="AI1169" s="31"/>
      <c r="AJ1169" s="28"/>
      <c r="AK1169" s="28"/>
      <c r="AL1169" s="32"/>
      <c r="AM1169" s="32"/>
      <c r="AN1169" s="32"/>
      <c r="AO1169" s="28"/>
      <c r="AP1169" s="29"/>
    </row>
    <row r="1170">
      <c r="A1170" s="115"/>
      <c r="B1170" s="116"/>
      <c r="C1170" s="115"/>
      <c r="D1170" s="115"/>
      <c r="E1170" s="115"/>
      <c r="F1170" s="115"/>
      <c r="G1170" s="115"/>
      <c r="H1170" s="115"/>
      <c r="I1170" s="115"/>
      <c r="J1170" s="115"/>
      <c r="K1170" s="115"/>
      <c r="L1170" s="115"/>
      <c r="O1170" s="116"/>
      <c r="Q1170" s="116"/>
      <c r="T1170" s="114"/>
      <c r="Y1170" s="118"/>
      <c r="Z1170" s="28"/>
      <c r="AA1170" s="28"/>
      <c r="AB1170" s="28"/>
      <c r="AC1170" s="28"/>
      <c r="AD1170" s="28"/>
      <c r="AE1170" s="29"/>
      <c r="AF1170" s="29"/>
      <c r="AG1170" s="29"/>
      <c r="AH1170" s="30"/>
      <c r="AI1170" s="31"/>
      <c r="AJ1170" s="28"/>
      <c r="AK1170" s="32"/>
      <c r="AL1170" s="32"/>
      <c r="AM1170" s="32"/>
      <c r="AN1170" s="32"/>
      <c r="AO1170" s="28"/>
      <c r="AP1170" s="29"/>
    </row>
    <row r="1171">
      <c r="A1171" s="115"/>
      <c r="B1171" s="116"/>
      <c r="C1171" s="115"/>
      <c r="D1171" s="115"/>
      <c r="E1171" s="115"/>
      <c r="F1171" s="115"/>
      <c r="G1171" s="115"/>
      <c r="H1171" s="115"/>
      <c r="I1171" s="115"/>
      <c r="J1171" s="115"/>
      <c r="K1171" s="115"/>
      <c r="L1171" s="115"/>
      <c r="O1171" s="116"/>
      <c r="Q1171" s="116"/>
      <c r="T1171" s="114"/>
      <c r="Y1171" s="118"/>
      <c r="Z1171" s="28"/>
      <c r="AA1171" s="28"/>
      <c r="AB1171" s="28"/>
      <c r="AC1171" s="28"/>
      <c r="AD1171" s="29"/>
      <c r="AE1171" s="29"/>
      <c r="AF1171" s="29"/>
      <c r="AG1171" s="29"/>
      <c r="AH1171" s="30"/>
      <c r="AI1171" s="31"/>
      <c r="AJ1171" s="28"/>
      <c r="AK1171" s="28"/>
      <c r="AL1171" s="28"/>
      <c r="AM1171" s="28"/>
      <c r="AN1171" s="32"/>
      <c r="AO1171" s="28"/>
      <c r="AP1171" s="29"/>
    </row>
    <row r="1172">
      <c r="A1172" s="115"/>
      <c r="B1172" s="116"/>
      <c r="C1172" s="115"/>
      <c r="D1172" s="115"/>
      <c r="E1172" s="115"/>
      <c r="F1172" s="115"/>
      <c r="G1172" s="115"/>
      <c r="H1172" s="115"/>
      <c r="I1172" s="115"/>
      <c r="J1172" s="115"/>
      <c r="K1172" s="115"/>
      <c r="L1172" s="115"/>
      <c r="O1172" s="116"/>
      <c r="Q1172" s="116"/>
      <c r="T1172" s="114"/>
      <c r="Y1172" s="118"/>
      <c r="Z1172" s="28"/>
      <c r="AA1172" s="28"/>
      <c r="AB1172" s="28"/>
      <c r="AC1172" s="28"/>
      <c r="AD1172" s="28"/>
      <c r="AE1172" s="29"/>
      <c r="AF1172" s="29"/>
      <c r="AG1172" s="29"/>
      <c r="AH1172" s="30"/>
      <c r="AI1172" s="31"/>
      <c r="AJ1172" s="28"/>
      <c r="AK1172" s="32"/>
      <c r="AL1172" s="32"/>
      <c r="AM1172" s="32"/>
      <c r="AN1172" s="32"/>
      <c r="AO1172" s="28"/>
      <c r="AP1172" s="29"/>
    </row>
    <row r="1173">
      <c r="A1173" s="115"/>
      <c r="B1173" s="116"/>
      <c r="C1173" s="115"/>
      <c r="D1173" s="115"/>
      <c r="E1173" s="115"/>
      <c r="F1173" s="115"/>
      <c r="G1173" s="115"/>
      <c r="H1173" s="115"/>
      <c r="I1173" s="115"/>
      <c r="J1173" s="115"/>
      <c r="K1173" s="115"/>
      <c r="L1173" s="115"/>
      <c r="O1173" s="116"/>
      <c r="Q1173" s="116"/>
      <c r="T1173" s="114"/>
      <c r="Y1173" s="118"/>
      <c r="Z1173" s="28"/>
      <c r="AA1173" s="28"/>
      <c r="AB1173" s="28"/>
      <c r="AC1173" s="28"/>
      <c r="AD1173" s="28"/>
      <c r="AE1173" s="29"/>
      <c r="AF1173" s="29"/>
      <c r="AG1173" s="29"/>
      <c r="AH1173" s="30"/>
      <c r="AI1173" s="31"/>
      <c r="AJ1173" s="28"/>
      <c r="AK1173" s="32"/>
      <c r="AL1173" s="32"/>
      <c r="AM1173" s="32"/>
      <c r="AN1173" s="32"/>
      <c r="AO1173" s="32"/>
      <c r="AP1173" s="29"/>
    </row>
    <row r="1174">
      <c r="A1174" s="115"/>
      <c r="B1174" s="116"/>
      <c r="C1174" s="115"/>
      <c r="D1174" s="115"/>
      <c r="E1174" s="115"/>
      <c r="F1174" s="115"/>
      <c r="G1174" s="115"/>
      <c r="H1174" s="115"/>
      <c r="I1174" s="115"/>
      <c r="J1174" s="115"/>
      <c r="K1174" s="115"/>
      <c r="L1174" s="115"/>
      <c r="O1174" s="116"/>
      <c r="Q1174" s="116"/>
      <c r="T1174" s="114"/>
      <c r="Y1174" s="118"/>
      <c r="Z1174" s="28"/>
      <c r="AA1174" s="28"/>
      <c r="AB1174" s="28"/>
      <c r="AC1174" s="29"/>
      <c r="AD1174" s="29"/>
      <c r="AE1174" s="29"/>
      <c r="AF1174" s="29"/>
      <c r="AG1174" s="29"/>
      <c r="AH1174" s="30"/>
      <c r="AI1174" s="31"/>
      <c r="AJ1174" s="28"/>
      <c r="AK1174" s="28"/>
      <c r="AL1174" s="28"/>
      <c r="AM1174" s="32"/>
      <c r="AN1174" s="32"/>
      <c r="AO1174" s="28"/>
      <c r="AP1174" s="29"/>
    </row>
    <row r="1175">
      <c r="A1175" s="115"/>
      <c r="B1175" s="116"/>
      <c r="C1175" s="115"/>
      <c r="D1175" s="115"/>
      <c r="E1175" s="115"/>
      <c r="F1175" s="115"/>
      <c r="G1175" s="115"/>
      <c r="H1175" s="115"/>
      <c r="I1175" s="115"/>
      <c r="J1175" s="115"/>
      <c r="K1175" s="115"/>
      <c r="L1175" s="115"/>
      <c r="O1175" s="116"/>
      <c r="Q1175" s="116"/>
      <c r="T1175" s="114"/>
      <c r="Y1175" s="118"/>
      <c r="Z1175" s="28"/>
      <c r="AA1175" s="28"/>
      <c r="AB1175" s="28"/>
      <c r="AC1175" s="28"/>
      <c r="AD1175" s="29"/>
      <c r="AE1175" s="29"/>
      <c r="AF1175" s="29"/>
      <c r="AG1175" s="29"/>
      <c r="AH1175" s="30"/>
      <c r="AI1175" s="31"/>
      <c r="AJ1175" s="28"/>
      <c r="AK1175" s="32"/>
      <c r="AL1175" s="32"/>
      <c r="AM1175" s="32"/>
      <c r="AN1175" s="32"/>
      <c r="AO1175" s="28"/>
      <c r="AP1175" s="29"/>
    </row>
    <row r="1176">
      <c r="A1176" s="115"/>
      <c r="B1176" s="116"/>
      <c r="C1176" s="115"/>
      <c r="D1176" s="115"/>
      <c r="E1176" s="115"/>
      <c r="F1176" s="115"/>
      <c r="G1176" s="115"/>
      <c r="H1176" s="115"/>
      <c r="I1176" s="115"/>
      <c r="J1176" s="115"/>
      <c r="K1176" s="115"/>
      <c r="L1176" s="115"/>
      <c r="O1176" s="116"/>
      <c r="Q1176" s="116"/>
      <c r="T1176" s="114"/>
      <c r="Y1176" s="118"/>
      <c r="Z1176" s="28"/>
      <c r="AA1176" s="28"/>
      <c r="AB1176" s="29"/>
      <c r="AC1176" s="29"/>
      <c r="AD1176" s="29"/>
      <c r="AE1176" s="29"/>
      <c r="AF1176" s="29"/>
      <c r="AG1176" s="29"/>
      <c r="AH1176" s="30"/>
      <c r="AI1176" s="31"/>
      <c r="AJ1176" s="28"/>
      <c r="AK1176" s="32"/>
      <c r="AL1176" s="32"/>
      <c r="AM1176" s="32"/>
      <c r="AN1176" s="32"/>
      <c r="AO1176" s="28"/>
      <c r="AP1176" s="29"/>
    </row>
    <row r="1177">
      <c r="A1177" s="115"/>
      <c r="B1177" s="116"/>
      <c r="C1177" s="115"/>
      <c r="D1177" s="115"/>
      <c r="E1177" s="115"/>
      <c r="F1177" s="115"/>
      <c r="G1177" s="115"/>
      <c r="H1177" s="115"/>
      <c r="I1177" s="115"/>
      <c r="J1177" s="115"/>
      <c r="K1177" s="115"/>
      <c r="L1177" s="115"/>
      <c r="O1177" s="116"/>
      <c r="Q1177" s="116"/>
      <c r="T1177" s="114"/>
      <c r="Y1177" s="118"/>
      <c r="Z1177" s="28"/>
      <c r="AA1177" s="29"/>
      <c r="AB1177" s="29"/>
      <c r="AC1177" s="29"/>
      <c r="AD1177" s="29"/>
      <c r="AE1177" s="29"/>
      <c r="AF1177" s="29"/>
      <c r="AG1177" s="29"/>
      <c r="AH1177" s="30"/>
      <c r="AI1177" s="39"/>
      <c r="AJ1177" s="28"/>
      <c r="AK1177" s="32"/>
      <c r="AL1177" s="32"/>
      <c r="AM1177" s="32"/>
      <c r="AN1177" s="32"/>
      <c r="AO1177" s="28"/>
      <c r="AP1177" s="29"/>
    </row>
    <row r="1178">
      <c r="A1178" s="115"/>
      <c r="B1178" s="116"/>
      <c r="C1178" s="115"/>
      <c r="D1178" s="115"/>
      <c r="E1178" s="115"/>
      <c r="F1178" s="115"/>
      <c r="G1178" s="115"/>
      <c r="H1178" s="115"/>
      <c r="I1178" s="115"/>
      <c r="J1178" s="115"/>
      <c r="K1178" s="115"/>
      <c r="L1178" s="115"/>
      <c r="O1178" s="116"/>
      <c r="Q1178" s="116"/>
      <c r="T1178" s="114"/>
      <c r="Y1178" s="118"/>
      <c r="Z1178" s="28"/>
      <c r="AA1178" s="28"/>
      <c r="AB1178" s="28"/>
      <c r="AC1178" s="28"/>
      <c r="AD1178" s="29"/>
      <c r="AE1178" s="29"/>
      <c r="AF1178" s="29"/>
      <c r="AG1178" s="29"/>
      <c r="AH1178" s="30"/>
      <c r="AI1178" s="31"/>
      <c r="AJ1178" s="28"/>
      <c r="AK1178" s="28"/>
      <c r="AL1178" s="32"/>
      <c r="AM1178" s="32"/>
      <c r="AN1178" s="32"/>
      <c r="AO1178" s="28"/>
      <c r="AP1178" s="29"/>
    </row>
    <row r="1179">
      <c r="A1179" s="115"/>
      <c r="B1179" s="116"/>
      <c r="C1179" s="115"/>
      <c r="D1179" s="115"/>
      <c r="E1179" s="115"/>
      <c r="F1179" s="115"/>
      <c r="G1179" s="115"/>
      <c r="H1179" s="115"/>
      <c r="I1179" s="115"/>
      <c r="J1179" s="115"/>
      <c r="K1179" s="115"/>
      <c r="L1179" s="115"/>
      <c r="O1179" s="116"/>
      <c r="Q1179" s="116"/>
      <c r="T1179" s="114"/>
      <c r="Y1179" s="118"/>
      <c r="Z1179" s="28"/>
      <c r="AA1179" s="28"/>
      <c r="AB1179" s="28"/>
      <c r="AC1179" s="29"/>
      <c r="AD1179" s="29"/>
      <c r="AE1179" s="29"/>
      <c r="AF1179" s="29"/>
      <c r="AG1179" s="29"/>
      <c r="AH1179" s="30"/>
      <c r="AI1179" s="31"/>
      <c r="AJ1179" s="28"/>
      <c r="AK1179" s="28"/>
      <c r="AL1179" s="28"/>
      <c r="AM1179" s="32"/>
      <c r="AN1179" s="32"/>
      <c r="AO1179" s="28"/>
      <c r="AP1179" s="29"/>
    </row>
    <row r="1180">
      <c r="A1180" s="115"/>
      <c r="B1180" s="116"/>
      <c r="C1180" s="115"/>
      <c r="D1180" s="115"/>
      <c r="E1180" s="115"/>
      <c r="F1180" s="115"/>
      <c r="G1180" s="115"/>
      <c r="H1180" s="115"/>
      <c r="I1180" s="115"/>
      <c r="J1180" s="115"/>
      <c r="K1180" s="115"/>
      <c r="L1180" s="115"/>
      <c r="O1180" s="116"/>
      <c r="Q1180" s="116"/>
      <c r="T1180" s="114"/>
      <c r="Y1180" s="118"/>
      <c r="Z1180" s="28"/>
      <c r="AA1180" s="28"/>
      <c r="AB1180" s="28"/>
      <c r="AC1180" s="29"/>
      <c r="AD1180" s="29"/>
      <c r="AE1180" s="29"/>
      <c r="AF1180" s="29"/>
      <c r="AG1180" s="29"/>
      <c r="AH1180" s="30"/>
      <c r="AI1180" s="31"/>
      <c r="AJ1180" s="28"/>
      <c r="AK1180" s="32"/>
      <c r="AL1180" s="32"/>
      <c r="AM1180" s="32"/>
      <c r="AN1180" s="32"/>
      <c r="AO1180" s="28"/>
      <c r="AP1180" s="29"/>
    </row>
    <row r="1181">
      <c r="A1181" s="115"/>
      <c r="B1181" s="116"/>
      <c r="C1181" s="115"/>
      <c r="D1181" s="115"/>
      <c r="E1181" s="115"/>
      <c r="F1181" s="115"/>
      <c r="G1181" s="115"/>
      <c r="H1181" s="115"/>
      <c r="I1181" s="115"/>
      <c r="J1181" s="115"/>
      <c r="K1181" s="115"/>
      <c r="L1181" s="115"/>
      <c r="O1181" s="116"/>
      <c r="Q1181" s="116"/>
      <c r="T1181" s="114"/>
      <c r="Y1181" s="118"/>
      <c r="Z1181" s="28"/>
      <c r="AA1181" s="28"/>
      <c r="AB1181" s="28"/>
      <c r="AC1181" s="29"/>
      <c r="AD1181" s="29"/>
      <c r="AE1181" s="29"/>
      <c r="AF1181" s="29"/>
      <c r="AG1181" s="29"/>
      <c r="AH1181" s="30"/>
      <c r="AI1181" s="31"/>
      <c r="AJ1181" s="28"/>
      <c r="AK1181" s="32"/>
      <c r="AL1181" s="32"/>
      <c r="AM1181" s="32"/>
      <c r="AN1181" s="32"/>
      <c r="AO1181" s="28"/>
      <c r="AP1181" s="29"/>
    </row>
    <row r="1182">
      <c r="A1182" s="115"/>
      <c r="B1182" s="116"/>
      <c r="C1182" s="115"/>
      <c r="D1182" s="115"/>
      <c r="E1182" s="115"/>
      <c r="F1182" s="115"/>
      <c r="G1182" s="115"/>
      <c r="H1182" s="115"/>
      <c r="I1182" s="115"/>
      <c r="J1182" s="115"/>
      <c r="K1182" s="115"/>
      <c r="L1182" s="115"/>
      <c r="O1182" s="116"/>
      <c r="Q1182" s="116"/>
      <c r="T1182" s="114"/>
      <c r="Y1182" s="118"/>
      <c r="Z1182" s="28"/>
      <c r="AA1182" s="28"/>
      <c r="AB1182" s="28"/>
      <c r="AC1182" s="29"/>
      <c r="AD1182" s="29"/>
      <c r="AE1182" s="29"/>
      <c r="AF1182" s="29"/>
      <c r="AG1182" s="29"/>
      <c r="AH1182" s="30"/>
      <c r="AI1182" s="31"/>
      <c r="AJ1182" s="28"/>
      <c r="AK1182" s="32"/>
      <c r="AL1182" s="32"/>
      <c r="AM1182" s="32"/>
      <c r="AN1182" s="32"/>
      <c r="AO1182" s="28"/>
      <c r="AP1182" s="28"/>
    </row>
    <row r="1183">
      <c r="A1183" s="115"/>
      <c r="B1183" s="116"/>
      <c r="C1183" s="115"/>
      <c r="D1183" s="115"/>
      <c r="E1183" s="115"/>
      <c r="F1183" s="115"/>
      <c r="G1183" s="115"/>
      <c r="H1183" s="115"/>
      <c r="I1183" s="115"/>
      <c r="J1183" s="115"/>
      <c r="K1183" s="115"/>
      <c r="L1183" s="115"/>
      <c r="O1183" s="116"/>
      <c r="Q1183" s="116"/>
      <c r="T1183" s="114"/>
      <c r="Y1183" s="118"/>
      <c r="Z1183" s="28"/>
      <c r="AA1183" s="28"/>
      <c r="AB1183" s="28"/>
      <c r="AC1183" s="29"/>
      <c r="AD1183" s="29"/>
      <c r="AE1183" s="29"/>
      <c r="AF1183" s="29"/>
      <c r="AG1183" s="29"/>
      <c r="AH1183" s="30"/>
      <c r="AI1183" s="31"/>
      <c r="AJ1183" s="28"/>
      <c r="AK1183" s="32"/>
      <c r="AL1183" s="32"/>
      <c r="AM1183" s="32"/>
      <c r="AN1183" s="32"/>
      <c r="AO1183" s="28"/>
      <c r="AP1183" s="29"/>
    </row>
    <row r="1184">
      <c r="A1184" s="115"/>
      <c r="B1184" s="116"/>
      <c r="C1184" s="115"/>
      <c r="D1184" s="115"/>
      <c r="E1184" s="115"/>
      <c r="F1184" s="115"/>
      <c r="G1184" s="115"/>
      <c r="H1184" s="115"/>
      <c r="I1184" s="115"/>
      <c r="J1184" s="115"/>
      <c r="K1184" s="115"/>
      <c r="L1184" s="115"/>
      <c r="O1184" s="116"/>
      <c r="Q1184" s="116"/>
      <c r="T1184" s="114"/>
      <c r="Y1184" s="118"/>
      <c r="Z1184" s="28"/>
      <c r="AA1184" s="28"/>
      <c r="AB1184" s="28"/>
      <c r="AC1184" s="28"/>
      <c r="AD1184" s="29"/>
      <c r="AE1184" s="29"/>
      <c r="AF1184" s="29"/>
      <c r="AG1184" s="29"/>
      <c r="AH1184" s="30"/>
      <c r="AI1184" s="31"/>
      <c r="AJ1184" s="28"/>
      <c r="AK1184" s="32"/>
      <c r="AL1184" s="32"/>
      <c r="AM1184" s="32"/>
      <c r="AN1184" s="32"/>
      <c r="AO1184" s="28"/>
      <c r="AP1184" s="29"/>
    </row>
    <row r="1185">
      <c r="A1185" s="115"/>
      <c r="B1185" s="116"/>
      <c r="C1185" s="115"/>
      <c r="D1185" s="115"/>
      <c r="E1185" s="115"/>
      <c r="F1185" s="115"/>
      <c r="G1185" s="115"/>
      <c r="H1185" s="115"/>
      <c r="I1185" s="115"/>
      <c r="J1185" s="115"/>
      <c r="K1185" s="115"/>
      <c r="L1185" s="115"/>
      <c r="O1185" s="116"/>
      <c r="Q1185" s="116"/>
      <c r="T1185" s="114"/>
      <c r="Y1185" s="118"/>
      <c r="Z1185" s="28"/>
      <c r="AA1185" s="28"/>
      <c r="AB1185" s="28"/>
      <c r="AC1185" s="28"/>
      <c r="AD1185" s="28"/>
      <c r="AE1185" s="28"/>
      <c r="AF1185" s="28"/>
      <c r="AG1185" s="28"/>
      <c r="AH1185" s="119"/>
      <c r="AI1185" s="31"/>
      <c r="AJ1185" s="28"/>
      <c r="AK1185" s="28"/>
      <c r="AL1185" s="32"/>
      <c r="AM1185" s="32"/>
      <c r="AN1185" s="32"/>
      <c r="AO1185" s="32"/>
      <c r="AP1185" s="29"/>
    </row>
    <row r="1186">
      <c r="A1186" s="115"/>
      <c r="B1186" s="116"/>
      <c r="C1186" s="115"/>
      <c r="D1186" s="115"/>
      <c r="E1186" s="115"/>
      <c r="F1186" s="115"/>
      <c r="G1186" s="115"/>
      <c r="H1186" s="115"/>
      <c r="I1186" s="115"/>
      <c r="J1186" s="115"/>
      <c r="K1186" s="115"/>
      <c r="L1186" s="115"/>
      <c r="O1186" s="116"/>
      <c r="Q1186" s="116"/>
      <c r="T1186" s="114"/>
      <c r="Y1186" s="118"/>
      <c r="Z1186" s="28"/>
      <c r="AA1186" s="28"/>
      <c r="AB1186" s="28"/>
      <c r="AC1186" s="29"/>
      <c r="AD1186" s="29"/>
      <c r="AE1186" s="29"/>
      <c r="AF1186" s="29"/>
      <c r="AG1186" s="29"/>
      <c r="AH1186" s="30"/>
      <c r="AI1186" s="31"/>
      <c r="AJ1186" s="28"/>
      <c r="AK1186" s="32"/>
      <c r="AL1186" s="32"/>
      <c r="AM1186" s="32"/>
      <c r="AN1186" s="32"/>
      <c r="AO1186" s="28"/>
      <c r="AP1186" s="29"/>
    </row>
    <row r="1187">
      <c r="A1187" s="115"/>
      <c r="B1187" s="116"/>
      <c r="C1187" s="115"/>
      <c r="D1187" s="115"/>
      <c r="E1187" s="115"/>
      <c r="F1187" s="115"/>
      <c r="G1187" s="115"/>
      <c r="H1187" s="115"/>
      <c r="I1187" s="115"/>
      <c r="J1187" s="115"/>
      <c r="K1187" s="115"/>
      <c r="L1187" s="115"/>
      <c r="O1187" s="116"/>
      <c r="Q1187" s="116"/>
      <c r="T1187" s="114"/>
      <c r="Y1187" s="118"/>
      <c r="Z1187" s="28"/>
      <c r="AA1187" s="28"/>
      <c r="AB1187" s="28"/>
      <c r="AC1187" s="29"/>
      <c r="AD1187" s="29"/>
      <c r="AE1187" s="29"/>
      <c r="AF1187" s="29"/>
      <c r="AG1187" s="29"/>
      <c r="AH1187" s="30"/>
      <c r="AI1187" s="31"/>
      <c r="AJ1187" s="28"/>
      <c r="AK1187" s="32"/>
      <c r="AL1187" s="32"/>
      <c r="AM1187" s="32"/>
      <c r="AN1187" s="32"/>
      <c r="AO1187" s="28"/>
      <c r="AP1187" s="29"/>
    </row>
    <row r="1188">
      <c r="A1188" s="115"/>
      <c r="B1188" s="116"/>
      <c r="C1188" s="115"/>
      <c r="D1188" s="115"/>
      <c r="E1188" s="115"/>
      <c r="F1188" s="115"/>
      <c r="G1188" s="115"/>
      <c r="H1188" s="115"/>
      <c r="I1188" s="115"/>
      <c r="J1188" s="115"/>
      <c r="K1188" s="115"/>
      <c r="L1188" s="115"/>
      <c r="O1188" s="116"/>
      <c r="Q1188" s="116"/>
      <c r="T1188" s="114"/>
      <c r="Y1188" s="118"/>
      <c r="Z1188" s="28"/>
      <c r="AA1188" s="28"/>
      <c r="AB1188" s="28"/>
      <c r="AC1188" s="28"/>
      <c r="AD1188" s="29"/>
      <c r="AE1188" s="29"/>
      <c r="AF1188" s="29"/>
      <c r="AG1188" s="29"/>
      <c r="AH1188" s="30"/>
      <c r="AI1188" s="31"/>
      <c r="AJ1188" s="28"/>
      <c r="AK1188" s="28"/>
      <c r="AL1188" s="28"/>
      <c r="AM1188" s="32"/>
      <c r="AN1188" s="32"/>
      <c r="AO1188" s="28"/>
      <c r="AP1188" s="29"/>
    </row>
    <row r="1189">
      <c r="A1189" s="115"/>
      <c r="B1189" s="116"/>
      <c r="C1189" s="115"/>
      <c r="D1189" s="115"/>
      <c r="E1189" s="115"/>
      <c r="F1189" s="115"/>
      <c r="G1189" s="115"/>
      <c r="H1189" s="115"/>
      <c r="I1189" s="115"/>
      <c r="J1189" s="115"/>
      <c r="K1189" s="115"/>
      <c r="L1189" s="115"/>
      <c r="O1189" s="116"/>
      <c r="Q1189" s="116"/>
      <c r="T1189" s="114"/>
      <c r="Y1189" s="118"/>
      <c r="Z1189" s="28"/>
      <c r="AA1189" s="28"/>
      <c r="AB1189" s="28"/>
      <c r="AC1189" s="29"/>
      <c r="AD1189" s="29"/>
      <c r="AE1189" s="29"/>
      <c r="AF1189" s="29"/>
      <c r="AG1189" s="29"/>
      <c r="AH1189" s="30"/>
      <c r="AI1189" s="31"/>
      <c r="AJ1189" s="28"/>
      <c r="AK1189" s="32"/>
      <c r="AL1189" s="32"/>
      <c r="AM1189" s="32"/>
      <c r="AN1189" s="32"/>
      <c r="AO1189" s="28"/>
      <c r="AP1189" s="29"/>
    </row>
    <row r="1190">
      <c r="A1190" s="115"/>
      <c r="B1190" s="116"/>
      <c r="C1190" s="115"/>
      <c r="D1190" s="115"/>
      <c r="E1190" s="115"/>
      <c r="F1190" s="115"/>
      <c r="G1190" s="115"/>
      <c r="H1190" s="115"/>
      <c r="I1190" s="115"/>
      <c r="J1190" s="115"/>
      <c r="K1190" s="115"/>
      <c r="L1190" s="115"/>
      <c r="O1190" s="116"/>
      <c r="Q1190" s="116"/>
      <c r="T1190" s="114"/>
      <c r="Y1190" s="118"/>
      <c r="Z1190" s="28"/>
      <c r="AA1190" s="28"/>
      <c r="AB1190" s="28"/>
      <c r="AC1190" s="28"/>
      <c r="AD1190" s="29"/>
      <c r="AE1190" s="29"/>
      <c r="AF1190" s="29"/>
      <c r="AG1190" s="29"/>
      <c r="AH1190" s="30"/>
      <c r="AI1190" s="31"/>
      <c r="AJ1190" s="28"/>
      <c r="AK1190" s="32"/>
      <c r="AL1190" s="32"/>
      <c r="AM1190" s="32"/>
      <c r="AN1190" s="32"/>
      <c r="AO1190" s="28"/>
      <c r="AP1190" s="29"/>
    </row>
    <row r="1191">
      <c r="A1191" s="115"/>
      <c r="B1191" s="116"/>
      <c r="C1191" s="115"/>
      <c r="D1191" s="115"/>
      <c r="E1191" s="115"/>
      <c r="F1191" s="115"/>
      <c r="G1191" s="115"/>
      <c r="H1191" s="115"/>
      <c r="I1191" s="115"/>
      <c r="J1191" s="115"/>
      <c r="K1191" s="115"/>
      <c r="L1191" s="115"/>
      <c r="O1191" s="116"/>
      <c r="Q1191" s="116"/>
      <c r="T1191" s="114"/>
      <c r="Y1191" s="118"/>
      <c r="Z1191" s="28"/>
      <c r="AA1191" s="28"/>
      <c r="AB1191" s="28"/>
      <c r="AC1191" s="29"/>
      <c r="AD1191" s="29"/>
      <c r="AE1191" s="29"/>
      <c r="AF1191" s="29"/>
      <c r="AG1191" s="29"/>
      <c r="AH1191" s="30"/>
      <c r="AI1191" s="31"/>
      <c r="AJ1191" s="28"/>
      <c r="AK1191" s="32"/>
      <c r="AL1191" s="32"/>
      <c r="AM1191" s="32"/>
      <c r="AN1191" s="32"/>
      <c r="AO1191" s="28"/>
      <c r="AP1191" s="29"/>
    </row>
    <row r="1192">
      <c r="A1192" s="115"/>
      <c r="B1192" s="116"/>
      <c r="C1192" s="115"/>
      <c r="D1192" s="115"/>
      <c r="E1192" s="115"/>
      <c r="F1192" s="115"/>
      <c r="G1192" s="115"/>
      <c r="H1192" s="115"/>
      <c r="I1192" s="115"/>
      <c r="J1192" s="115"/>
      <c r="K1192" s="115"/>
      <c r="L1192" s="115"/>
      <c r="O1192" s="116"/>
      <c r="Q1192" s="116"/>
      <c r="T1192" s="114"/>
      <c r="Y1192" s="118"/>
      <c r="Z1192" s="28"/>
      <c r="AA1192" s="28"/>
      <c r="AB1192" s="28"/>
      <c r="AC1192" s="28"/>
      <c r="AD1192" s="28"/>
      <c r="AE1192" s="29"/>
      <c r="AF1192" s="29"/>
      <c r="AG1192" s="29"/>
      <c r="AH1192" s="30"/>
      <c r="AI1192" s="31"/>
      <c r="AJ1192" s="28"/>
      <c r="AK1192" s="32"/>
      <c r="AL1192" s="32"/>
      <c r="AM1192" s="32"/>
      <c r="AN1192" s="32"/>
      <c r="AO1192" s="28"/>
      <c r="AP1192" s="29"/>
    </row>
    <row r="1193">
      <c r="A1193" s="115"/>
      <c r="B1193" s="116"/>
      <c r="C1193" s="115"/>
      <c r="D1193" s="115"/>
      <c r="E1193" s="115"/>
      <c r="F1193" s="115"/>
      <c r="G1193" s="115"/>
      <c r="H1193" s="115"/>
      <c r="I1193" s="115"/>
      <c r="J1193" s="115"/>
      <c r="K1193" s="115"/>
      <c r="L1193" s="115"/>
      <c r="O1193" s="116"/>
      <c r="Q1193" s="116"/>
      <c r="T1193" s="114"/>
      <c r="Y1193" s="118"/>
      <c r="Z1193" s="28"/>
      <c r="AA1193" s="28"/>
      <c r="AB1193" s="28"/>
      <c r="AC1193" s="28"/>
      <c r="AD1193" s="29"/>
      <c r="AE1193" s="29"/>
      <c r="AF1193" s="29"/>
      <c r="AG1193" s="29"/>
      <c r="AH1193" s="30"/>
      <c r="AI1193" s="31"/>
      <c r="AJ1193" s="28"/>
      <c r="AK1193" s="32"/>
      <c r="AL1193" s="32"/>
      <c r="AM1193" s="32"/>
      <c r="AN1193" s="32"/>
      <c r="AO1193" s="28"/>
      <c r="AP1193" s="29"/>
    </row>
    <row r="1194">
      <c r="A1194" s="115"/>
      <c r="B1194" s="116"/>
      <c r="C1194" s="115"/>
      <c r="D1194" s="115"/>
      <c r="E1194" s="115"/>
      <c r="F1194" s="115"/>
      <c r="G1194" s="115"/>
      <c r="H1194" s="115"/>
      <c r="I1194" s="115"/>
      <c r="J1194" s="115"/>
      <c r="K1194" s="115"/>
      <c r="L1194" s="115"/>
      <c r="O1194" s="116"/>
      <c r="Q1194" s="116"/>
      <c r="T1194" s="114"/>
      <c r="Y1194" s="118"/>
      <c r="Z1194" s="28"/>
      <c r="AA1194" s="28"/>
      <c r="AB1194" s="28"/>
      <c r="AC1194" s="28"/>
      <c r="AD1194" s="29"/>
      <c r="AE1194" s="29"/>
      <c r="AF1194" s="29"/>
      <c r="AG1194" s="29"/>
      <c r="AH1194" s="30"/>
      <c r="AI1194" s="31"/>
      <c r="AJ1194" s="28"/>
      <c r="AK1194" s="32"/>
      <c r="AL1194" s="32"/>
      <c r="AM1194" s="32"/>
      <c r="AN1194" s="32"/>
      <c r="AO1194" s="28"/>
      <c r="AP1194" s="29"/>
    </row>
    <row r="1195">
      <c r="A1195" s="115"/>
      <c r="B1195" s="116"/>
      <c r="C1195" s="115"/>
      <c r="D1195" s="115"/>
      <c r="E1195" s="115"/>
      <c r="F1195" s="115"/>
      <c r="G1195" s="115"/>
      <c r="H1195" s="115"/>
      <c r="I1195" s="115"/>
      <c r="J1195" s="115"/>
      <c r="K1195" s="115"/>
      <c r="L1195" s="115"/>
      <c r="O1195" s="116"/>
      <c r="Q1195" s="116"/>
      <c r="T1195" s="114"/>
      <c r="Y1195" s="118"/>
      <c r="Z1195" s="28"/>
      <c r="AA1195" s="28"/>
      <c r="AB1195" s="28"/>
      <c r="AC1195" s="28"/>
      <c r="AD1195" s="29"/>
      <c r="AE1195" s="29"/>
      <c r="AF1195" s="29"/>
      <c r="AG1195" s="29"/>
      <c r="AH1195" s="30"/>
      <c r="AI1195" s="31"/>
      <c r="AJ1195" s="28"/>
      <c r="AK1195" s="32"/>
      <c r="AL1195" s="32"/>
      <c r="AM1195" s="32"/>
      <c r="AN1195" s="32"/>
      <c r="AO1195" s="28"/>
      <c r="AP1195" s="29"/>
    </row>
    <row r="1196">
      <c r="A1196" s="115"/>
      <c r="B1196" s="116"/>
      <c r="C1196" s="115"/>
      <c r="D1196" s="115"/>
      <c r="E1196" s="115"/>
      <c r="F1196" s="115"/>
      <c r="G1196" s="115"/>
      <c r="H1196" s="115"/>
      <c r="I1196" s="115"/>
      <c r="J1196" s="115"/>
      <c r="K1196" s="115"/>
      <c r="L1196" s="115"/>
      <c r="O1196" s="116"/>
      <c r="Q1196" s="116"/>
      <c r="T1196" s="114"/>
      <c r="Y1196" s="118"/>
      <c r="Z1196" s="28"/>
      <c r="AA1196" s="28"/>
      <c r="AB1196" s="28"/>
      <c r="AC1196" s="28"/>
      <c r="AD1196" s="29"/>
      <c r="AE1196" s="29"/>
      <c r="AF1196" s="29"/>
      <c r="AG1196" s="29"/>
      <c r="AH1196" s="30"/>
      <c r="AI1196" s="31"/>
      <c r="AJ1196" s="28"/>
      <c r="AK1196" s="32"/>
      <c r="AL1196" s="32"/>
      <c r="AM1196" s="32"/>
      <c r="AN1196" s="32"/>
      <c r="AO1196" s="28"/>
      <c r="AP1196" s="29"/>
    </row>
    <row r="1197">
      <c r="A1197" s="115"/>
      <c r="B1197" s="116"/>
      <c r="C1197" s="115"/>
      <c r="D1197" s="115"/>
      <c r="E1197" s="115"/>
      <c r="F1197" s="115"/>
      <c r="G1197" s="115"/>
      <c r="H1197" s="115"/>
      <c r="I1197" s="115"/>
      <c r="J1197" s="115"/>
      <c r="K1197" s="115"/>
      <c r="L1197" s="115"/>
      <c r="O1197" s="116"/>
      <c r="Q1197" s="116"/>
      <c r="T1197" s="114"/>
      <c r="Y1197" s="118"/>
      <c r="Z1197" s="28"/>
      <c r="AA1197" s="29"/>
      <c r="AB1197" s="29"/>
      <c r="AC1197" s="29"/>
      <c r="AD1197" s="29"/>
      <c r="AE1197" s="29"/>
      <c r="AF1197" s="29"/>
      <c r="AG1197" s="29"/>
      <c r="AH1197" s="121"/>
      <c r="AI1197" s="31"/>
      <c r="AJ1197" s="28"/>
      <c r="AK1197" s="32"/>
      <c r="AL1197" s="32"/>
      <c r="AM1197" s="32"/>
      <c r="AN1197" s="32"/>
      <c r="AO1197" s="28"/>
      <c r="AP1197" s="29"/>
    </row>
    <row r="1198">
      <c r="A1198" s="115"/>
      <c r="B1198" s="116"/>
      <c r="C1198" s="115"/>
      <c r="D1198" s="115"/>
      <c r="E1198" s="115"/>
      <c r="F1198" s="115"/>
      <c r="G1198" s="115"/>
      <c r="H1198" s="115"/>
      <c r="I1198" s="115"/>
      <c r="J1198" s="115"/>
      <c r="K1198" s="115"/>
      <c r="L1198" s="115"/>
      <c r="O1198" s="116"/>
      <c r="Q1198" s="116"/>
      <c r="T1198" s="114"/>
      <c r="Y1198" s="118"/>
      <c r="Z1198" s="28"/>
      <c r="AA1198" s="29"/>
      <c r="AB1198" s="29"/>
      <c r="AC1198" s="29"/>
      <c r="AD1198" s="29"/>
      <c r="AE1198" s="29"/>
      <c r="AF1198" s="29"/>
      <c r="AG1198" s="29"/>
      <c r="AH1198" s="121"/>
      <c r="AI1198" s="31"/>
      <c r="AJ1198" s="28"/>
      <c r="AK1198" s="32"/>
      <c r="AL1198" s="32"/>
      <c r="AM1198" s="32"/>
      <c r="AN1198" s="32"/>
      <c r="AO1198" s="28"/>
      <c r="AP1198" s="29"/>
    </row>
    <row r="1199">
      <c r="A1199" s="115"/>
      <c r="B1199" s="116"/>
      <c r="C1199" s="115"/>
      <c r="D1199" s="115"/>
      <c r="E1199" s="115"/>
      <c r="F1199" s="115"/>
      <c r="G1199" s="115"/>
      <c r="H1199" s="115"/>
      <c r="I1199" s="115"/>
      <c r="J1199" s="115"/>
      <c r="K1199" s="115"/>
      <c r="L1199" s="115"/>
      <c r="O1199" s="116"/>
      <c r="Q1199" s="116"/>
      <c r="T1199" s="114"/>
      <c r="Y1199" s="118"/>
      <c r="Z1199" s="28"/>
      <c r="AA1199" s="29"/>
      <c r="AB1199" s="29"/>
      <c r="AC1199" s="29"/>
      <c r="AD1199" s="29"/>
      <c r="AE1199" s="29"/>
      <c r="AF1199" s="29"/>
      <c r="AG1199" s="29"/>
      <c r="AH1199" s="121"/>
      <c r="AI1199" s="31"/>
      <c r="AJ1199" s="28"/>
      <c r="AK1199" s="32"/>
      <c r="AL1199" s="32"/>
      <c r="AM1199" s="32"/>
      <c r="AN1199" s="32"/>
      <c r="AO1199" s="28"/>
      <c r="AP1199" s="29"/>
    </row>
    <row r="1200">
      <c r="A1200" s="115"/>
      <c r="B1200" s="116"/>
      <c r="C1200" s="115"/>
      <c r="D1200" s="115"/>
      <c r="E1200" s="115"/>
      <c r="F1200" s="115"/>
      <c r="G1200" s="115"/>
      <c r="H1200" s="115"/>
      <c r="I1200" s="115"/>
      <c r="J1200" s="115"/>
      <c r="K1200" s="115"/>
      <c r="L1200" s="115"/>
      <c r="O1200" s="116"/>
      <c r="Q1200" s="116"/>
      <c r="T1200" s="114"/>
      <c r="Y1200" s="118"/>
      <c r="Z1200" s="28"/>
      <c r="AA1200" s="29"/>
      <c r="AB1200" s="29"/>
      <c r="AC1200" s="29"/>
      <c r="AD1200" s="29"/>
      <c r="AE1200" s="29"/>
      <c r="AF1200" s="29"/>
      <c r="AG1200" s="29"/>
      <c r="AH1200" s="121"/>
      <c r="AI1200" s="31"/>
      <c r="AJ1200" s="28"/>
      <c r="AK1200" s="32"/>
      <c r="AL1200" s="32"/>
      <c r="AM1200" s="32"/>
      <c r="AN1200" s="32"/>
      <c r="AO1200" s="28"/>
      <c r="AP1200" s="29"/>
    </row>
    <row r="1201">
      <c r="A1201" s="115"/>
      <c r="B1201" s="116"/>
      <c r="C1201" s="115"/>
      <c r="D1201" s="115"/>
      <c r="E1201" s="115"/>
      <c r="F1201" s="115"/>
      <c r="G1201" s="115"/>
      <c r="H1201" s="115"/>
      <c r="I1201" s="115"/>
      <c r="J1201" s="115"/>
      <c r="K1201" s="115"/>
      <c r="L1201" s="115"/>
      <c r="O1201" s="116"/>
      <c r="Q1201" s="116"/>
      <c r="T1201" s="114"/>
      <c r="Y1201" s="118"/>
      <c r="Z1201" s="28"/>
      <c r="AA1201" s="29"/>
      <c r="AB1201" s="29"/>
      <c r="AC1201" s="29"/>
      <c r="AD1201" s="29"/>
      <c r="AE1201" s="29"/>
      <c r="AF1201" s="29"/>
      <c r="AG1201" s="29"/>
      <c r="AH1201" s="121"/>
      <c r="AI1201" s="31"/>
      <c r="AJ1201" s="28"/>
      <c r="AK1201" s="32"/>
      <c r="AL1201" s="32"/>
      <c r="AM1201" s="32"/>
      <c r="AN1201" s="32"/>
      <c r="AO1201" s="28"/>
      <c r="AP1201" s="29"/>
    </row>
    <row r="1202">
      <c r="A1202" s="115"/>
      <c r="B1202" s="116"/>
      <c r="C1202" s="115"/>
      <c r="D1202" s="115"/>
      <c r="E1202" s="115"/>
      <c r="F1202" s="115"/>
      <c r="G1202" s="115"/>
      <c r="H1202" s="115"/>
      <c r="I1202" s="115"/>
      <c r="J1202" s="115"/>
      <c r="K1202" s="115"/>
      <c r="L1202" s="115"/>
      <c r="O1202" s="116"/>
      <c r="Q1202" s="116"/>
      <c r="T1202" s="114"/>
      <c r="Y1202" s="118"/>
      <c r="Z1202" s="28"/>
      <c r="AA1202" s="29"/>
      <c r="AB1202" s="29"/>
      <c r="AC1202" s="29"/>
      <c r="AD1202" s="29"/>
      <c r="AE1202" s="29"/>
      <c r="AF1202" s="29"/>
      <c r="AG1202" s="29"/>
      <c r="AH1202" s="121"/>
      <c r="AI1202" s="31"/>
      <c r="AJ1202" s="28"/>
      <c r="AK1202" s="32"/>
      <c r="AL1202" s="32"/>
      <c r="AM1202" s="32"/>
      <c r="AN1202" s="32"/>
      <c r="AO1202" s="28"/>
      <c r="AP1202" s="29"/>
    </row>
    <row r="1203">
      <c r="A1203" s="115"/>
      <c r="B1203" s="116"/>
      <c r="C1203" s="115"/>
      <c r="D1203" s="115"/>
      <c r="E1203" s="115"/>
      <c r="F1203" s="115"/>
      <c r="G1203" s="115"/>
      <c r="H1203" s="115"/>
      <c r="I1203" s="115"/>
      <c r="J1203" s="115"/>
      <c r="K1203" s="115"/>
      <c r="L1203" s="115"/>
      <c r="O1203" s="116"/>
      <c r="Q1203" s="116"/>
      <c r="T1203" s="114"/>
      <c r="Y1203" s="118"/>
      <c r="Z1203" s="28"/>
      <c r="AA1203" s="29"/>
      <c r="AB1203" s="29"/>
      <c r="AC1203" s="29"/>
      <c r="AD1203" s="29"/>
      <c r="AE1203" s="29"/>
      <c r="AF1203" s="29"/>
      <c r="AG1203" s="29"/>
      <c r="AH1203" s="121"/>
      <c r="AI1203" s="31"/>
      <c r="AJ1203" s="28"/>
      <c r="AK1203" s="32"/>
      <c r="AL1203" s="32"/>
      <c r="AM1203" s="32"/>
      <c r="AN1203" s="32"/>
      <c r="AO1203" s="28"/>
      <c r="AP1203" s="29"/>
    </row>
    <row r="1204">
      <c r="A1204" s="115"/>
      <c r="B1204" s="116"/>
      <c r="C1204" s="115"/>
      <c r="D1204" s="115"/>
      <c r="E1204" s="115"/>
      <c r="F1204" s="115"/>
      <c r="G1204" s="115"/>
      <c r="H1204" s="115"/>
      <c r="I1204" s="115"/>
      <c r="J1204" s="115"/>
      <c r="K1204" s="115"/>
      <c r="L1204" s="115"/>
      <c r="O1204" s="116"/>
      <c r="Q1204" s="116"/>
      <c r="T1204" s="114"/>
      <c r="Y1204" s="118"/>
      <c r="Z1204" s="29"/>
      <c r="AA1204" s="29"/>
      <c r="AB1204" s="29"/>
      <c r="AC1204" s="29"/>
      <c r="AD1204" s="29"/>
      <c r="AE1204" s="29"/>
      <c r="AF1204" s="29"/>
      <c r="AG1204" s="29"/>
      <c r="AH1204" s="121"/>
      <c r="AI1204" s="31"/>
      <c r="AJ1204" s="28"/>
      <c r="AK1204" s="32"/>
      <c r="AL1204" s="32"/>
      <c r="AM1204" s="32"/>
      <c r="AN1204" s="32"/>
      <c r="AO1204" s="28"/>
      <c r="AP1204" s="29"/>
    </row>
    <row r="1205">
      <c r="A1205" s="115"/>
      <c r="B1205" s="116"/>
      <c r="C1205" s="115"/>
      <c r="D1205" s="115"/>
      <c r="E1205" s="115"/>
      <c r="F1205" s="115"/>
      <c r="G1205" s="115"/>
      <c r="H1205" s="115"/>
      <c r="I1205" s="115"/>
      <c r="J1205" s="115"/>
      <c r="K1205" s="115"/>
      <c r="L1205" s="115"/>
      <c r="O1205" s="116"/>
      <c r="Q1205" s="116"/>
      <c r="T1205" s="114"/>
      <c r="Y1205" s="118"/>
      <c r="Z1205" s="29"/>
      <c r="AA1205" s="29"/>
      <c r="AB1205" s="29"/>
      <c r="AC1205" s="29"/>
      <c r="AD1205" s="29"/>
      <c r="AE1205" s="29"/>
      <c r="AF1205" s="29"/>
      <c r="AG1205" s="29"/>
      <c r="AH1205" s="121"/>
      <c r="AI1205" s="31"/>
      <c r="AJ1205" s="28"/>
      <c r="AK1205" s="32"/>
      <c r="AL1205" s="32"/>
      <c r="AM1205" s="32"/>
      <c r="AN1205" s="32"/>
      <c r="AO1205" s="32"/>
      <c r="AP1205" s="29"/>
    </row>
    <row r="1206">
      <c r="A1206" s="115"/>
      <c r="B1206" s="116"/>
      <c r="C1206" s="115"/>
      <c r="D1206" s="115"/>
      <c r="E1206" s="115"/>
      <c r="F1206" s="115"/>
      <c r="G1206" s="115"/>
      <c r="H1206" s="115"/>
      <c r="I1206" s="115"/>
      <c r="J1206" s="115"/>
      <c r="K1206" s="115"/>
      <c r="L1206" s="115"/>
      <c r="O1206" s="116"/>
      <c r="Q1206" s="116"/>
      <c r="T1206" s="114"/>
      <c r="Y1206" s="118"/>
      <c r="Z1206" s="29"/>
      <c r="AA1206" s="29"/>
      <c r="AB1206" s="29"/>
      <c r="AC1206" s="29"/>
      <c r="AD1206" s="29"/>
      <c r="AE1206" s="29"/>
      <c r="AF1206" s="29"/>
      <c r="AG1206" s="29"/>
      <c r="AH1206" s="121"/>
      <c r="AI1206" s="31"/>
      <c r="AJ1206" s="28"/>
      <c r="AK1206" s="32"/>
      <c r="AL1206" s="32"/>
      <c r="AM1206" s="32"/>
      <c r="AN1206" s="32"/>
      <c r="AO1206" s="32"/>
      <c r="AP1206" s="29"/>
    </row>
    <row r="1207">
      <c r="A1207" s="115"/>
      <c r="B1207" s="116"/>
      <c r="C1207" s="115"/>
      <c r="D1207" s="115"/>
      <c r="E1207" s="115"/>
      <c r="F1207" s="115"/>
      <c r="G1207" s="115"/>
      <c r="H1207" s="115"/>
      <c r="I1207" s="115"/>
      <c r="J1207" s="115"/>
      <c r="K1207" s="115"/>
      <c r="L1207" s="115"/>
      <c r="O1207" s="116"/>
      <c r="Q1207" s="116"/>
      <c r="T1207" s="114"/>
      <c r="Y1207" s="118"/>
      <c r="Z1207" s="28"/>
      <c r="AA1207" s="29"/>
      <c r="AB1207" s="29"/>
      <c r="AC1207" s="29"/>
      <c r="AD1207" s="29"/>
      <c r="AE1207" s="29"/>
      <c r="AF1207" s="29"/>
      <c r="AG1207" s="29"/>
      <c r="AH1207" s="121"/>
      <c r="AI1207" s="31"/>
      <c r="AJ1207" s="28"/>
      <c r="AK1207" s="32"/>
      <c r="AL1207" s="32"/>
      <c r="AM1207" s="32"/>
      <c r="AN1207" s="32"/>
      <c r="AO1207" s="32"/>
      <c r="AP1207" s="29"/>
    </row>
    <row r="1208">
      <c r="A1208" s="115"/>
      <c r="B1208" s="116"/>
      <c r="C1208" s="115"/>
      <c r="D1208" s="115"/>
      <c r="E1208" s="115"/>
      <c r="F1208" s="115"/>
      <c r="G1208" s="115"/>
      <c r="H1208" s="115"/>
      <c r="I1208" s="115"/>
      <c r="J1208" s="115"/>
      <c r="K1208" s="115"/>
      <c r="L1208" s="115"/>
      <c r="O1208" s="116"/>
      <c r="Q1208" s="116"/>
      <c r="T1208" s="114"/>
      <c r="Y1208" s="118"/>
      <c r="Z1208" s="29"/>
      <c r="AA1208" s="29"/>
      <c r="AB1208" s="29"/>
      <c r="AC1208" s="29"/>
      <c r="AD1208" s="29"/>
      <c r="AE1208" s="29"/>
      <c r="AF1208" s="29"/>
      <c r="AG1208" s="29"/>
      <c r="AH1208" s="123"/>
      <c r="AI1208" s="32"/>
      <c r="AJ1208" s="32"/>
      <c r="AK1208" s="32"/>
      <c r="AL1208" s="32"/>
      <c r="AM1208" s="32"/>
      <c r="AN1208" s="32"/>
      <c r="AO1208" s="32"/>
      <c r="AP1208" s="29"/>
    </row>
    <row r="1209">
      <c r="A1209" s="115"/>
      <c r="B1209" s="116"/>
      <c r="C1209" s="115"/>
      <c r="D1209" s="115"/>
      <c r="E1209" s="115"/>
      <c r="F1209" s="115"/>
      <c r="G1209" s="115"/>
      <c r="H1209" s="115"/>
      <c r="I1209" s="115"/>
      <c r="J1209" s="115"/>
      <c r="K1209" s="115"/>
      <c r="L1209" s="115"/>
      <c r="O1209" s="116"/>
      <c r="Q1209" s="116"/>
      <c r="T1209" s="114"/>
      <c r="Y1209" s="118"/>
      <c r="Z1209" s="29"/>
      <c r="AA1209" s="29"/>
      <c r="AB1209" s="29"/>
      <c r="AC1209" s="29"/>
      <c r="AD1209" s="29"/>
      <c r="AE1209" s="29"/>
      <c r="AF1209" s="29"/>
      <c r="AG1209" s="29"/>
      <c r="AH1209" s="123"/>
      <c r="AI1209" s="32"/>
      <c r="AJ1209" s="32"/>
      <c r="AK1209" s="32"/>
      <c r="AL1209" s="32"/>
      <c r="AM1209" s="32"/>
      <c r="AN1209" s="32"/>
      <c r="AO1209" s="32"/>
      <c r="AP1209" s="29"/>
    </row>
    <row r="1210">
      <c r="A1210" s="115"/>
      <c r="B1210" s="116"/>
      <c r="C1210" s="115"/>
      <c r="D1210" s="115"/>
      <c r="E1210" s="115"/>
      <c r="F1210" s="115"/>
      <c r="G1210" s="115"/>
      <c r="H1210" s="115"/>
      <c r="I1210" s="115"/>
      <c r="J1210" s="115"/>
      <c r="K1210" s="115"/>
      <c r="L1210" s="115"/>
      <c r="O1210" s="116"/>
      <c r="Q1210" s="116"/>
      <c r="T1210" s="114"/>
      <c r="Y1210" s="118"/>
      <c r="Z1210" s="29"/>
      <c r="AA1210" s="29"/>
      <c r="AB1210" s="29"/>
      <c r="AC1210" s="29"/>
      <c r="AD1210" s="29"/>
      <c r="AE1210" s="29"/>
      <c r="AF1210" s="29"/>
      <c r="AG1210" s="29"/>
      <c r="AH1210" s="123"/>
      <c r="AI1210" s="32"/>
      <c r="AJ1210" s="32"/>
      <c r="AK1210" s="32"/>
      <c r="AL1210" s="32"/>
      <c r="AM1210" s="32"/>
      <c r="AN1210" s="32"/>
      <c r="AO1210" s="32"/>
      <c r="AP1210" s="29"/>
    </row>
    <row r="1211">
      <c r="A1211" s="115"/>
      <c r="B1211" s="116"/>
      <c r="C1211" s="115"/>
      <c r="D1211" s="115"/>
      <c r="E1211" s="115"/>
      <c r="F1211" s="115"/>
      <c r="G1211" s="115"/>
      <c r="H1211" s="115"/>
      <c r="I1211" s="115"/>
      <c r="J1211" s="115"/>
      <c r="K1211" s="115"/>
      <c r="L1211" s="115"/>
      <c r="O1211" s="116"/>
      <c r="Q1211" s="116"/>
      <c r="T1211" s="114"/>
      <c r="Y1211" s="118"/>
      <c r="Z1211" s="29"/>
      <c r="AA1211" s="29"/>
      <c r="AB1211" s="29"/>
      <c r="AC1211" s="29"/>
      <c r="AD1211" s="29"/>
      <c r="AE1211" s="29"/>
      <c r="AF1211" s="29"/>
      <c r="AG1211" s="29"/>
      <c r="AH1211" s="123"/>
      <c r="AI1211" s="32"/>
      <c r="AJ1211" s="32"/>
      <c r="AK1211" s="32"/>
      <c r="AL1211" s="32"/>
      <c r="AM1211" s="32"/>
      <c r="AN1211" s="32"/>
      <c r="AO1211" s="32"/>
      <c r="AP1211" s="29"/>
    </row>
    <row r="1212">
      <c r="A1212" s="115"/>
      <c r="B1212" s="116"/>
      <c r="C1212" s="115"/>
      <c r="D1212" s="115"/>
      <c r="E1212" s="115"/>
      <c r="F1212" s="115"/>
      <c r="G1212" s="115"/>
      <c r="H1212" s="115"/>
      <c r="I1212" s="115"/>
      <c r="J1212" s="115"/>
      <c r="K1212" s="115"/>
      <c r="L1212" s="115"/>
      <c r="O1212" s="116"/>
      <c r="Q1212" s="116"/>
      <c r="T1212" s="114"/>
      <c r="Y1212" s="118"/>
      <c r="Z1212" s="29"/>
      <c r="AA1212" s="29"/>
      <c r="AB1212" s="29"/>
      <c r="AC1212" s="29"/>
      <c r="AD1212" s="29"/>
      <c r="AE1212" s="29"/>
      <c r="AF1212" s="29"/>
      <c r="AG1212" s="29"/>
      <c r="AH1212" s="123"/>
      <c r="AI1212" s="32"/>
      <c r="AJ1212" s="32"/>
      <c r="AK1212" s="32"/>
      <c r="AL1212" s="32"/>
      <c r="AM1212" s="32"/>
      <c r="AN1212" s="32"/>
      <c r="AO1212" s="32"/>
      <c r="AP1212" s="29"/>
    </row>
    <row r="1213">
      <c r="A1213" s="115"/>
      <c r="B1213" s="116"/>
      <c r="C1213" s="115"/>
      <c r="D1213" s="115"/>
      <c r="E1213" s="115"/>
      <c r="F1213" s="115"/>
      <c r="G1213" s="115"/>
      <c r="H1213" s="115"/>
      <c r="I1213" s="115"/>
      <c r="J1213" s="115"/>
      <c r="K1213" s="115"/>
      <c r="L1213" s="115"/>
      <c r="O1213" s="116"/>
      <c r="Q1213" s="116"/>
      <c r="T1213" s="114"/>
      <c r="Y1213" s="118"/>
      <c r="Z1213" s="29"/>
      <c r="AA1213" s="29"/>
      <c r="AB1213" s="29"/>
      <c r="AC1213" s="29"/>
      <c r="AD1213" s="29"/>
      <c r="AE1213" s="29"/>
      <c r="AF1213" s="29"/>
      <c r="AG1213" s="29"/>
      <c r="AH1213" s="123"/>
      <c r="AI1213" s="32"/>
      <c r="AJ1213" s="32"/>
      <c r="AK1213" s="32"/>
      <c r="AL1213" s="32"/>
      <c r="AM1213" s="32"/>
      <c r="AN1213" s="32"/>
      <c r="AO1213" s="32"/>
      <c r="AP1213" s="29"/>
    </row>
    <row r="1214">
      <c r="A1214" s="115"/>
      <c r="B1214" s="116"/>
      <c r="C1214" s="115"/>
      <c r="D1214" s="115"/>
      <c r="E1214" s="115"/>
      <c r="F1214" s="115"/>
      <c r="G1214" s="115"/>
      <c r="H1214" s="115"/>
      <c r="I1214" s="115"/>
      <c r="J1214" s="115"/>
      <c r="K1214" s="115"/>
      <c r="L1214" s="115"/>
      <c r="O1214" s="116"/>
      <c r="Q1214" s="116"/>
      <c r="T1214" s="114"/>
      <c r="Y1214" s="118"/>
      <c r="Z1214" s="29"/>
      <c r="AA1214" s="29"/>
      <c r="AB1214" s="29"/>
      <c r="AC1214" s="29"/>
      <c r="AD1214" s="29"/>
      <c r="AE1214" s="29"/>
      <c r="AF1214" s="29"/>
      <c r="AG1214" s="29"/>
      <c r="AH1214" s="123"/>
      <c r="AI1214" s="32"/>
      <c r="AJ1214" s="32"/>
      <c r="AK1214" s="32"/>
      <c r="AL1214" s="32"/>
      <c r="AM1214" s="32"/>
      <c r="AN1214" s="32"/>
      <c r="AO1214" s="32"/>
      <c r="AP1214" s="29"/>
    </row>
    <row r="1215">
      <c r="A1215" s="115"/>
      <c r="B1215" s="116"/>
      <c r="C1215" s="115"/>
      <c r="D1215" s="115"/>
      <c r="E1215" s="115"/>
      <c r="F1215" s="115"/>
      <c r="G1215" s="115"/>
      <c r="H1215" s="115"/>
      <c r="I1215" s="115"/>
      <c r="J1215" s="115"/>
      <c r="K1215" s="115"/>
      <c r="L1215" s="115"/>
      <c r="O1215" s="116"/>
      <c r="Q1215" s="116"/>
      <c r="T1215" s="114"/>
      <c r="Y1215" s="118"/>
      <c r="Z1215" s="29"/>
      <c r="AA1215" s="29"/>
      <c r="AB1215" s="29"/>
      <c r="AC1215" s="29"/>
      <c r="AD1215" s="29"/>
      <c r="AE1215" s="29"/>
      <c r="AF1215" s="29"/>
      <c r="AG1215" s="29"/>
      <c r="AH1215" s="123"/>
      <c r="AI1215" s="32"/>
      <c r="AJ1215" s="32"/>
      <c r="AK1215" s="32"/>
      <c r="AL1215" s="32"/>
      <c r="AM1215" s="32"/>
      <c r="AN1215" s="32"/>
      <c r="AO1215" s="32"/>
      <c r="AP1215" s="29"/>
    </row>
    <row r="1216">
      <c r="A1216" s="115"/>
      <c r="B1216" s="116"/>
      <c r="C1216" s="115"/>
      <c r="D1216" s="115"/>
      <c r="E1216" s="115"/>
      <c r="F1216" s="115"/>
      <c r="G1216" s="115"/>
      <c r="H1216" s="115"/>
      <c r="I1216" s="115"/>
      <c r="J1216" s="115"/>
      <c r="K1216" s="115"/>
      <c r="L1216" s="115"/>
      <c r="O1216" s="116"/>
      <c r="Q1216" s="116"/>
      <c r="T1216" s="114"/>
      <c r="Y1216" s="118"/>
      <c r="Z1216" s="29"/>
      <c r="AA1216" s="29"/>
      <c r="AB1216" s="29"/>
      <c r="AC1216" s="29"/>
      <c r="AD1216" s="29"/>
      <c r="AE1216" s="29"/>
      <c r="AF1216" s="29"/>
      <c r="AG1216" s="29"/>
      <c r="AH1216" s="123"/>
      <c r="AI1216" s="32"/>
      <c r="AJ1216" s="32"/>
      <c r="AK1216" s="32"/>
      <c r="AL1216" s="32"/>
      <c r="AM1216" s="32"/>
      <c r="AN1216" s="32"/>
      <c r="AO1216" s="32"/>
      <c r="AP1216" s="29"/>
    </row>
    <row r="1217">
      <c r="A1217" s="115"/>
      <c r="B1217" s="116"/>
      <c r="C1217" s="115"/>
      <c r="D1217" s="115"/>
      <c r="E1217" s="115"/>
      <c r="F1217" s="115"/>
      <c r="G1217" s="115"/>
      <c r="H1217" s="115"/>
      <c r="I1217" s="115"/>
      <c r="J1217" s="115"/>
      <c r="K1217" s="115"/>
      <c r="L1217" s="115"/>
      <c r="O1217" s="116"/>
      <c r="Q1217" s="116"/>
      <c r="T1217" s="114"/>
      <c r="Y1217" s="118"/>
      <c r="Z1217" s="29"/>
      <c r="AA1217" s="29"/>
      <c r="AB1217" s="29"/>
      <c r="AC1217" s="29"/>
      <c r="AD1217" s="29"/>
      <c r="AE1217" s="29"/>
      <c r="AF1217" s="29"/>
      <c r="AG1217" s="29"/>
      <c r="AH1217" s="123"/>
      <c r="AI1217" s="32"/>
      <c r="AJ1217" s="32"/>
      <c r="AK1217" s="32"/>
      <c r="AL1217" s="32"/>
      <c r="AM1217" s="32"/>
      <c r="AN1217" s="32"/>
      <c r="AO1217" s="32"/>
      <c r="AP1217" s="29"/>
    </row>
    <row r="1218">
      <c r="A1218" s="115"/>
      <c r="B1218" s="116"/>
      <c r="C1218" s="115"/>
      <c r="D1218" s="115"/>
      <c r="E1218" s="115"/>
      <c r="F1218" s="115"/>
      <c r="G1218" s="115"/>
      <c r="H1218" s="115"/>
      <c r="I1218" s="115"/>
      <c r="J1218" s="115"/>
      <c r="K1218" s="115"/>
      <c r="L1218" s="115"/>
      <c r="O1218" s="116"/>
      <c r="Q1218" s="116"/>
      <c r="T1218" s="114"/>
      <c r="Y1218" s="118"/>
      <c r="Z1218" s="29"/>
      <c r="AA1218" s="29"/>
      <c r="AB1218" s="29"/>
      <c r="AC1218" s="29"/>
      <c r="AD1218" s="29"/>
      <c r="AE1218" s="29"/>
      <c r="AF1218" s="29"/>
      <c r="AG1218" s="29"/>
      <c r="AH1218" s="123"/>
      <c r="AI1218" s="32"/>
      <c r="AJ1218" s="32"/>
      <c r="AK1218" s="32"/>
      <c r="AL1218" s="32"/>
      <c r="AM1218" s="32"/>
      <c r="AN1218" s="32"/>
      <c r="AO1218" s="32"/>
      <c r="AP1218" s="29"/>
    </row>
    <row r="1219">
      <c r="A1219" s="115"/>
      <c r="B1219" s="116"/>
      <c r="C1219" s="115"/>
      <c r="D1219" s="115"/>
      <c r="E1219" s="115"/>
      <c r="F1219" s="115"/>
      <c r="G1219" s="115"/>
      <c r="H1219" s="115"/>
      <c r="I1219" s="115"/>
      <c r="J1219" s="115"/>
      <c r="K1219" s="115"/>
      <c r="L1219" s="115"/>
      <c r="O1219" s="116"/>
      <c r="Q1219" s="116"/>
      <c r="T1219" s="114"/>
      <c r="Y1219" s="118"/>
      <c r="Z1219" s="29"/>
      <c r="AA1219" s="29"/>
      <c r="AB1219" s="29"/>
      <c r="AC1219" s="29"/>
      <c r="AD1219" s="29"/>
      <c r="AE1219" s="29"/>
      <c r="AF1219" s="29"/>
      <c r="AG1219" s="29"/>
      <c r="AH1219" s="123"/>
      <c r="AI1219" s="32"/>
      <c r="AJ1219" s="32"/>
      <c r="AK1219" s="32"/>
      <c r="AL1219" s="32"/>
      <c r="AM1219" s="32"/>
      <c r="AN1219" s="32"/>
      <c r="AO1219" s="32"/>
      <c r="AP1219" s="29"/>
    </row>
    <row r="1220">
      <c r="A1220" s="115"/>
      <c r="B1220" s="116"/>
      <c r="C1220" s="115"/>
      <c r="D1220" s="115"/>
      <c r="E1220" s="115"/>
      <c r="F1220" s="115"/>
      <c r="G1220" s="115"/>
      <c r="H1220" s="115"/>
      <c r="I1220" s="115"/>
      <c r="J1220" s="115"/>
      <c r="K1220" s="115"/>
      <c r="L1220" s="115"/>
      <c r="O1220" s="116"/>
      <c r="Q1220" s="116"/>
      <c r="T1220" s="114"/>
      <c r="Y1220" s="118"/>
      <c r="Z1220" s="29"/>
      <c r="AA1220" s="29"/>
      <c r="AB1220" s="29"/>
      <c r="AC1220" s="29"/>
      <c r="AD1220" s="29"/>
      <c r="AE1220" s="29"/>
      <c r="AF1220" s="29"/>
      <c r="AG1220" s="29"/>
      <c r="AH1220" s="123"/>
      <c r="AI1220" s="32"/>
      <c r="AJ1220" s="32"/>
      <c r="AK1220" s="32"/>
      <c r="AL1220" s="32"/>
      <c r="AM1220" s="32"/>
      <c r="AN1220" s="32"/>
      <c r="AO1220" s="32"/>
      <c r="AP1220" s="29"/>
    </row>
    <row r="1221">
      <c r="A1221" s="115"/>
      <c r="B1221" s="116"/>
      <c r="C1221" s="115"/>
      <c r="D1221" s="115"/>
      <c r="E1221" s="115"/>
      <c r="F1221" s="115"/>
      <c r="G1221" s="115"/>
      <c r="H1221" s="115"/>
      <c r="I1221" s="115"/>
      <c r="J1221" s="115"/>
      <c r="K1221" s="115"/>
      <c r="L1221" s="115"/>
      <c r="O1221" s="116"/>
      <c r="Q1221" s="116"/>
      <c r="T1221" s="114"/>
      <c r="Y1221" s="118"/>
      <c r="Z1221" s="29"/>
      <c r="AA1221" s="29"/>
      <c r="AB1221" s="29"/>
      <c r="AC1221" s="29"/>
      <c r="AD1221" s="29"/>
      <c r="AE1221" s="29"/>
      <c r="AF1221" s="29"/>
      <c r="AG1221" s="29"/>
      <c r="AH1221" s="123"/>
      <c r="AI1221" s="32"/>
      <c r="AJ1221" s="32"/>
      <c r="AK1221" s="32"/>
      <c r="AL1221" s="32"/>
      <c r="AM1221" s="32"/>
      <c r="AN1221" s="32"/>
      <c r="AO1221" s="32"/>
      <c r="AP1221" s="29"/>
    </row>
    <row r="1222">
      <c r="A1222" s="115"/>
      <c r="B1222" s="116"/>
      <c r="C1222" s="115"/>
      <c r="D1222" s="115"/>
      <c r="E1222" s="115"/>
      <c r="F1222" s="115"/>
      <c r="G1222" s="115"/>
      <c r="H1222" s="115"/>
      <c r="I1222" s="115"/>
      <c r="J1222" s="115"/>
      <c r="K1222" s="115"/>
      <c r="L1222" s="115"/>
      <c r="O1222" s="116"/>
      <c r="Q1222" s="116"/>
      <c r="T1222" s="114"/>
      <c r="Y1222" s="118"/>
      <c r="Z1222" s="29"/>
      <c r="AA1222" s="29"/>
      <c r="AB1222" s="29"/>
      <c r="AC1222" s="29"/>
      <c r="AD1222" s="29"/>
      <c r="AE1222" s="29"/>
      <c r="AF1222" s="29"/>
      <c r="AG1222" s="29"/>
      <c r="AH1222" s="123"/>
      <c r="AI1222" s="32"/>
      <c r="AJ1222" s="32"/>
      <c r="AK1222" s="32"/>
      <c r="AL1222" s="32"/>
      <c r="AM1222" s="32"/>
      <c r="AN1222" s="32"/>
      <c r="AO1222" s="32"/>
      <c r="AP1222" s="29"/>
    </row>
    <row r="1223">
      <c r="A1223" s="115"/>
      <c r="B1223" s="116"/>
      <c r="C1223" s="115"/>
      <c r="D1223" s="115"/>
      <c r="E1223" s="115"/>
      <c r="F1223" s="115"/>
      <c r="G1223" s="115"/>
      <c r="H1223" s="115"/>
      <c r="I1223" s="115"/>
      <c r="J1223" s="115"/>
      <c r="K1223" s="115"/>
      <c r="L1223" s="115"/>
      <c r="O1223" s="116"/>
      <c r="Q1223" s="116"/>
      <c r="T1223" s="114"/>
      <c r="Y1223" s="118"/>
      <c r="Z1223" s="29"/>
      <c r="AA1223" s="29"/>
      <c r="AB1223" s="29"/>
      <c r="AC1223" s="29"/>
      <c r="AD1223" s="29"/>
      <c r="AE1223" s="29"/>
      <c r="AF1223" s="29"/>
      <c r="AG1223" s="29"/>
      <c r="AH1223" s="123"/>
      <c r="AI1223" s="32"/>
      <c r="AJ1223" s="32"/>
      <c r="AK1223" s="32"/>
      <c r="AL1223" s="32"/>
      <c r="AM1223" s="32"/>
      <c r="AN1223" s="32"/>
      <c r="AO1223" s="32"/>
      <c r="AP1223" s="29"/>
    </row>
    <row r="1224">
      <c r="A1224" s="115"/>
      <c r="B1224" s="116"/>
      <c r="C1224" s="115"/>
      <c r="D1224" s="115"/>
      <c r="E1224" s="115"/>
      <c r="F1224" s="115"/>
      <c r="G1224" s="115"/>
      <c r="H1224" s="115"/>
      <c r="I1224" s="115"/>
      <c r="J1224" s="115"/>
      <c r="K1224" s="115"/>
      <c r="L1224" s="115"/>
      <c r="O1224" s="116"/>
      <c r="Q1224" s="116"/>
      <c r="T1224" s="114"/>
      <c r="Y1224" s="118"/>
      <c r="Z1224" s="29"/>
      <c r="AA1224" s="29"/>
      <c r="AB1224" s="29"/>
      <c r="AC1224" s="29"/>
      <c r="AD1224" s="29"/>
      <c r="AE1224" s="29"/>
      <c r="AF1224" s="29"/>
      <c r="AG1224" s="29"/>
      <c r="AH1224" s="123"/>
      <c r="AI1224" s="32"/>
      <c r="AJ1224" s="32"/>
      <c r="AK1224" s="32"/>
      <c r="AL1224" s="32"/>
      <c r="AM1224" s="32"/>
      <c r="AN1224" s="32"/>
      <c r="AO1224" s="32"/>
      <c r="AP1224" s="29"/>
    </row>
    <row r="1225">
      <c r="A1225" s="115"/>
      <c r="B1225" s="116"/>
      <c r="C1225" s="115"/>
      <c r="D1225" s="115"/>
      <c r="E1225" s="115"/>
      <c r="F1225" s="115"/>
      <c r="G1225" s="115"/>
      <c r="H1225" s="115"/>
      <c r="I1225" s="115"/>
      <c r="J1225" s="115"/>
      <c r="K1225" s="115"/>
      <c r="L1225" s="115"/>
      <c r="O1225" s="116"/>
      <c r="Q1225" s="116"/>
      <c r="T1225" s="114"/>
      <c r="Y1225" s="118"/>
      <c r="Z1225" s="29"/>
      <c r="AA1225" s="29"/>
      <c r="AB1225" s="29"/>
      <c r="AC1225" s="29"/>
      <c r="AD1225" s="29"/>
      <c r="AE1225" s="29"/>
      <c r="AF1225" s="29"/>
      <c r="AG1225" s="29"/>
      <c r="AH1225" s="123"/>
      <c r="AI1225" s="32"/>
      <c r="AJ1225" s="32"/>
      <c r="AK1225" s="32"/>
      <c r="AL1225" s="32"/>
      <c r="AM1225" s="32"/>
      <c r="AN1225" s="32"/>
      <c r="AO1225" s="32"/>
      <c r="AP1225" s="29"/>
    </row>
    <row r="1226">
      <c r="A1226" s="115"/>
      <c r="B1226" s="116"/>
      <c r="C1226" s="115"/>
      <c r="D1226" s="115"/>
      <c r="E1226" s="115"/>
      <c r="F1226" s="115"/>
      <c r="G1226" s="115"/>
      <c r="H1226" s="115"/>
      <c r="I1226" s="115"/>
      <c r="J1226" s="115"/>
      <c r="K1226" s="115"/>
      <c r="L1226" s="115"/>
      <c r="O1226" s="116"/>
      <c r="Q1226" s="116"/>
      <c r="T1226" s="114"/>
      <c r="Y1226" s="118"/>
      <c r="Z1226" s="29"/>
      <c r="AA1226" s="29"/>
      <c r="AB1226" s="29"/>
      <c r="AC1226" s="29"/>
      <c r="AD1226" s="29"/>
      <c r="AE1226" s="29"/>
      <c r="AF1226" s="29"/>
      <c r="AG1226" s="29"/>
      <c r="AH1226" s="123"/>
      <c r="AI1226" s="32"/>
      <c r="AJ1226" s="32"/>
      <c r="AK1226" s="32"/>
      <c r="AL1226" s="32"/>
      <c r="AM1226" s="32"/>
      <c r="AN1226" s="32"/>
      <c r="AO1226" s="32"/>
      <c r="AP1226" s="29"/>
    </row>
    <row r="1227">
      <c r="A1227" s="115"/>
      <c r="B1227" s="116"/>
      <c r="C1227" s="115"/>
      <c r="D1227" s="115"/>
      <c r="E1227" s="115"/>
      <c r="F1227" s="115"/>
      <c r="G1227" s="115"/>
      <c r="H1227" s="115"/>
      <c r="I1227" s="115"/>
      <c r="J1227" s="115"/>
      <c r="K1227" s="115"/>
      <c r="L1227" s="115"/>
      <c r="O1227" s="116"/>
      <c r="Q1227" s="116"/>
      <c r="T1227" s="114"/>
      <c r="Y1227" s="118"/>
      <c r="Z1227" s="29"/>
      <c r="AA1227" s="29"/>
      <c r="AB1227" s="29"/>
      <c r="AC1227" s="29"/>
      <c r="AD1227" s="29"/>
      <c r="AE1227" s="29"/>
      <c r="AF1227" s="29"/>
      <c r="AG1227" s="29"/>
      <c r="AH1227" s="123"/>
      <c r="AI1227" s="32"/>
      <c r="AJ1227" s="32"/>
      <c r="AK1227" s="32"/>
      <c r="AL1227" s="32"/>
      <c r="AM1227" s="32"/>
      <c r="AN1227" s="32"/>
      <c r="AO1227" s="32"/>
      <c r="AP1227" s="29"/>
    </row>
    <row r="1228">
      <c r="A1228" s="115"/>
      <c r="B1228" s="116"/>
      <c r="C1228" s="115"/>
      <c r="D1228" s="115"/>
      <c r="E1228" s="115"/>
      <c r="F1228" s="115"/>
      <c r="G1228" s="115"/>
      <c r="H1228" s="115"/>
      <c r="I1228" s="115"/>
      <c r="J1228" s="115"/>
      <c r="K1228" s="115"/>
      <c r="L1228" s="115"/>
      <c r="O1228" s="116"/>
      <c r="Q1228" s="116"/>
      <c r="T1228" s="114"/>
      <c r="Y1228" s="118"/>
      <c r="Z1228" s="29"/>
      <c r="AA1228" s="29"/>
      <c r="AB1228" s="29"/>
      <c r="AC1228" s="29"/>
      <c r="AD1228" s="29"/>
      <c r="AE1228" s="29"/>
      <c r="AF1228" s="29"/>
      <c r="AG1228" s="29"/>
      <c r="AH1228" s="123"/>
      <c r="AI1228" s="32"/>
      <c r="AJ1228" s="32"/>
      <c r="AK1228" s="32"/>
      <c r="AL1228" s="32"/>
      <c r="AM1228" s="32"/>
      <c r="AN1228" s="32"/>
      <c r="AO1228" s="32"/>
      <c r="AP1228" s="29"/>
    </row>
    <row r="1229">
      <c r="A1229" s="115"/>
      <c r="B1229" s="116"/>
      <c r="C1229" s="115"/>
      <c r="D1229" s="115"/>
      <c r="E1229" s="115"/>
      <c r="F1229" s="115"/>
      <c r="G1229" s="115"/>
      <c r="H1229" s="115"/>
      <c r="I1229" s="115"/>
      <c r="J1229" s="115"/>
      <c r="K1229" s="115"/>
      <c r="L1229" s="115"/>
      <c r="O1229" s="116"/>
      <c r="Q1229" s="116"/>
      <c r="T1229" s="114"/>
      <c r="Y1229" s="118"/>
      <c r="Z1229" s="29"/>
      <c r="AA1229" s="29"/>
      <c r="AB1229" s="29"/>
      <c r="AC1229" s="29"/>
      <c r="AD1229" s="29"/>
      <c r="AE1229" s="29"/>
      <c r="AF1229" s="29"/>
      <c r="AG1229" s="29"/>
      <c r="AH1229" s="123"/>
      <c r="AI1229" s="32"/>
      <c r="AJ1229" s="32"/>
      <c r="AK1229" s="32"/>
      <c r="AL1229" s="32"/>
      <c r="AM1229" s="32"/>
      <c r="AN1229" s="32"/>
      <c r="AO1229" s="32"/>
      <c r="AP1229" s="29"/>
    </row>
    <row r="1230">
      <c r="A1230" s="115"/>
      <c r="B1230" s="116"/>
      <c r="C1230" s="115"/>
      <c r="D1230" s="115"/>
      <c r="E1230" s="115"/>
      <c r="F1230" s="115"/>
      <c r="G1230" s="115"/>
      <c r="H1230" s="115"/>
      <c r="I1230" s="115"/>
      <c r="J1230" s="115"/>
      <c r="K1230" s="115"/>
      <c r="L1230" s="115"/>
      <c r="O1230" s="116"/>
      <c r="Q1230" s="116"/>
      <c r="T1230" s="114"/>
      <c r="Y1230" s="118"/>
      <c r="Z1230" s="29"/>
      <c r="AA1230" s="29"/>
      <c r="AB1230" s="29"/>
      <c r="AC1230" s="29"/>
      <c r="AD1230" s="29"/>
      <c r="AE1230" s="29"/>
      <c r="AF1230" s="29"/>
      <c r="AG1230" s="29"/>
      <c r="AH1230" s="123"/>
      <c r="AI1230" s="32"/>
      <c r="AJ1230" s="32"/>
      <c r="AK1230" s="32"/>
      <c r="AL1230" s="32"/>
      <c r="AM1230" s="32"/>
      <c r="AN1230" s="32"/>
      <c r="AO1230" s="32"/>
      <c r="AP1230" s="29"/>
    </row>
    <row r="1231">
      <c r="A1231" s="115"/>
      <c r="B1231" s="116"/>
      <c r="C1231" s="115"/>
      <c r="D1231" s="115"/>
      <c r="E1231" s="115"/>
      <c r="F1231" s="115"/>
      <c r="G1231" s="115"/>
      <c r="H1231" s="115"/>
      <c r="I1231" s="115"/>
      <c r="J1231" s="115"/>
      <c r="K1231" s="115"/>
      <c r="L1231" s="115"/>
      <c r="O1231" s="116"/>
      <c r="Q1231" s="116"/>
      <c r="T1231" s="114"/>
      <c r="Y1231" s="118"/>
      <c r="Z1231" s="29"/>
      <c r="AA1231" s="29"/>
      <c r="AB1231" s="29"/>
      <c r="AC1231" s="29"/>
      <c r="AD1231" s="29"/>
      <c r="AE1231" s="29"/>
      <c r="AF1231" s="29"/>
      <c r="AG1231" s="29"/>
      <c r="AH1231" s="123"/>
      <c r="AI1231" s="32"/>
      <c r="AJ1231" s="32"/>
      <c r="AK1231" s="32"/>
      <c r="AL1231" s="32"/>
      <c r="AM1231" s="32"/>
      <c r="AN1231" s="32"/>
      <c r="AO1231" s="32"/>
      <c r="AP1231" s="29"/>
    </row>
    <row r="1232">
      <c r="A1232" s="115"/>
      <c r="B1232" s="116"/>
      <c r="C1232" s="115"/>
      <c r="D1232" s="115"/>
      <c r="E1232" s="115"/>
      <c r="F1232" s="115"/>
      <c r="G1232" s="115"/>
      <c r="H1232" s="115"/>
      <c r="I1232" s="115"/>
      <c r="J1232" s="115"/>
      <c r="K1232" s="115"/>
      <c r="L1232" s="115"/>
      <c r="O1232" s="116"/>
      <c r="Q1232" s="116"/>
      <c r="T1232" s="114"/>
      <c r="Y1232" s="118"/>
      <c r="Z1232" s="29"/>
      <c r="AA1232" s="29"/>
      <c r="AB1232" s="29"/>
      <c r="AC1232" s="29"/>
      <c r="AD1232" s="29"/>
      <c r="AE1232" s="29"/>
      <c r="AF1232" s="29"/>
      <c r="AG1232" s="29"/>
      <c r="AH1232" s="123"/>
      <c r="AI1232" s="32"/>
      <c r="AJ1232" s="32"/>
      <c r="AK1232" s="32"/>
      <c r="AL1232" s="32"/>
      <c r="AM1232" s="32"/>
      <c r="AN1232" s="32"/>
      <c r="AO1232" s="32"/>
      <c r="AP1232" s="29"/>
    </row>
    <row r="1233">
      <c r="A1233" s="115"/>
      <c r="B1233" s="116"/>
      <c r="C1233" s="115"/>
      <c r="D1233" s="115"/>
      <c r="E1233" s="115"/>
      <c r="F1233" s="115"/>
      <c r="G1233" s="115"/>
      <c r="H1233" s="115"/>
      <c r="I1233" s="115"/>
      <c r="J1233" s="115"/>
      <c r="K1233" s="115"/>
      <c r="L1233" s="115"/>
      <c r="O1233" s="116"/>
      <c r="Q1233" s="116"/>
      <c r="T1233" s="114"/>
      <c r="Y1233" s="118"/>
      <c r="Z1233" s="29"/>
      <c r="AA1233" s="29"/>
      <c r="AB1233" s="29"/>
      <c r="AC1233" s="29"/>
      <c r="AD1233" s="29"/>
      <c r="AE1233" s="29"/>
      <c r="AF1233" s="29"/>
      <c r="AG1233" s="29"/>
      <c r="AH1233" s="123"/>
      <c r="AI1233" s="32"/>
      <c r="AJ1233" s="32"/>
      <c r="AK1233" s="32"/>
      <c r="AL1233" s="32"/>
      <c r="AM1233" s="32"/>
      <c r="AN1233" s="32"/>
      <c r="AO1233" s="32"/>
      <c r="AP1233" s="29"/>
    </row>
    <row r="1234">
      <c r="A1234" s="115"/>
      <c r="B1234" s="116"/>
      <c r="C1234" s="115"/>
      <c r="D1234" s="115"/>
      <c r="E1234" s="115"/>
      <c r="F1234" s="115"/>
      <c r="G1234" s="115"/>
      <c r="H1234" s="115"/>
      <c r="I1234" s="115"/>
      <c r="J1234" s="115"/>
      <c r="K1234" s="115"/>
      <c r="L1234" s="115"/>
      <c r="O1234" s="116"/>
      <c r="Q1234" s="116"/>
      <c r="T1234" s="114"/>
      <c r="Y1234" s="118"/>
      <c r="Z1234" s="29"/>
      <c r="AA1234" s="29"/>
      <c r="AB1234" s="29"/>
      <c r="AC1234" s="29"/>
      <c r="AD1234" s="29"/>
      <c r="AE1234" s="29"/>
      <c r="AF1234" s="29"/>
      <c r="AG1234" s="29"/>
      <c r="AH1234" s="123"/>
      <c r="AI1234" s="32"/>
      <c r="AJ1234" s="32"/>
      <c r="AK1234" s="32"/>
      <c r="AL1234" s="32"/>
      <c r="AM1234" s="32"/>
      <c r="AN1234" s="32"/>
      <c r="AO1234" s="32"/>
      <c r="AP1234" s="29"/>
    </row>
    <row r="1235">
      <c r="A1235" s="115"/>
      <c r="B1235" s="116"/>
      <c r="C1235" s="115"/>
      <c r="D1235" s="115"/>
      <c r="E1235" s="115"/>
      <c r="F1235" s="115"/>
      <c r="G1235" s="115"/>
      <c r="H1235" s="115"/>
      <c r="I1235" s="115"/>
      <c r="J1235" s="115"/>
      <c r="K1235" s="115"/>
      <c r="L1235" s="115"/>
      <c r="O1235" s="116"/>
      <c r="Q1235" s="116"/>
      <c r="T1235" s="114"/>
      <c r="Y1235" s="118"/>
      <c r="Z1235" s="29"/>
      <c r="AA1235" s="29"/>
      <c r="AB1235" s="29"/>
      <c r="AC1235" s="29"/>
      <c r="AD1235" s="29"/>
      <c r="AE1235" s="29"/>
      <c r="AF1235" s="29"/>
      <c r="AG1235" s="29"/>
      <c r="AH1235" s="123"/>
      <c r="AI1235" s="32"/>
      <c r="AJ1235" s="32"/>
      <c r="AK1235" s="32"/>
      <c r="AL1235" s="32"/>
      <c r="AM1235" s="32"/>
      <c r="AN1235" s="32"/>
      <c r="AO1235" s="32"/>
      <c r="AP1235" s="29"/>
    </row>
    <row r="1236">
      <c r="A1236" s="115"/>
      <c r="B1236" s="116"/>
      <c r="C1236" s="115"/>
      <c r="D1236" s="115"/>
      <c r="E1236" s="115"/>
      <c r="F1236" s="115"/>
      <c r="G1236" s="115"/>
      <c r="H1236" s="115"/>
      <c r="I1236" s="115"/>
      <c r="J1236" s="115"/>
      <c r="K1236" s="115"/>
      <c r="L1236" s="115"/>
      <c r="O1236" s="116"/>
      <c r="Q1236" s="116"/>
      <c r="T1236" s="114"/>
      <c r="Y1236" s="118"/>
      <c r="Z1236" s="29"/>
      <c r="AA1236" s="29"/>
      <c r="AB1236" s="29"/>
      <c r="AC1236" s="29"/>
      <c r="AD1236" s="29"/>
      <c r="AE1236" s="29"/>
      <c r="AF1236" s="29"/>
      <c r="AG1236" s="29"/>
      <c r="AH1236" s="123"/>
      <c r="AI1236" s="32"/>
      <c r="AJ1236" s="32"/>
      <c r="AK1236" s="32"/>
      <c r="AL1236" s="32"/>
      <c r="AM1236" s="32"/>
      <c r="AN1236" s="32"/>
      <c r="AO1236" s="32"/>
      <c r="AP1236" s="29"/>
    </row>
    <row r="1237">
      <c r="A1237" s="115"/>
      <c r="B1237" s="116"/>
      <c r="C1237" s="115"/>
      <c r="D1237" s="115"/>
      <c r="E1237" s="115"/>
      <c r="F1237" s="115"/>
      <c r="G1237" s="115"/>
      <c r="H1237" s="115"/>
      <c r="I1237" s="115"/>
      <c r="J1237" s="115"/>
      <c r="K1237" s="115"/>
      <c r="L1237" s="115"/>
      <c r="O1237" s="116"/>
      <c r="Q1237" s="116"/>
      <c r="T1237" s="114"/>
      <c r="Y1237" s="118"/>
      <c r="Z1237" s="29"/>
      <c r="AA1237" s="29"/>
      <c r="AB1237" s="29"/>
      <c r="AC1237" s="29"/>
      <c r="AD1237" s="29"/>
      <c r="AE1237" s="29"/>
      <c r="AF1237" s="29"/>
      <c r="AG1237" s="29"/>
      <c r="AH1237" s="123"/>
      <c r="AI1237" s="32"/>
      <c r="AJ1237" s="32"/>
      <c r="AK1237" s="32"/>
      <c r="AL1237" s="32"/>
      <c r="AM1237" s="32"/>
      <c r="AN1237" s="32"/>
      <c r="AO1237" s="32"/>
      <c r="AP1237" s="29"/>
    </row>
    <row r="1238">
      <c r="A1238" s="115"/>
      <c r="B1238" s="116"/>
      <c r="C1238" s="115"/>
      <c r="D1238" s="115"/>
      <c r="E1238" s="115"/>
      <c r="F1238" s="115"/>
      <c r="G1238" s="115"/>
      <c r="H1238" s="115"/>
      <c r="I1238" s="115"/>
      <c r="J1238" s="115"/>
      <c r="K1238" s="115"/>
      <c r="L1238" s="115"/>
      <c r="O1238" s="116"/>
      <c r="Q1238" s="116"/>
      <c r="T1238" s="114"/>
      <c r="Y1238" s="118"/>
      <c r="Z1238" s="29"/>
      <c r="AA1238" s="29"/>
      <c r="AB1238" s="29"/>
      <c r="AC1238" s="29"/>
      <c r="AD1238" s="29"/>
      <c r="AE1238" s="29"/>
      <c r="AF1238" s="29"/>
      <c r="AG1238" s="29"/>
      <c r="AH1238" s="123"/>
      <c r="AI1238" s="32"/>
      <c r="AJ1238" s="32"/>
      <c r="AK1238" s="32"/>
      <c r="AL1238" s="32"/>
      <c r="AM1238" s="32"/>
      <c r="AN1238" s="32"/>
      <c r="AO1238" s="32"/>
      <c r="AP1238" s="29"/>
    </row>
    <row r="1239">
      <c r="A1239" s="115"/>
      <c r="B1239" s="116"/>
      <c r="C1239" s="115"/>
      <c r="D1239" s="115"/>
      <c r="E1239" s="115"/>
      <c r="F1239" s="115"/>
      <c r="G1239" s="115"/>
      <c r="H1239" s="115"/>
      <c r="I1239" s="115"/>
      <c r="J1239" s="115"/>
      <c r="K1239" s="115"/>
      <c r="L1239" s="115"/>
      <c r="O1239" s="116"/>
      <c r="Q1239" s="116"/>
      <c r="T1239" s="114"/>
      <c r="Y1239" s="118"/>
      <c r="Z1239" s="29"/>
      <c r="AA1239" s="29"/>
      <c r="AB1239" s="29"/>
      <c r="AC1239" s="29"/>
      <c r="AD1239" s="29"/>
      <c r="AE1239" s="29"/>
      <c r="AF1239" s="29"/>
      <c r="AG1239" s="29"/>
      <c r="AH1239" s="123"/>
      <c r="AI1239" s="32"/>
      <c r="AJ1239" s="32"/>
      <c r="AK1239" s="32"/>
      <c r="AL1239" s="32"/>
      <c r="AM1239" s="32"/>
      <c r="AN1239" s="32"/>
      <c r="AO1239" s="32"/>
      <c r="AP1239" s="29"/>
    </row>
    <row r="1240">
      <c r="A1240" s="115"/>
      <c r="B1240" s="116"/>
      <c r="C1240" s="115"/>
      <c r="D1240" s="115"/>
      <c r="E1240" s="115"/>
      <c r="F1240" s="115"/>
      <c r="G1240" s="115"/>
      <c r="H1240" s="115"/>
      <c r="I1240" s="115"/>
      <c r="J1240" s="115"/>
      <c r="K1240" s="115"/>
      <c r="L1240" s="115"/>
      <c r="O1240" s="116"/>
      <c r="Q1240" s="116"/>
      <c r="T1240" s="114"/>
      <c r="Y1240" s="118"/>
      <c r="Z1240" s="29"/>
      <c r="AA1240" s="29"/>
      <c r="AB1240" s="29"/>
      <c r="AC1240" s="29"/>
      <c r="AD1240" s="29"/>
      <c r="AE1240" s="29"/>
      <c r="AF1240" s="29"/>
      <c r="AG1240" s="29"/>
      <c r="AH1240" s="123"/>
      <c r="AI1240" s="32"/>
      <c r="AJ1240" s="32"/>
      <c r="AK1240" s="32"/>
      <c r="AL1240" s="32"/>
      <c r="AM1240" s="32"/>
      <c r="AN1240" s="32"/>
      <c r="AO1240" s="32"/>
      <c r="AP1240" s="29"/>
    </row>
    <row r="1241">
      <c r="A1241" s="115"/>
      <c r="B1241" s="116"/>
      <c r="C1241" s="115"/>
      <c r="D1241" s="115"/>
      <c r="E1241" s="115"/>
      <c r="F1241" s="115"/>
      <c r="G1241" s="115"/>
      <c r="H1241" s="115"/>
      <c r="I1241" s="115"/>
      <c r="J1241" s="115"/>
      <c r="K1241" s="115"/>
      <c r="L1241" s="115"/>
      <c r="O1241" s="116"/>
      <c r="Q1241" s="116"/>
      <c r="T1241" s="114"/>
      <c r="Y1241" s="118"/>
      <c r="Z1241" s="29"/>
      <c r="AA1241" s="29"/>
      <c r="AB1241" s="29"/>
      <c r="AC1241" s="29"/>
      <c r="AD1241" s="29"/>
      <c r="AE1241" s="29"/>
      <c r="AF1241" s="29"/>
      <c r="AG1241" s="29"/>
      <c r="AH1241" s="123"/>
      <c r="AI1241" s="32"/>
      <c r="AJ1241" s="32"/>
      <c r="AK1241" s="32"/>
      <c r="AL1241" s="32"/>
      <c r="AM1241" s="32"/>
      <c r="AN1241" s="32"/>
      <c r="AO1241" s="32"/>
      <c r="AP1241" s="29"/>
    </row>
    <row r="1242">
      <c r="A1242" s="115"/>
      <c r="B1242" s="116"/>
      <c r="C1242" s="115"/>
      <c r="D1242" s="115"/>
      <c r="E1242" s="115"/>
      <c r="F1242" s="115"/>
      <c r="G1242" s="115"/>
      <c r="H1242" s="115"/>
      <c r="I1242" s="115"/>
      <c r="J1242" s="115"/>
      <c r="K1242" s="115"/>
      <c r="L1242" s="115"/>
      <c r="O1242" s="116"/>
      <c r="Q1242" s="116"/>
      <c r="T1242" s="114"/>
      <c r="Y1242" s="118"/>
      <c r="Z1242" s="29"/>
      <c r="AA1242" s="29"/>
      <c r="AB1242" s="29"/>
      <c r="AC1242" s="29"/>
      <c r="AD1242" s="29"/>
      <c r="AE1242" s="29"/>
      <c r="AF1242" s="29"/>
      <c r="AG1242" s="29"/>
      <c r="AH1242" s="123"/>
      <c r="AI1242" s="32"/>
      <c r="AJ1242" s="32"/>
      <c r="AK1242" s="32"/>
      <c r="AL1242" s="32"/>
      <c r="AM1242" s="32"/>
      <c r="AN1242" s="32"/>
      <c r="AO1242" s="32"/>
      <c r="AP1242" s="29"/>
    </row>
    <row r="1243">
      <c r="A1243" s="115"/>
      <c r="B1243" s="116"/>
      <c r="C1243" s="115"/>
      <c r="D1243" s="115"/>
      <c r="E1243" s="115"/>
      <c r="F1243" s="115"/>
      <c r="G1243" s="115"/>
      <c r="H1243" s="115"/>
      <c r="I1243" s="115"/>
      <c r="J1243" s="115"/>
      <c r="K1243" s="115"/>
      <c r="L1243" s="115"/>
      <c r="O1243" s="116"/>
      <c r="Q1243" s="116"/>
      <c r="T1243" s="114"/>
      <c r="Y1243" s="118"/>
      <c r="Z1243" s="29"/>
      <c r="AA1243" s="29"/>
      <c r="AB1243" s="29"/>
      <c r="AC1243" s="29"/>
      <c r="AD1243" s="29"/>
      <c r="AE1243" s="29"/>
      <c r="AF1243" s="29"/>
      <c r="AG1243" s="29"/>
      <c r="AH1243" s="123"/>
      <c r="AI1243" s="32"/>
      <c r="AJ1243" s="32"/>
      <c r="AK1243" s="32"/>
      <c r="AL1243" s="32"/>
      <c r="AM1243" s="32"/>
      <c r="AN1243" s="32"/>
      <c r="AO1243" s="32"/>
      <c r="AP1243" s="29"/>
    </row>
    <row r="1244">
      <c r="A1244" s="115"/>
      <c r="B1244" s="116"/>
      <c r="C1244" s="115"/>
      <c r="D1244" s="115"/>
      <c r="E1244" s="115"/>
      <c r="F1244" s="115"/>
      <c r="G1244" s="115"/>
      <c r="H1244" s="115"/>
      <c r="I1244" s="115"/>
      <c r="J1244" s="115"/>
      <c r="K1244" s="115"/>
      <c r="L1244" s="115"/>
      <c r="O1244" s="116"/>
      <c r="Q1244" s="116"/>
      <c r="T1244" s="114"/>
      <c r="Y1244" s="118"/>
      <c r="Z1244" s="29"/>
      <c r="AA1244" s="29"/>
      <c r="AB1244" s="29"/>
      <c r="AC1244" s="29"/>
      <c r="AD1244" s="29"/>
      <c r="AE1244" s="29"/>
      <c r="AF1244" s="29"/>
      <c r="AG1244" s="29"/>
      <c r="AH1244" s="123"/>
      <c r="AI1244" s="32"/>
      <c r="AJ1244" s="32"/>
      <c r="AK1244" s="32"/>
      <c r="AL1244" s="32"/>
      <c r="AM1244" s="32"/>
      <c r="AN1244" s="32"/>
      <c r="AO1244" s="32"/>
      <c r="AP1244" s="29"/>
    </row>
    <row r="1245">
      <c r="A1245" s="115"/>
      <c r="B1245" s="116"/>
      <c r="C1245" s="115"/>
      <c r="D1245" s="115"/>
      <c r="E1245" s="115"/>
      <c r="F1245" s="115"/>
      <c r="G1245" s="115"/>
      <c r="H1245" s="115"/>
      <c r="I1245" s="115"/>
      <c r="J1245" s="115"/>
      <c r="K1245" s="115"/>
      <c r="L1245" s="115"/>
      <c r="O1245" s="116"/>
      <c r="Q1245" s="116"/>
      <c r="T1245" s="114"/>
      <c r="Y1245" s="118"/>
      <c r="Z1245" s="29"/>
      <c r="AA1245" s="29"/>
      <c r="AB1245" s="29"/>
      <c r="AC1245" s="29"/>
      <c r="AD1245" s="29"/>
      <c r="AE1245" s="29"/>
      <c r="AF1245" s="29"/>
      <c r="AG1245" s="29"/>
      <c r="AH1245" s="123"/>
      <c r="AI1245" s="32"/>
      <c r="AJ1245" s="32"/>
      <c r="AK1245" s="32"/>
      <c r="AL1245" s="32"/>
      <c r="AM1245" s="32"/>
      <c r="AN1245" s="32"/>
      <c r="AO1245" s="32"/>
      <c r="AP1245" s="29"/>
    </row>
    <row r="1246">
      <c r="A1246" s="115"/>
      <c r="B1246" s="116"/>
      <c r="C1246" s="115"/>
      <c r="D1246" s="115"/>
      <c r="E1246" s="115"/>
      <c r="F1246" s="115"/>
      <c r="G1246" s="115"/>
      <c r="H1246" s="115"/>
      <c r="I1246" s="115"/>
      <c r="J1246" s="115"/>
      <c r="K1246" s="115"/>
      <c r="L1246" s="115"/>
      <c r="O1246" s="116"/>
      <c r="Q1246" s="116"/>
      <c r="T1246" s="114"/>
      <c r="Y1246" s="118"/>
      <c r="Z1246" s="29"/>
      <c r="AA1246" s="29"/>
      <c r="AB1246" s="29"/>
      <c r="AC1246" s="29"/>
      <c r="AD1246" s="29"/>
      <c r="AE1246" s="29"/>
      <c r="AF1246" s="29"/>
      <c r="AG1246" s="29"/>
      <c r="AH1246" s="123"/>
      <c r="AI1246" s="32"/>
      <c r="AJ1246" s="32"/>
      <c r="AK1246" s="32"/>
      <c r="AL1246" s="32"/>
      <c r="AM1246" s="32"/>
      <c r="AN1246" s="32"/>
      <c r="AO1246" s="32"/>
      <c r="AP1246" s="29"/>
    </row>
    <row r="1247">
      <c r="A1247" s="115"/>
      <c r="B1247" s="116"/>
      <c r="C1247" s="115"/>
      <c r="D1247" s="115"/>
      <c r="E1247" s="115"/>
      <c r="F1247" s="115"/>
      <c r="G1247" s="115"/>
      <c r="H1247" s="115"/>
      <c r="I1247" s="115"/>
      <c r="J1247" s="115"/>
      <c r="K1247" s="115"/>
      <c r="L1247" s="115"/>
      <c r="O1247" s="116"/>
      <c r="Q1247" s="116"/>
      <c r="T1247" s="114"/>
      <c r="Y1247" s="118"/>
      <c r="Z1247" s="29"/>
      <c r="AA1247" s="29"/>
      <c r="AB1247" s="29"/>
      <c r="AC1247" s="29"/>
      <c r="AD1247" s="29"/>
      <c r="AE1247" s="29"/>
      <c r="AF1247" s="29"/>
      <c r="AG1247" s="29"/>
      <c r="AH1247" s="123"/>
      <c r="AI1247" s="32"/>
      <c r="AJ1247" s="32"/>
      <c r="AK1247" s="32"/>
      <c r="AL1247" s="32"/>
      <c r="AM1247" s="32"/>
      <c r="AN1247" s="32"/>
      <c r="AO1247" s="32"/>
      <c r="AP1247" s="29"/>
    </row>
    <row r="1248">
      <c r="A1248" s="115"/>
      <c r="B1248" s="116"/>
      <c r="C1248" s="115"/>
      <c r="D1248" s="115"/>
      <c r="E1248" s="115"/>
      <c r="F1248" s="115"/>
      <c r="G1248" s="115"/>
      <c r="H1248" s="115"/>
      <c r="I1248" s="115"/>
      <c r="J1248" s="115"/>
      <c r="K1248" s="115"/>
      <c r="L1248" s="115"/>
      <c r="O1248" s="116"/>
      <c r="Q1248" s="116"/>
      <c r="T1248" s="114"/>
      <c r="Y1248" s="118"/>
      <c r="Z1248" s="29"/>
      <c r="AA1248" s="29"/>
      <c r="AB1248" s="29"/>
      <c r="AC1248" s="29"/>
      <c r="AD1248" s="29"/>
      <c r="AE1248" s="29"/>
      <c r="AF1248" s="29"/>
      <c r="AG1248" s="29"/>
      <c r="AH1248" s="123"/>
      <c r="AI1248" s="32"/>
      <c r="AJ1248" s="32"/>
      <c r="AK1248" s="32"/>
      <c r="AL1248" s="32"/>
      <c r="AM1248" s="32"/>
      <c r="AN1248" s="32"/>
      <c r="AO1248" s="32"/>
      <c r="AP1248" s="29"/>
    </row>
    <row r="1249">
      <c r="A1249" s="115"/>
      <c r="B1249" s="116"/>
      <c r="C1249" s="115"/>
      <c r="D1249" s="115"/>
      <c r="E1249" s="115"/>
      <c r="F1249" s="115"/>
      <c r="G1249" s="115"/>
      <c r="H1249" s="115"/>
      <c r="I1249" s="115"/>
      <c r="J1249" s="115"/>
      <c r="K1249" s="115"/>
      <c r="L1249" s="115"/>
      <c r="O1249" s="116"/>
      <c r="Q1249" s="116"/>
      <c r="T1249" s="114"/>
      <c r="Y1249" s="118"/>
      <c r="Z1249" s="29"/>
      <c r="AA1249" s="29"/>
      <c r="AB1249" s="29"/>
      <c r="AC1249" s="29"/>
      <c r="AD1249" s="29"/>
      <c r="AE1249" s="29"/>
      <c r="AF1249" s="29"/>
      <c r="AG1249" s="29"/>
      <c r="AH1249" s="123"/>
      <c r="AI1249" s="32"/>
      <c r="AJ1249" s="32"/>
      <c r="AK1249" s="32"/>
      <c r="AL1249" s="32"/>
      <c r="AM1249" s="32"/>
      <c r="AN1249" s="32"/>
      <c r="AO1249" s="32"/>
      <c r="AP1249" s="29"/>
    </row>
    <row r="1250">
      <c r="A1250" s="115"/>
      <c r="B1250" s="116"/>
      <c r="C1250" s="115"/>
      <c r="D1250" s="115"/>
      <c r="E1250" s="115"/>
      <c r="F1250" s="115"/>
      <c r="G1250" s="115"/>
      <c r="H1250" s="115"/>
      <c r="I1250" s="115"/>
      <c r="J1250" s="115"/>
      <c r="K1250" s="115"/>
      <c r="L1250" s="115"/>
      <c r="O1250" s="116"/>
      <c r="Q1250" s="116"/>
      <c r="T1250" s="114"/>
      <c r="Y1250" s="118"/>
      <c r="Z1250" s="29"/>
      <c r="AA1250" s="29"/>
      <c r="AB1250" s="29"/>
      <c r="AC1250" s="29"/>
      <c r="AD1250" s="29"/>
      <c r="AE1250" s="29"/>
      <c r="AF1250" s="29"/>
      <c r="AG1250" s="29"/>
      <c r="AH1250" s="123"/>
      <c r="AI1250" s="32"/>
      <c r="AJ1250" s="32"/>
      <c r="AK1250" s="32"/>
      <c r="AL1250" s="32"/>
      <c r="AM1250" s="32"/>
      <c r="AN1250" s="32"/>
      <c r="AO1250" s="32"/>
      <c r="AP1250" s="29"/>
    </row>
    <row r="1251">
      <c r="A1251" s="115"/>
      <c r="B1251" s="116"/>
      <c r="C1251" s="115"/>
      <c r="D1251" s="115"/>
      <c r="E1251" s="115"/>
      <c r="F1251" s="115"/>
      <c r="G1251" s="115"/>
      <c r="H1251" s="115"/>
      <c r="I1251" s="115"/>
      <c r="J1251" s="115"/>
      <c r="K1251" s="115"/>
      <c r="L1251" s="115"/>
      <c r="O1251" s="116"/>
      <c r="Q1251" s="116"/>
      <c r="T1251" s="114"/>
      <c r="Y1251" s="118"/>
      <c r="Z1251" s="29"/>
      <c r="AA1251" s="29"/>
      <c r="AB1251" s="29"/>
      <c r="AC1251" s="29"/>
      <c r="AD1251" s="29"/>
      <c r="AE1251" s="29"/>
      <c r="AF1251" s="29"/>
      <c r="AG1251" s="29"/>
      <c r="AH1251" s="123"/>
      <c r="AI1251" s="32"/>
      <c r="AJ1251" s="32"/>
      <c r="AK1251" s="32"/>
      <c r="AL1251" s="32"/>
      <c r="AM1251" s="32"/>
      <c r="AN1251" s="32"/>
      <c r="AO1251" s="32"/>
      <c r="AP1251" s="29"/>
    </row>
    <row r="1252">
      <c r="A1252" s="115"/>
      <c r="B1252" s="116"/>
      <c r="C1252" s="115"/>
      <c r="D1252" s="115"/>
      <c r="E1252" s="115"/>
      <c r="F1252" s="115"/>
      <c r="G1252" s="115"/>
      <c r="H1252" s="115"/>
      <c r="I1252" s="115"/>
      <c r="J1252" s="115"/>
      <c r="K1252" s="115"/>
      <c r="L1252" s="115"/>
      <c r="O1252" s="116"/>
      <c r="Q1252" s="116"/>
      <c r="T1252" s="114"/>
      <c r="Y1252" s="118"/>
      <c r="Z1252" s="29"/>
      <c r="AA1252" s="29"/>
      <c r="AB1252" s="29"/>
      <c r="AC1252" s="29"/>
      <c r="AD1252" s="29"/>
      <c r="AE1252" s="29"/>
      <c r="AF1252" s="29"/>
      <c r="AG1252" s="29"/>
      <c r="AH1252" s="123"/>
      <c r="AI1252" s="32"/>
      <c r="AJ1252" s="32"/>
      <c r="AK1252" s="32"/>
      <c r="AL1252" s="32"/>
      <c r="AM1252" s="32"/>
      <c r="AN1252" s="32"/>
      <c r="AO1252" s="32"/>
      <c r="AP1252" s="29"/>
    </row>
    <row r="1253">
      <c r="A1253" s="115"/>
      <c r="B1253" s="116"/>
      <c r="C1253" s="115"/>
      <c r="D1253" s="115"/>
      <c r="E1253" s="115"/>
      <c r="F1253" s="115"/>
      <c r="G1253" s="115"/>
      <c r="H1253" s="115"/>
      <c r="I1253" s="115"/>
      <c r="J1253" s="115"/>
      <c r="K1253" s="115"/>
      <c r="L1253" s="115"/>
      <c r="O1253" s="116"/>
      <c r="Q1253" s="116"/>
      <c r="T1253" s="114"/>
      <c r="Y1253" s="118"/>
      <c r="Z1253" s="29"/>
      <c r="AA1253" s="29"/>
      <c r="AB1253" s="29"/>
      <c r="AC1253" s="29"/>
      <c r="AD1253" s="29"/>
      <c r="AE1253" s="29"/>
      <c r="AF1253" s="29"/>
      <c r="AG1253" s="29"/>
      <c r="AH1253" s="123"/>
      <c r="AI1253" s="32"/>
      <c r="AJ1253" s="32"/>
      <c r="AK1253" s="32"/>
      <c r="AL1253" s="32"/>
      <c r="AM1253" s="32"/>
      <c r="AN1253" s="32"/>
      <c r="AO1253" s="32"/>
      <c r="AP1253" s="29"/>
    </row>
    <row r="1254">
      <c r="A1254" s="115"/>
      <c r="B1254" s="116"/>
      <c r="C1254" s="115"/>
      <c r="D1254" s="115"/>
      <c r="E1254" s="115"/>
      <c r="F1254" s="115"/>
      <c r="G1254" s="115"/>
      <c r="H1254" s="115"/>
      <c r="I1254" s="115"/>
      <c r="J1254" s="115"/>
      <c r="K1254" s="115"/>
      <c r="L1254" s="115"/>
      <c r="O1254" s="116"/>
      <c r="Q1254" s="116"/>
      <c r="T1254" s="114"/>
      <c r="Y1254" s="118"/>
      <c r="Z1254" s="29"/>
      <c r="AA1254" s="29"/>
      <c r="AB1254" s="29"/>
      <c r="AC1254" s="29"/>
      <c r="AD1254" s="29"/>
      <c r="AE1254" s="29"/>
      <c r="AF1254" s="29"/>
      <c r="AG1254" s="29"/>
      <c r="AH1254" s="123"/>
      <c r="AI1254" s="32"/>
      <c r="AJ1254" s="32"/>
      <c r="AK1254" s="32"/>
      <c r="AL1254" s="32"/>
      <c r="AM1254" s="32"/>
      <c r="AN1254" s="32"/>
      <c r="AO1254" s="32"/>
      <c r="AP1254" s="29"/>
    </row>
    <row r="1255">
      <c r="A1255" s="115"/>
      <c r="B1255" s="116"/>
      <c r="C1255" s="115"/>
      <c r="D1255" s="115"/>
      <c r="E1255" s="115"/>
      <c r="F1255" s="115"/>
      <c r="G1255" s="115"/>
      <c r="H1255" s="115"/>
      <c r="I1255" s="115"/>
      <c r="J1255" s="115"/>
      <c r="K1255" s="115"/>
      <c r="L1255" s="115"/>
      <c r="O1255" s="116"/>
      <c r="Q1255" s="116"/>
      <c r="T1255" s="114"/>
      <c r="Y1255" s="118"/>
      <c r="Z1255" s="29"/>
      <c r="AA1255" s="29"/>
      <c r="AB1255" s="29"/>
      <c r="AC1255" s="29"/>
      <c r="AD1255" s="29"/>
      <c r="AE1255" s="29"/>
      <c r="AF1255" s="29"/>
      <c r="AG1255" s="29"/>
      <c r="AH1255" s="123"/>
      <c r="AI1255" s="32"/>
      <c r="AJ1255" s="32"/>
      <c r="AK1255" s="32"/>
      <c r="AL1255" s="32"/>
      <c r="AM1255" s="32"/>
      <c r="AN1255" s="32"/>
      <c r="AO1255" s="32"/>
      <c r="AP1255" s="29"/>
    </row>
    <row r="1256">
      <c r="A1256" s="115"/>
      <c r="B1256" s="116"/>
      <c r="C1256" s="115"/>
      <c r="D1256" s="115"/>
      <c r="E1256" s="115"/>
      <c r="F1256" s="115"/>
      <c r="G1256" s="115"/>
      <c r="H1256" s="115"/>
      <c r="I1256" s="115"/>
      <c r="J1256" s="115"/>
      <c r="K1256" s="115"/>
      <c r="L1256" s="115"/>
      <c r="O1256" s="116"/>
      <c r="Q1256" s="116"/>
      <c r="T1256" s="114"/>
      <c r="Y1256" s="118"/>
      <c r="Z1256" s="29"/>
      <c r="AA1256" s="29"/>
      <c r="AB1256" s="29"/>
      <c r="AC1256" s="29"/>
      <c r="AD1256" s="29"/>
      <c r="AE1256" s="29"/>
      <c r="AF1256" s="29"/>
      <c r="AG1256" s="29"/>
      <c r="AH1256" s="123"/>
      <c r="AI1256" s="32"/>
      <c r="AJ1256" s="32"/>
      <c r="AK1256" s="32"/>
      <c r="AL1256" s="32"/>
      <c r="AM1256" s="32"/>
      <c r="AN1256" s="32"/>
      <c r="AO1256" s="32"/>
      <c r="AP1256" s="29"/>
    </row>
    <row r="1257">
      <c r="A1257" s="115"/>
      <c r="B1257" s="116"/>
      <c r="C1257" s="115"/>
      <c r="D1257" s="115"/>
      <c r="E1257" s="115"/>
      <c r="F1257" s="115"/>
      <c r="G1257" s="115"/>
      <c r="H1257" s="115"/>
      <c r="I1257" s="115"/>
      <c r="J1257" s="115"/>
      <c r="K1257" s="115"/>
      <c r="L1257" s="115"/>
      <c r="O1257" s="116"/>
      <c r="Q1257" s="116"/>
      <c r="T1257" s="114"/>
      <c r="Y1257" s="118"/>
      <c r="Z1257" s="29"/>
      <c r="AA1257" s="29"/>
      <c r="AB1257" s="29"/>
      <c r="AC1257" s="29"/>
      <c r="AD1257" s="29"/>
      <c r="AE1257" s="29"/>
      <c r="AF1257" s="29"/>
      <c r="AG1257" s="29"/>
      <c r="AH1257" s="123"/>
      <c r="AI1257" s="32"/>
      <c r="AJ1257" s="32"/>
      <c r="AK1257" s="32"/>
      <c r="AL1257" s="32"/>
      <c r="AM1257" s="32"/>
      <c r="AN1257" s="32"/>
      <c r="AO1257" s="32"/>
      <c r="AP1257" s="29"/>
    </row>
    <row r="1258">
      <c r="A1258" s="115"/>
      <c r="B1258" s="116"/>
      <c r="C1258" s="115"/>
      <c r="D1258" s="115"/>
      <c r="E1258" s="115"/>
      <c r="F1258" s="115"/>
      <c r="G1258" s="115"/>
      <c r="H1258" s="115"/>
      <c r="I1258" s="115"/>
      <c r="J1258" s="115"/>
      <c r="K1258" s="115"/>
      <c r="L1258" s="115"/>
      <c r="O1258" s="116"/>
      <c r="Q1258" s="116"/>
      <c r="T1258" s="114"/>
      <c r="Y1258" s="118"/>
      <c r="Z1258" s="29"/>
      <c r="AA1258" s="29"/>
      <c r="AB1258" s="29"/>
      <c r="AC1258" s="29"/>
      <c r="AD1258" s="29"/>
      <c r="AE1258" s="29"/>
      <c r="AF1258" s="29"/>
      <c r="AG1258" s="29"/>
      <c r="AH1258" s="123"/>
      <c r="AI1258" s="32"/>
      <c r="AJ1258" s="32"/>
      <c r="AK1258" s="32"/>
      <c r="AL1258" s="32"/>
      <c r="AM1258" s="32"/>
      <c r="AN1258" s="32"/>
      <c r="AO1258" s="32"/>
      <c r="AP1258" s="29"/>
    </row>
    <row r="1259">
      <c r="A1259" s="115"/>
      <c r="B1259" s="116"/>
      <c r="C1259" s="115"/>
      <c r="D1259" s="115"/>
      <c r="E1259" s="115"/>
      <c r="F1259" s="115"/>
      <c r="G1259" s="115"/>
      <c r="H1259" s="115"/>
      <c r="I1259" s="115"/>
      <c r="J1259" s="115"/>
      <c r="K1259" s="115"/>
      <c r="L1259" s="115"/>
      <c r="O1259" s="116"/>
      <c r="Q1259" s="116"/>
      <c r="T1259" s="114"/>
      <c r="Y1259" s="118"/>
      <c r="Z1259" s="29"/>
      <c r="AA1259" s="29"/>
      <c r="AB1259" s="29"/>
      <c r="AC1259" s="29"/>
      <c r="AD1259" s="29"/>
      <c r="AE1259" s="29"/>
      <c r="AF1259" s="29"/>
      <c r="AG1259" s="29"/>
      <c r="AH1259" s="123"/>
      <c r="AI1259" s="32"/>
      <c r="AJ1259" s="32"/>
      <c r="AK1259" s="32"/>
      <c r="AL1259" s="32"/>
      <c r="AM1259" s="32"/>
      <c r="AN1259" s="32"/>
      <c r="AO1259" s="32"/>
      <c r="AP1259" s="29"/>
    </row>
    <row r="1260">
      <c r="A1260" s="115"/>
      <c r="B1260" s="116"/>
      <c r="C1260" s="115"/>
      <c r="D1260" s="115"/>
      <c r="E1260" s="115"/>
      <c r="F1260" s="115"/>
      <c r="G1260" s="115"/>
      <c r="H1260" s="115"/>
      <c r="I1260" s="115"/>
      <c r="J1260" s="115"/>
      <c r="K1260" s="115"/>
      <c r="L1260" s="115"/>
      <c r="O1260" s="116"/>
      <c r="Q1260" s="116"/>
      <c r="T1260" s="114"/>
      <c r="Y1260" s="118"/>
      <c r="Z1260" s="29"/>
      <c r="AA1260" s="29"/>
      <c r="AB1260" s="29"/>
      <c r="AC1260" s="29"/>
      <c r="AD1260" s="29"/>
      <c r="AE1260" s="29"/>
      <c r="AF1260" s="29"/>
      <c r="AG1260" s="29"/>
      <c r="AH1260" s="123"/>
      <c r="AI1260" s="32"/>
      <c r="AJ1260" s="32"/>
      <c r="AK1260" s="32"/>
      <c r="AL1260" s="32"/>
      <c r="AM1260" s="32"/>
      <c r="AN1260" s="32"/>
      <c r="AO1260" s="32"/>
      <c r="AP1260" s="29"/>
    </row>
    <row r="1261">
      <c r="A1261" s="115"/>
      <c r="B1261" s="116"/>
      <c r="C1261" s="115"/>
      <c r="D1261" s="115"/>
      <c r="E1261" s="115"/>
      <c r="F1261" s="115"/>
      <c r="G1261" s="115"/>
      <c r="H1261" s="115"/>
      <c r="I1261" s="115"/>
      <c r="J1261" s="115"/>
      <c r="K1261" s="115"/>
      <c r="L1261" s="115"/>
      <c r="O1261" s="116"/>
      <c r="Q1261" s="116"/>
      <c r="T1261" s="114"/>
      <c r="Y1261" s="118"/>
      <c r="Z1261" s="29"/>
      <c r="AA1261" s="29"/>
      <c r="AB1261" s="29"/>
      <c r="AC1261" s="29"/>
      <c r="AD1261" s="29"/>
      <c r="AE1261" s="29"/>
      <c r="AF1261" s="29"/>
      <c r="AG1261" s="29"/>
      <c r="AH1261" s="123"/>
      <c r="AI1261" s="32"/>
      <c r="AJ1261" s="32"/>
      <c r="AK1261" s="32"/>
      <c r="AL1261" s="32"/>
      <c r="AM1261" s="32"/>
      <c r="AN1261" s="32"/>
      <c r="AO1261" s="32"/>
      <c r="AP1261" s="29"/>
    </row>
    <row r="1262">
      <c r="A1262" s="115"/>
      <c r="B1262" s="116"/>
      <c r="C1262" s="115"/>
      <c r="D1262" s="115"/>
      <c r="E1262" s="115"/>
      <c r="F1262" s="115"/>
      <c r="G1262" s="115"/>
      <c r="H1262" s="115"/>
      <c r="I1262" s="115"/>
      <c r="J1262" s="115"/>
      <c r="K1262" s="115"/>
      <c r="L1262" s="115"/>
      <c r="O1262" s="116"/>
      <c r="Q1262" s="116"/>
      <c r="T1262" s="114"/>
      <c r="Y1262" s="118"/>
      <c r="Z1262" s="29"/>
      <c r="AA1262" s="29"/>
      <c r="AB1262" s="29"/>
      <c r="AC1262" s="29"/>
      <c r="AD1262" s="29"/>
      <c r="AE1262" s="29"/>
      <c r="AF1262" s="29"/>
      <c r="AG1262" s="29"/>
      <c r="AH1262" s="123"/>
      <c r="AI1262" s="32"/>
      <c r="AJ1262" s="32"/>
      <c r="AK1262" s="32"/>
      <c r="AL1262" s="32"/>
      <c r="AM1262" s="32"/>
      <c r="AN1262" s="32"/>
      <c r="AO1262" s="32"/>
      <c r="AP1262" s="29"/>
    </row>
    <row r="1263">
      <c r="A1263" s="115"/>
      <c r="B1263" s="116"/>
      <c r="C1263" s="115"/>
      <c r="D1263" s="115"/>
      <c r="E1263" s="115"/>
      <c r="F1263" s="115"/>
      <c r="G1263" s="115"/>
      <c r="H1263" s="115"/>
      <c r="I1263" s="115"/>
      <c r="J1263" s="115"/>
      <c r="K1263" s="115"/>
      <c r="L1263" s="115"/>
      <c r="O1263" s="116"/>
      <c r="Q1263" s="116"/>
      <c r="T1263" s="114"/>
      <c r="Y1263" s="118"/>
      <c r="Z1263" s="29"/>
      <c r="AA1263" s="29"/>
      <c r="AB1263" s="29"/>
      <c r="AC1263" s="29"/>
      <c r="AD1263" s="29"/>
      <c r="AE1263" s="29"/>
      <c r="AF1263" s="29"/>
      <c r="AG1263" s="29"/>
      <c r="AH1263" s="123"/>
      <c r="AI1263" s="32"/>
      <c r="AJ1263" s="32"/>
      <c r="AK1263" s="32"/>
      <c r="AL1263" s="32"/>
      <c r="AM1263" s="32"/>
      <c r="AN1263" s="32"/>
      <c r="AO1263" s="32"/>
      <c r="AP1263" s="29"/>
    </row>
    <row r="1264">
      <c r="A1264" s="115"/>
      <c r="B1264" s="116"/>
      <c r="C1264" s="115"/>
      <c r="D1264" s="115"/>
      <c r="E1264" s="115"/>
      <c r="F1264" s="115"/>
      <c r="G1264" s="115"/>
      <c r="H1264" s="115"/>
      <c r="I1264" s="115"/>
      <c r="J1264" s="115"/>
      <c r="K1264" s="115"/>
      <c r="L1264" s="115"/>
      <c r="O1264" s="116"/>
      <c r="Q1264" s="116"/>
      <c r="T1264" s="114"/>
      <c r="Y1264" s="118"/>
      <c r="Z1264" s="29"/>
      <c r="AA1264" s="29"/>
      <c r="AB1264" s="29"/>
      <c r="AC1264" s="29"/>
      <c r="AD1264" s="29"/>
      <c r="AE1264" s="29"/>
      <c r="AF1264" s="29"/>
      <c r="AG1264" s="29"/>
      <c r="AH1264" s="123"/>
      <c r="AI1264" s="32"/>
      <c r="AJ1264" s="32"/>
      <c r="AK1264" s="32"/>
      <c r="AL1264" s="32"/>
      <c r="AM1264" s="32"/>
      <c r="AN1264" s="32"/>
      <c r="AO1264" s="32"/>
      <c r="AP1264" s="29"/>
    </row>
    <row r="1265">
      <c r="A1265" s="115"/>
      <c r="B1265" s="116"/>
      <c r="C1265" s="115"/>
      <c r="D1265" s="115"/>
      <c r="E1265" s="115"/>
      <c r="F1265" s="115"/>
      <c r="G1265" s="115"/>
      <c r="H1265" s="115"/>
      <c r="I1265" s="115"/>
      <c r="J1265" s="115"/>
      <c r="K1265" s="115"/>
      <c r="L1265" s="115"/>
      <c r="O1265" s="116"/>
      <c r="Q1265" s="116"/>
      <c r="T1265" s="114"/>
      <c r="Y1265" s="118"/>
      <c r="Z1265" s="29"/>
      <c r="AA1265" s="29"/>
      <c r="AB1265" s="29"/>
      <c r="AC1265" s="29"/>
      <c r="AD1265" s="29"/>
      <c r="AE1265" s="29"/>
      <c r="AF1265" s="29"/>
      <c r="AG1265" s="29"/>
      <c r="AH1265" s="123"/>
      <c r="AI1265" s="32"/>
      <c r="AJ1265" s="32"/>
      <c r="AK1265" s="32"/>
      <c r="AL1265" s="32"/>
      <c r="AM1265" s="32"/>
      <c r="AN1265" s="32"/>
      <c r="AO1265" s="32"/>
      <c r="AP1265" s="29"/>
    </row>
    <row r="1266">
      <c r="A1266" s="115"/>
      <c r="B1266" s="116"/>
      <c r="C1266" s="115"/>
      <c r="D1266" s="115"/>
      <c r="E1266" s="115"/>
      <c r="F1266" s="115"/>
      <c r="G1266" s="115"/>
      <c r="H1266" s="115"/>
      <c r="I1266" s="115"/>
      <c r="J1266" s="115"/>
      <c r="K1266" s="115"/>
      <c r="L1266" s="115"/>
      <c r="O1266" s="116"/>
      <c r="Q1266" s="116"/>
      <c r="T1266" s="114"/>
      <c r="Y1266" s="118"/>
      <c r="Z1266" s="29"/>
      <c r="AA1266" s="29"/>
      <c r="AB1266" s="29"/>
      <c r="AC1266" s="29"/>
      <c r="AD1266" s="29"/>
      <c r="AE1266" s="29"/>
      <c r="AF1266" s="29"/>
      <c r="AG1266" s="29"/>
      <c r="AH1266" s="123"/>
      <c r="AI1266" s="32"/>
      <c r="AJ1266" s="32"/>
      <c r="AK1266" s="32"/>
      <c r="AL1266" s="32"/>
      <c r="AM1266" s="32"/>
      <c r="AN1266" s="32"/>
      <c r="AO1266" s="32"/>
      <c r="AP1266" s="29"/>
    </row>
    <row r="1267">
      <c r="A1267" s="115"/>
      <c r="B1267" s="116"/>
      <c r="C1267" s="115"/>
      <c r="D1267" s="115"/>
      <c r="E1267" s="115"/>
      <c r="F1267" s="115"/>
      <c r="G1267" s="115"/>
      <c r="H1267" s="115"/>
      <c r="I1267" s="115"/>
      <c r="J1267" s="115"/>
      <c r="K1267" s="115"/>
      <c r="L1267" s="115"/>
      <c r="O1267" s="116"/>
      <c r="Q1267" s="116"/>
      <c r="T1267" s="114"/>
      <c r="Y1267" s="118"/>
      <c r="Z1267" s="29"/>
      <c r="AA1267" s="29"/>
      <c r="AB1267" s="29"/>
      <c r="AC1267" s="29"/>
      <c r="AD1267" s="29"/>
      <c r="AE1267" s="29"/>
      <c r="AF1267" s="29"/>
      <c r="AG1267" s="29"/>
      <c r="AH1267" s="123"/>
      <c r="AI1267" s="32"/>
      <c r="AJ1267" s="32"/>
      <c r="AK1267" s="32"/>
      <c r="AL1267" s="32"/>
      <c r="AM1267" s="32"/>
      <c r="AN1267" s="32"/>
      <c r="AO1267" s="32"/>
      <c r="AP1267" s="29"/>
    </row>
    <row r="1268">
      <c r="A1268" s="115"/>
      <c r="B1268" s="116"/>
      <c r="C1268" s="115"/>
      <c r="D1268" s="115"/>
      <c r="E1268" s="115"/>
      <c r="F1268" s="115"/>
      <c r="G1268" s="115"/>
      <c r="H1268" s="115"/>
      <c r="I1268" s="115"/>
      <c r="J1268" s="115"/>
      <c r="K1268" s="115"/>
      <c r="L1268" s="115"/>
      <c r="O1268" s="116"/>
      <c r="Q1268" s="116"/>
      <c r="T1268" s="114"/>
      <c r="Y1268" s="118"/>
      <c r="Z1268" s="29"/>
      <c r="AA1268" s="29"/>
      <c r="AB1268" s="29"/>
      <c r="AC1268" s="29"/>
      <c r="AD1268" s="29"/>
      <c r="AE1268" s="29"/>
      <c r="AF1268" s="29"/>
      <c r="AG1268" s="29"/>
      <c r="AH1268" s="123"/>
      <c r="AI1268" s="32"/>
      <c r="AJ1268" s="32"/>
      <c r="AK1268" s="32"/>
      <c r="AL1268" s="32"/>
      <c r="AM1268" s="32"/>
      <c r="AN1268" s="32"/>
      <c r="AO1268" s="32"/>
      <c r="AP1268" s="29"/>
    </row>
    <row r="1269">
      <c r="A1269" s="115"/>
      <c r="B1269" s="116"/>
      <c r="C1269" s="115"/>
      <c r="D1269" s="115"/>
      <c r="E1269" s="115"/>
      <c r="F1269" s="115"/>
      <c r="G1269" s="115"/>
      <c r="H1269" s="115"/>
      <c r="I1269" s="115"/>
      <c r="J1269" s="115"/>
      <c r="K1269" s="115"/>
      <c r="L1269" s="115"/>
      <c r="O1269" s="116"/>
      <c r="Q1269" s="116"/>
      <c r="T1269" s="114"/>
      <c r="Y1269" s="118"/>
      <c r="Z1269" s="29"/>
      <c r="AA1269" s="29"/>
      <c r="AB1269" s="29"/>
      <c r="AC1269" s="29"/>
      <c r="AD1269" s="29"/>
      <c r="AE1269" s="29"/>
      <c r="AF1269" s="29"/>
      <c r="AG1269" s="29"/>
      <c r="AH1269" s="123"/>
      <c r="AI1269" s="32"/>
      <c r="AJ1269" s="32"/>
      <c r="AK1269" s="32"/>
      <c r="AL1269" s="32"/>
      <c r="AM1269" s="32"/>
      <c r="AN1269" s="32"/>
      <c r="AO1269" s="32"/>
      <c r="AP1269" s="29"/>
    </row>
    <row r="1270">
      <c r="A1270" s="115"/>
      <c r="B1270" s="116"/>
      <c r="C1270" s="115"/>
      <c r="D1270" s="115"/>
      <c r="E1270" s="115"/>
      <c r="F1270" s="115"/>
      <c r="G1270" s="115"/>
      <c r="H1270" s="115"/>
      <c r="I1270" s="115"/>
      <c r="J1270" s="115"/>
      <c r="K1270" s="115"/>
      <c r="L1270" s="115"/>
      <c r="O1270" s="116"/>
      <c r="Q1270" s="116"/>
      <c r="T1270" s="114"/>
      <c r="Y1270" s="118"/>
      <c r="Z1270" s="29"/>
      <c r="AA1270" s="29"/>
      <c r="AB1270" s="29"/>
      <c r="AC1270" s="29"/>
      <c r="AD1270" s="29"/>
      <c r="AE1270" s="29"/>
      <c r="AF1270" s="29"/>
      <c r="AG1270" s="29"/>
      <c r="AH1270" s="123"/>
      <c r="AI1270" s="32"/>
      <c r="AJ1270" s="32"/>
      <c r="AK1270" s="32"/>
      <c r="AL1270" s="32"/>
      <c r="AM1270" s="32"/>
      <c r="AN1270" s="32"/>
      <c r="AO1270" s="32"/>
      <c r="AP1270" s="29"/>
    </row>
    <row r="1271">
      <c r="A1271" s="115"/>
      <c r="B1271" s="116"/>
      <c r="C1271" s="115"/>
      <c r="D1271" s="115"/>
      <c r="E1271" s="115"/>
      <c r="F1271" s="115"/>
      <c r="G1271" s="115"/>
      <c r="H1271" s="115"/>
      <c r="I1271" s="115"/>
      <c r="J1271" s="115"/>
      <c r="K1271" s="115"/>
      <c r="L1271" s="115"/>
      <c r="O1271" s="116"/>
      <c r="Q1271" s="116"/>
      <c r="T1271" s="114"/>
      <c r="Y1271" s="118"/>
      <c r="Z1271" s="29"/>
      <c r="AA1271" s="29"/>
      <c r="AB1271" s="29"/>
      <c r="AC1271" s="29"/>
      <c r="AD1271" s="29"/>
      <c r="AE1271" s="29"/>
      <c r="AF1271" s="29"/>
      <c r="AG1271" s="29"/>
      <c r="AH1271" s="123"/>
      <c r="AI1271" s="32"/>
      <c r="AJ1271" s="32"/>
      <c r="AK1271" s="32"/>
      <c r="AL1271" s="32"/>
      <c r="AM1271" s="32"/>
      <c r="AN1271" s="32"/>
      <c r="AO1271" s="32"/>
      <c r="AP1271" s="29"/>
    </row>
    <row r="1272">
      <c r="A1272" s="115"/>
      <c r="B1272" s="116"/>
      <c r="C1272" s="115"/>
      <c r="D1272" s="115"/>
      <c r="E1272" s="115"/>
      <c r="F1272" s="115"/>
      <c r="G1272" s="115"/>
      <c r="H1272" s="115"/>
      <c r="I1272" s="115"/>
      <c r="J1272" s="115"/>
      <c r="K1272" s="115"/>
      <c r="L1272" s="115"/>
      <c r="O1272" s="116"/>
      <c r="Q1272" s="116"/>
      <c r="T1272" s="114"/>
      <c r="Y1272" s="118"/>
      <c r="Z1272" s="29"/>
      <c r="AA1272" s="29"/>
      <c r="AB1272" s="29"/>
      <c r="AC1272" s="29"/>
      <c r="AD1272" s="29"/>
      <c r="AE1272" s="29"/>
      <c r="AF1272" s="29"/>
      <c r="AG1272" s="29"/>
      <c r="AH1272" s="123"/>
      <c r="AI1272" s="32"/>
      <c r="AJ1272" s="32"/>
      <c r="AK1272" s="32"/>
      <c r="AL1272" s="32"/>
      <c r="AM1272" s="32"/>
      <c r="AN1272" s="32"/>
      <c r="AO1272" s="32"/>
      <c r="AP1272" s="29"/>
    </row>
    <row r="1273">
      <c r="A1273" s="115"/>
      <c r="B1273" s="116"/>
      <c r="C1273" s="115"/>
      <c r="D1273" s="115"/>
      <c r="E1273" s="115"/>
      <c r="F1273" s="115"/>
      <c r="G1273" s="115"/>
      <c r="H1273" s="115"/>
      <c r="I1273" s="115"/>
      <c r="J1273" s="115"/>
      <c r="K1273" s="115"/>
      <c r="L1273" s="115"/>
      <c r="O1273" s="116"/>
      <c r="Q1273" s="116"/>
      <c r="T1273" s="114"/>
      <c r="Y1273" s="118"/>
      <c r="Z1273" s="29"/>
      <c r="AA1273" s="29"/>
      <c r="AB1273" s="29"/>
      <c r="AC1273" s="29"/>
      <c r="AD1273" s="29"/>
      <c r="AE1273" s="29"/>
      <c r="AF1273" s="29"/>
      <c r="AG1273" s="29"/>
      <c r="AH1273" s="123"/>
      <c r="AI1273" s="32"/>
      <c r="AJ1273" s="32"/>
      <c r="AK1273" s="32"/>
      <c r="AL1273" s="32"/>
      <c r="AM1273" s="32"/>
      <c r="AN1273" s="32"/>
      <c r="AO1273" s="32"/>
      <c r="AP1273" s="29"/>
    </row>
    <row r="1274">
      <c r="A1274" s="115"/>
      <c r="B1274" s="116"/>
      <c r="C1274" s="115"/>
      <c r="D1274" s="115"/>
      <c r="E1274" s="115"/>
      <c r="F1274" s="115"/>
      <c r="G1274" s="115"/>
      <c r="H1274" s="115"/>
      <c r="I1274" s="115"/>
      <c r="J1274" s="115"/>
      <c r="K1274" s="115"/>
      <c r="L1274" s="115"/>
      <c r="O1274" s="116"/>
      <c r="Q1274" s="116"/>
      <c r="T1274" s="114"/>
      <c r="Y1274" s="118"/>
      <c r="Z1274" s="29"/>
      <c r="AA1274" s="29"/>
      <c r="AB1274" s="29"/>
      <c r="AC1274" s="29"/>
      <c r="AD1274" s="29"/>
      <c r="AE1274" s="29"/>
      <c r="AF1274" s="29"/>
      <c r="AG1274" s="29"/>
      <c r="AH1274" s="123"/>
      <c r="AI1274" s="32"/>
      <c r="AJ1274" s="32"/>
      <c r="AK1274" s="32"/>
      <c r="AL1274" s="32"/>
      <c r="AM1274" s="32"/>
      <c r="AN1274" s="32"/>
      <c r="AO1274" s="32"/>
      <c r="AP1274" s="29"/>
    </row>
    <row r="1275">
      <c r="A1275" s="115"/>
      <c r="B1275" s="116"/>
      <c r="C1275" s="115"/>
      <c r="D1275" s="115"/>
      <c r="E1275" s="115"/>
      <c r="F1275" s="115"/>
      <c r="G1275" s="115"/>
      <c r="H1275" s="115"/>
      <c r="I1275" s="115"/>
      <c r="J1275" s="115"/>
      <c r="K1275" s="115"/>
      <c r="L1275" s="115"/>
      <c r="O1275" s="116"/>
      <c r="Q1275" s="116"/>
      <c r="T1275" s="114"/>
      <c r="Y1275" s="118"/>
      <c r="Z1275" s="29"/>
      <c r="AA1275" s="29"/>
      <c r="AB1275" s="29"/>
      <c r="AC1275" s="29"/>
      <c r="AD1275" s="29"/>
      <c r="AE1275" s="29"/>
      <c r="AF1275" s="29"/>
      <c r="AG1275" s="29"/>
      <c r="AH1275" s="123"/>
      <c r="AI1275" s="32"/>
      <c r="AJ1275" s="32"/>
      <c r="AK1275" s="32"/>
      <c r="AL1275" s="32"/>
      <c r="AM1275" s="32"/>
      <c r="AN1275" s="32"/>
      <c r="AO1275" s="32"/>
      <c r="AP1275" s="29"/>
    </row>
    <row r="1276">
      <c r="A1276" s="115"/>
      <c r="B1276" s="116"/>
      <c r="C1276" s="115"/>
      <c r="D1276" s="115"/>
      <c r="E1276" s="115"/>
      <c r="F1276" s="115"/>
      <c r="G1276" s="115"/>
      <c r="H1276" s="115"/>
      <c r="I1276" s="115"/>
      <c r="J1276" s="115"/>
      <c r="K1276" s="115"/>
      <c r="L1276" s="115"/>
      <c r="O1276" s="116"/>
      <c r="Q1276" s="116"/>
      <c r="T1276" s="114"/>
      <c r="Y1276" s="118"/>
      <c r="Z1276" s="29"/>
      <c r="AA1276" s="29"/>
      <c r="AB1276" s="29"/>
      <c r="AC1276" s="29"/>
      <c r="AD1276" s="29"/>
      <c r="AE1276" s="29"/>
      <c r="AF1276" s="29"/>
      <c r="AG1276" s="29"/>
      <c r="AH1276" s="123"/>
      <c r="AI1276" s="32"/>
      <c r="AJ1276" s="32"/>
      <c r="AK1276" s="32"/>
      <c r="AL1276" s="32"/>
      <c r="AM1276" s="32"/>
      <c r="AN1276" s="32"/>
      <c r="AO1276" s="32"/>
      <c r="AP1276" s="29"/>
    </row>
    <row r="1277">
      <c r="A1277" s="115"/>
      <c r="B1277" s="116"/>
      <c r="C1277" s="115"/>
      <c r="D1277" s="115"/>
      <c r="E1277" s="115"/>
      <c r="F1277" s="115"/>
      <c r="G1277" s="115"/>
      <c r="H1277" s="115"/>
      <c r="I1277" s="115"/>
      <c r="J1277" s="115"/>
      <c r="K1277" s="115"/>
      <c r="L1277" s="115"/>
      <c r="O1277" s="116"/>
      <c r="Q1277" s="116"/>
      <c r="T1277" s="114"/>
      <c r="Y1277" s="118"/>
      <c r="Z1277" s="29"/>
      <c r="AA1277" s="29"/>
      <c r="AB1277" s="29"/>
      <c r="AC1277" s="29"/>
      <c r="AD1277" s="29"/>
      <c r="AE1277" s="29"/>
      <c r="AF1277" s="29"/>
      <c r="AG1277" s="29"/>
      <c r="AH1277" s="123"/>
      <c r="AI1277" s="32"/>
      <c r="AJ1277" s="32"/>
      <c r="AK1277" s="32"/>
      <c r="AL1277" s="32"/>
      <c r="AM1277" s="32"/>
      <c r="AN1277" s="32"/>
      <c r="AO1277" s="32"/>
      <c r="AP1277" s="29"/>
    </row>
    <row r="1278">
      <c r="A1278" s="115"/>
      <c r="B1278" s="116"/>
      <c r="C1278" s="115"/>
      <c r="D1278" s="115"/>
      <c r="E1278" s="115"/>
      <c r="F1278" s="115"/>
      <c r="G1278" s="115"/>
      <c r="H1278" s="115"/>
      <c r="I1278" s="115"/>
      <c r="J1278" s="115"/>
      <c r="K1278" s="115"/>
      <c r="L1278" s="115"/>
      <c r="O1278" s="116"/>
      <c r="Q1278" s="116"/>
      <c r="T1278" s="114"/>
      <c r="Y1278" s="118"/>
      <c r="Z1278" s="29"/>
      <c r="AA1278" s="29"/>
      <c r="AB1278" s="29"/>
      <c r="AC1278" s="29"/>
      <c r="AD1278" s="29"/>
      <c r="AE1278" s="29"/>
      <c r="AF1278" s="29"/>
      <c r="AG1278" s="29"/>
      <c r="AH1278" s="123"/>
      <c r="AI1278" s="32"/>
      <c r="AJ1278" s="32"/>
      <c r="AK1278" s="32"/>
      <c r="AL1278" s="32"/>
      <c r="AM1278" s="32"/>
      <c r="AN1278" s="32"/>
      <c r="AO1278" s="32"/>
      <c r="AP1278" s="29"/>
    </row>
    <row r="1279">
      <c r="A1279" s="115"/>
      <c r="B1279" s="116"/>
      <c r="C1279" s="115"/>
      <c r="D1279" s="115"/>
      <c r="E1279" s="115"/>
      <c r="F1279" s="115"/>
      <c r="G1279" s="115"/>
      <c r="H1279" s="115"/>
      <c r="I1279" s="115"/>
      <c r="J1279" s="115"/>
      <c r="K1279" s="115"/>
      <c r="L1279" s="115"/>
      <c r="O1279" s="116"/>
      <c r="Q1279" s="116"/>
      <c r="T1279" s="114"/>
      <c r="Y1279" s="118"/>
      <c r="Z1279" s="29"/>
      <c r="AA1279" s="29"/>
      <c r="AB1279" s="29"/>
      <c r="AC1279" s="29"/>
      <c r="AD1279" s="29"/>
      <c r="AE1279" s="29"/>
      <c r="AF1279" s="29"/>
      <c r="AG1279" s="29"/>
      <c r="AH1279" s="123"/>
      <c r="AI1279" s="32"/>
      <c r="AJ1279" s="32"/>
      <c r="AK1279" s="32"/>
      <c r="AL1279" s="32"/>
      <c r="AM1279" s="32"/>
      <c r="AN1279" s="32"/>
      <c r="AO1279" s="32"/>
      <c r="AP1279" s="29"/>
    </row>
    <row r="1280">
      <c r="A1280" s="115"/>
      <c r="B1280" s="116"/>
      <c r="C1280" s="115"/>
      <c r="D1280" s="115"/>
      <c r="E1280" s="115"/>
      <c r="F1280" s="115"/>
      <c r="G1280" s="115"/>
      <c r="H1280" s="115"/>
      <c r="I1280" s="115"/>
      <c r="J1280" s="115"/>
      <c r="K1280" s="115"/>
      <c r="L1280" s="115"/>
      <c r="O1280" s="116"/>
      <c r="Q1280" s="116"/>
      <c r="T1280" s="114"/>
      <c r="Y1280" s="118"/>
      <c r="Z1280" s="29"/>
      <c r="AA1280" s="29"/>
      <c r="AB1280" s="29"/>
      <c r="AC1280" s="29"/>
      <c r="AD1280" s="29"/>
      <c r="AE1280" s="29"/>
      <c r="AF1280" s="29"/>
      <c r="AG1280" s="29"/>
      <c r="AH1280" s="123"/>
      <c r="AI1280" s="32"/>
      <c r="AJ1280" s="32"/>
      <c r="AK1280" s="32"/>
      <c r="AL1280" s="32"/>
      <c r="AM1280" s="32"/>
      <c r="AN1280" s="32"/>
      <c r="AO1280" s="32"/>
      <c r="AP1280" s="29"/>
    </row>
    <row r="1281">
      <c r="A1281" s="115"/>
      <c r="B1281" s="116"/>
      <c r="C1281" s="115"/>
      <c r="D1281" s="115"/>
      <c r="E1281" s="115"/>
      <c r="F1281" s="115"/>
      <c r="G1281" s="115"/>
      <c r="H1281" s="115"/>
      <c r="I1281" s="115"/>
      <c r="J1281" s="115"/>
      <c r="K1281" s="115"/>
      <c r="L1281" s="115"/>
      <c r="O1281" s="116"/>
      <c r="Q1281" s="116"/>
      <c r="T1281" s="114"/>
      <c r="Y1281" s="118"/>
      <c r="Z1281" s="29"/>
      <c r="AA1281" s="29"/>
      <c r="AB1281" s="29"/>
      <c r="AC1281" s="29"/>
      <c r="AD1281" s="29"/>
      <c r="AE1281" s="29"/>
      <c r="AF1281" s="29"/>
      <c r="AG1281" s="29"/>
      <c r="AH1281" s="123"/>
      <c r="AI1281" s="32"/>
      <c r="AJ1281" s="32"/>
      <c r="AK1281" s="32"/>
      <c r="AL1281" s="32"/>
      <c r="AM1281" s="32"/>
      <c r="AN1281" s="32"/>
      <c r="AO1281" s="32"/>
      <c r="AP1281" s="29"/>
    </row>
    <row r="1282">
      <c r="A1282" s="115"/>
      <c r="B1282" s="116"/>
      <c r="C1282" s="115"/>
      <c r="D1282" s="115"/>
      <c r="E1282" s="115"/>
      <c r="F1282" s="115"/>
      <c r="G1282" s="115"/>
      <c r="H1282" s="115"/>
      <c r="I1282" s="115"/>
      <c r="J1282" s="115"/>
      <c r="K1282" s="115"/>
      <c r="L1282" s="115"/>
      <c r="O1282" s="116"/>
      <c r="Q1282" s="116"/>
      <c r="T1282" s="114"/>
      <c r="Y1282" s="118"/>
      <c r="Z1282" s="29"/>
      <c r="AA1282" s="29"/>
      <c r="AB1282" s="29"/>
      <c r="AC1282" s="29"/>
      <c r="AD1282" s="29"/>
      <c r="AE1282" s="29"/>
      <c r="AF1282" s="29"/>
      <c r="AG1282" s="29"/>
      <c r="AH1282" s="123"/>
      <c r="AI1282" s="32"/>
      <c r="AJ1282" s="32"/>
      <c r="AK1282" s="32"/>
      <c r="AL1282" s="32"/>
      <c r="AM1282" s="32"/>
      <c r="AN1282" s="32"/>
      <c r="AO1282" s="32"/>
      <c r="AP1282" s="29"/>
    </row>
    <row r="1283">
      <c r="A1283" s="115"/>
      <c r="B1283" s="116"/>
      <c r="C1283" s="115"/>
      <c r="D1283" s="115"/>
      <c r="E1283" s="115"/>
      <c r="F1283" s="115"/>
      <c r="G1283" s="115"/>
      <c r="H1283" s="115"/>
      <c r="I1283" s="115"/>
      <c r="J1283" s="115"/>
      <c r="K1283" s="115"/>
      <c r="L1283" s="115"/>
      <c r="O1283" s="116"/>
      <c r="Q1283" s="116"/>
      <c r="T1283" s="114"/>
      <c r="Y1283" s="118"/>
      <c r="Z1283" s="29"/>
      <c r="AA1283" s="29"/>
      <c r="AB1283" s="29"/>
      <c r="AC1283" s="29"/>
      <c r="AD1283" s="29"/>
      <c r="AE1283" s="29"/>
      <c r="AF1283" s="29"/>
      <c r="AG1283" s="29"/>
      <c r="AH1283" s="123"/>
      <c r="AI1283" s="32"/>
      <c r="AJ1283" s="32"/>
      <c r="AK1283" s="32"/>
      <c r="AL1283" s="32"/>
      <c r="AM1283" s="32"/>
      <c r="AN1283" s="32"/>
      <c r="AO1283" s="32"/>
      <c r="AP1283" s="29"/>
    </row>
    <row r="1284">
      <c r="A1284" s="115"/>
      <c r="B1284" s="116"/>
      <c r="C1284" s="115"/>
      <c r="D1284" s="115"/>
      <c r="E1284" s="115"/>
      <c r="F1284" s="115"/>
      <c r="G1284" s="115"/>
      <c r="H1284" s="115"/>
      <c r="I1284" s="115"/>
      <c r="J1284" s="115"/>
      <c r="K1284" s="115"/>
      <c r="L1284" s="115"/>
      <c r="O1284" s="116"/>
      <c r="Q1284" s="116"/>
      <c r="T1284" s="114"/>
      <c r="Y1284" s="118"/>
      <c r="Z1284" s="29"/>
      <c r="AA1284" s="29"/>
      <c r="AB1284" s="29"/>
      <c r="AC1284" s="29"/>
      <c r="AD1284" s="29"/>
      <c r="AE1284" s="29"/>
      <c r="AF1284" s="29"/>
      <c r="AG1284" s="29"/>
      <c r="AH1284" s="123"/>
      <c r="AI1284" s="32"/>
      <c r="AJ1284" s="32"/>
      <c r="AK1284" s="32"/>
      <c r="AL1284" s="32"/>
      <c r="AM1284" s="32"/>
      <c r="AN1284" s="32"/>
      <c r="AO1284" s="32"/>
      <c r="AP1284" s="29"/>
    </row>
    <row r="1285">
      <c r="A1285" s="115"/>
      <c r="B1285" s="116"/>
      <c r="C1285" s="115"/>
      <c r="D1285" s="115"/>
      <c r="E1285" s="115"/>
      <c r="F1285" s="115"/>
      <c r="G1285" s="115"/>
      <c r="H1285" s="115"/>
      <c r="I1285" s="115"/>
      <c r="J1285" s="115"/>
      <c r="K1285" s="115"/>
      <c r="L1285" s="115"/>
      <c r="O1285" s="116"/>
      <c r="Q1285" s="116"/>
      <c r="T1285" s="114"/>
      <c r="Y1285" s="118"/>
      <c r="Z1285" s="29"/>
      <c r="AA1285" s="29"/>
      <c r="AB1285" s="29"/>
      <c r="AC1285" s="29"/>
      <c r="AD1285" s="29"/>
      <c r="AE1285" s="29"/>
      <c r="AF1285" s="29"/>
      <c r="AG1285" s="29"/>
      <c r="AH1285" s="123"/>
      <c r="AI1285" s="32"/>
      <c r="AJ1285" s="32"/>
      <c r="AK1285" s="32"/>
      <c r="AL1285" s="32"/>
      <c r="AM1285" s="32"/>
      <c r="AN1285" s="32"/>
      <c r="AO1285" s="32"/>
      <c r="AP1285" s="29"/>
    </row>
    <row r="1286">
      <c r="A1286" s="115"/>
      <c r="B1286" s="116"/>
      <c r="C1286" s="115"/>
      <c r="D1286" s="115"/>
      <c r="E1286" s="115"/>
      <c r="F1286" s="115"/>
      <c r="G1286" s="115"/>
      <c r="H1286" s="115"/>
      <c r="I1286" s="115"/>
      <c r="J1286" s="115"/>
      <c r="K1286" s="115"/>
      <c r="L1286" s="115"/>
      <c r="O1286" s="116"/>
      <c r="Q1286" s="116"/>
      <c r="T1286" s="114"/>
      <c r="Y1286" s="118"/>
      <c r="Z1286" s="29"/>
      <c r="AA1286" s="29"/>
      <c r="AB1286" s="29"/>
      <c r="AC1286" s="29"/>
      <c r="AD1286" s="29"/>
      <c r="AE1286" s="29"/>
      <c r="AF1286" s="29"/>
      <c r="AG1286" s="29"/>
      <c r="AH1286" s="123"/>
      <c r="AI1286" s="32"/>
      <c r="AJ1286" s="32"/>
      <c r="AK1286" s="32"/>
      <c r="AL1286" s="32"/>
      <c r="AM1286" s="32"/>
      <c r="AN1286" s="32"/>
      <c r="AO1286" s="32"/>
      <c r="AP1286" s="29"/>
    </row>
    <row r="1287">
      <c r="A1287" s="115"/>
      <c r="B1287" s="116"/>
      <c r="C1287" s="115"/>
      <c r="D1287" s="115"/>
      <c r="E1287" s="115"/>
      <c r="F1287" s="115"/>
      <c r="G1287" s="115"/>
      <c r="H1287" s="115"/>
      <c r="I1287" s="115"/>
      <c r="J1287" s="115"/>
      <c r="K1287" s="115"/>
      <c r="L1287" s="115"/>
      <c r="O1287" s="116"/>
      <c r="Q1287" s="116"/>
      <c r="T1287" s="114"/>
      <c r="Y1287" s="118"/>
      <c r="Z1287" s="29"/>
      <c r="AA1287" s="29"/>
      <c r="AB1287" s="29"/>
      <c r="AC1287" s="29"/>
      <c r="AD1287" s="29"/>
      <c r="AE1287" s="29"/>
      <c r="AF1287" s="29"/>
      <c r="AG1287" s="29"/>
      <c r="AH1287" s="123"/>
      <c r="AI1287" s="32"/>
      <c r="AJ1287" s="32"/>
      <c r="AK1287" s="32"/>
      <c r="AL1287" s="32"/>
      <c r="AM1287" s="32"/>
      <c r="AN1287" s="32"/>
      <c r="AO1287" s="32"/>
      <c r="AP1287" s="29"/>
    </row>
    <row r="1288">
      <c r="A1288" s="115"/>
      <c r="B1288" s="116"/>
      <c r="C1288" s="115"/>
      <c r="D1288" s="115"/>
      <c r="E1288" s="115"/>
      <c r="F1288" s="115"/>
      <c r="G1288" s="115"/>
      <c r="H1288" s="115"/>
      <c r="I1288" s="115"/>
      <c r="J1288" s="115"/>
      <c r="K1288" s="115"/>
      <c r="L1288" s="115"/>
      <c r="O1288" s="116"/>
      <c r="Q1288" s="116"/>
      <c r="T1288" s="114"/>
      <c r="Y1288" s="118"/>
      <c r="Z1288" s="29"/>
      <c r="AA1288" s="29"/>
      <c r="AB1288" s="29"/>
      <c r="AC1288" s="29"/>
      <c r="AD1288" s="29"/>
      <c r="AE1288" s="29"/>
      <c r="AF1288" s="29"/>
      <c r="AG1288" s="29"/>
      <c r="AH1288" s="123"/>
      <c r="AI1288" s="32"/>
      <c r="AJ1288" s="32"/>
      <c r="AK1288" s="32"/>
      <c r="AL1288" s="32"/>
      <c r="AM1288" s="32"/>
      <c r="AN1288" s="32"/>
      <c r="AO1288" s="32"/>
      <c r="AP1288" s="29"/>
    </row>
    <row r="1289">
      <c r="A1289" s="115"/>
      <c r="B1289" s="116"/>
      <c r="C1289" s="115"/>
      <c r="D1289" s="115"/>
      <c r="E1289" s="115"/>
      <c r="F1289" s="115"/>
      <c r="G1289" s="115"/>
      <c r="H1289" s="115"/>
      <c r="I1289" s="115"/>
      <c r="J1289" s="115"/>
      <c r="K1289" s="115"/>
      <c r="L1289" s="115"/>
      <c r="O1289" s="116"/>
      <c r="Q1289" s="116"/>
      <c r="T1289" s="114"/>
      <c r="Y1289" s="118"/>
      <c r="Z1289" s="29"/>
      <c r="AA1289" s="29"/>
      <c r="AB1289" s="29"/>
      <c r="AC1289" s="29"/>
      <c r="AD1289" s="29"/>
      <c r="AE1289" s="29"/>
      <c r="AF1289" s="29"/>
      <c r="AG1289" s="29"/>
      <c r="AH1289" s="123"/>
      <c r="AI1289" s="32"/>
      <c r="AJ1289" s="32"/>
      <c r="AK1289" s="32"/>
      <c r="AL1289" s="32"/>
      <c r="AM1289" s="32"/>
      <c r="AN1289" s="32"/>
      <c r="AO1289" s="32"/>
      <c r="AP1289" s="29"/>
    </row>
    <row r="1290">
      <c r="A1290" s="115"/>
      <c r="B1290" s="116"/>
      <c r="C1290" s="115"/>
      <c r="D1290" s="115"/>
      <c r="E1290" s="115"/>
      <c r="F1290" s="115"/>
      <c r="G1290" s="115"/>
      <c r="H1290" s="115"/>
      <c r="I1290" s="115"/>
      <c r="J1290" s="115"/>
      <c r="K1290" s="115"/>
      <c r="L1290" s="115"/>
      <c r="O1290" s="116"/>
      <c r="Q1290" s="116"/>
      <c r="T1290" s="114"/>
      <c r="Y1290" s="118"/>
      <c r="Z1290" s="29"/>
      <c r="AA1290" s="29"/>
      <c r="AB1290" s="29"/>
      <c r="AC1290" s="29"/>
      <c r="AD1290" s="29"/>
      <c r="AE1290" s="29"/>
      <c r="AF1290" s="29"/>
      <c r="AG1290" s="29"/>
      <c r="AH1290" s="123"/>
      <c r="AI1290" s="32"/>
      <c r="AJ1290" s="32"/>
      <c r="AK1290" s="32"/>
      <c r="AL1290" s="32"/>
      <c r="AM1290" s="32"/>
      <c r="AN1290" s="32"/>
      <c r="AO1290" s="32"/>
      <c r="AP1290" s="29"/>
    </row>
    <row r="1291">
      <c r="A1291" s="115"/>
      <c r="B1291" s="116"/>
      <c r="C1291" s="115"/>
      <c r="D1291" s="115"/>
      <c r="E1291" s="115"/>
      <c r="F1291" s="115"/>
      <c r="G1291" s="115"/>
      <c r="H1291" s="115"/>
      <c r="I1291" s="115"/>
      <c r="J1291" s="115"/>
      <c r="K1291" s="115"/>
      <c r="L1291" s="115"/>
      <c r="O1291" s="116"/>
      <c r="Q1291" s="116"/>
      <c r="T1291" s="114"/>
      <c r="Y1291" s="118"/>
      <c r="Z1291" s="29"/>
      <c r="AA1291" s="29"/>
      <c r="AB1291" s="29"/>
      <c r="AC1291" s="29"/>
      <c r="AD1291" s="29"/>
      <c r="AE1291" s="29"/>
      <c r="AF1291" s="29"/>
      <c r="AG1291" s="29"/>
      <c r="AH1291" s="123"/>
      <c r="AI1291" s="32"/>
      <c r="AJ1291" s="32"/>
      <c r="AK1291" s="32"/>
      <c r="AL1291" s="32"/>
      <c r="AM1291" s="32"/>
      <c r="AN1291" s="32"/>
      <c r="AO1291" s="32"/>
      <c r="AP1291" s="29"/>
    </row>
    <row r="1292">
      <c r="A1292" s="115"/>
      <c r="B1292" s="116"/>
      <c r="C1292" s="115"/>
      <c r="D1292" s="115"/>
      <c r="E1292" s="115"/>
      <c r="F1292" s="115"/>
      <c r="G1292" s="115"/>
      <c r="H1292" s="115"/>
      <c r="I1292" s="115"/>
      <c r="J1292" s="115"/>
      <c r="K1292" s="115"/>
      <c r="L1292" s="115"/>
      <c r="O1292" s="116"/>
      <c r="Q1292" s="116"/>
      <c r="T1292" s="114"/>
      <c r="Y1292" s="118"/>
      <c r="Z1292" s="29"/>
      <c r="AA1292" s="29"/>
      <c r="AB1292" s="29"/>
      <c r="AC1292" s="29"/>
      <c r="AD1292" s="29"/>
      <c r="AE1292" s="29"/>
      <c r="AF1292" s="29"/>
      <c r="AG1292" s="29"/>
      <c r="AH1292" s="123"/>
      <c r="AI1292" s="32"/>
      <c r="AJ1292" s="32"/>
      <c r="AK1292" s="32"/>
      <c r="AL1292" s="32"/>
      <c r="AM1292" s="32"/>
      <c r="AN1292" s="32"/>
      <c r="AO1292" s="32"/>
      <c r="AP1292" s="29"/>
    </row>
    <row r="1293">
      <c r="A1293" s="115"/>
      <c r="B1293" s="116"/>
      <c r="C1293" s="115"/>
      <c r="D1293" s="115"/>
      <c r="E1293" s="115"/>
      <c r="F1293" s="115"/>
      <c r="G1293" s="115"/>
      <c r="H1293" s="115"/>
      <c r="I1293" s="115"/>
      <c r="J1293" s="115"/>
      <c r="K1293" s="115"/>
      <c r="L1293" s="115"/>
      <c r="O1293" s="116"/>
      <c r="Q1293" s="116"/>
      <c r="T1293" s="114"/>
      <c r="Y1293" s="118"/>
      <c r="Z1293" s="29"/>
      <c r="AA1293" s="29"/>
      <c r="AB1293" s="29"/>
      <c r="AC1293" s="29"/>
      <c r="AD1293" s="29"/>
      <c r="AE1293" s="29"/>
      <c r="AF1293" s="29"/>
      <c r="AG1293" s="29"/>
      <c r="AH1293" s="123"/>
      <c r="AI1293" s="32"/>
      <c r="AJ1293" s="32"/>
      <c r="AK1293" s="32"/>
      <c r="AL1293" s="32"/>
      <c r="AM1293" s="32"/>
      <c r="AN1293" s="32"/>
      <c r="AO1293" s="32"/>
      <c r="AP1293" s="29"/>
    </row>
    <row r="1294">
      <c r="A1294" s="115"/>
      <c r="B1294" s="116"/>
      <c r="C1294" s="115"/>
      <c r="D1294" s="115"/>
      <c r="E1294" s="115"/>
      <c r="F1294" s="115"/>
      <c r="G1294" s="115"/>
      <c r="H1294" s="115"/>
      <c r="I1294" s="115"/>
      <c r="J1294" s="115"/>
      <c r="K1294" s="115"/>
      <c r="L1294" s="115"/>
      <c r="O1294" s="116"/>
      <c r="Q1294" s="116"/>
      <c r="T1294" s="114"/>
      <c r="Y1294" s="118"/>
      <c r="Z1294" s="29"/>
      <c r="AA1294" s="29"/>
      <c r="AB1294" s="29"/>
      <c r="AC1294" s="29"/>
      <c r="AD1294" s="29"/>
      <c r="AE1294" s="29"/>
      <c r="AF1294" s="29"/>
      <c r="AG1294" s="29"/>
      <c r="AH1294" s="123"/>
      <c r="AI1294" s="32"/>
      <c r="AJ1294" s="32"/>
      <c r="AK1294" s="32"/>
      <c r="AL1294" s="32"/>
      <c r="AM1294" s="32"/>
      <c r="AN1294" s="32"/>
      <c r="AO1294" s="32"/>
      <c r="AP1294" s="29"/>
    </row>
    <row r="1295">
      <c r="A1295" s="115"/>
      <c r="B1295" s="116"/>
      <c r="C1295" s="115"/>
      <c r="D1295" s="115"/>
      <c r="E1295" s="115"/>
      <c r="F1295" s="115"/>
      <c r="G1295" s="115"/>
      <c r="H1295" s="115"/>
      <c r="I1295" s="115"/>
      <c r="J1295" s="115"/>
      <c r="K1295" s="115"/>
      <c r="L1295" s="115"/>
      <c r="O1295" s="116"/>
      <c r="Q1295" s="116"/>
      <c r="T1295" s="114"/>
      <c r="Y1295" s="118"/>
      <c r="Z1295" s="29"/>
      <c r="AA1295" s="29"/>
      <c r="AB1295" s="29"/>
      <c r="AC1295" s="29"/>
      <c r="AD1295" s="29"/>
      <c r="AE1295" s="29"/>
      <c r="AF1295" s="29"/>
      <c r="AG1295" s="29"/>
      <c r="AH1295" s="123"/>
      <c r="AI1295" s="32"/>
      <c r="AJ1295" s="32"/>
      <c r="AK1295" s="32"/>
      <c r="AL1295" s="32"/>
      <c r="AM1295" s="32"/>
      <c r="AN1295" s="32"/>
      <c r="AO1295" s="32"/>
      <c r="AP1295" s="29"/>
    </row>
    <row r="1296">
      <c r="A1296" s="115"/>
      <c r="B1296" s="116"/>
      <c r="C1296" s="115"/>
      <c r="D1296" s="115"/>
      <c r="E1296" s="115"/>
      <c r="F1296" s="115"/>
      <c r="G1296" s="115"/>
      <c r="H1296" s="115"/>
      <c r="I1296" s="115"/>
      <c r="J1296" s="115"/>
      <c r="K1296" s="115"/>
      <c r="L1296" s="115"/>
      <c r="O1296" s="116"/>
      <c r="Q1296" s="116"/>
      <c r="T1296" s="114"/>
      <c r="Y1296" s="118"/>
      <c r="Z1296" s="29"/>
      <c r="AA1296" s="29"/>
      <c r="AB1296" s="29"/>
      <c r="AC1296" s="29"/>
      <c r="AD1296" s="29"/>
      <c r="AE1296" s="29"/>
      <c r="AF1296" s="29"/>
      <c r="AG1296" s="29"/>
      <c r="AH1296" s="123"/>
      <c r="AI1296" s="32"/>
      <c r="AJ1296" s="32"/>
      <c r="AK1296" s="32"/>
      <c r="AL1296" s="32"/>
      <c r="AM1296" s="32"/>
      <c r="AN1296" s="32"/>
      <c r="AO1296" s="32"/>
      <c r="AP1296" s="29"/>
    </row>
    <row r="1297">
      <c r="A1297" s="115"/>
      <c r="B1297" s="116"/>
      <c r="C1297" s="115"/>
      <c r="D1297" s="115"/>
      <c r="E1297" s="115"/>
      <c r="F1297" s="115"/>
      <c r="G1297" s="115"/>
      <c r="H1297" s="115"/>
      <c r="I1297" s="115"/>
      <c r="J1297" s="115"/>
      <c r="K1297" s="115"/>
      <c r="L1297" s="115"/>
      <c r="O1297" s="116"/>
      <c r="Q1297" s="116"/>
      <c r="T1297" s="114"/>
      <c r="Y1297" s="118"/>
      <c r="Z1297" s="29"/>
      <c r="AA1297" s="29"/>
      <c r="AB1297" s="29"/>
      <c r="AC1297" s="29"/>
      <c r="AD1297" s="29"/>
      <c r="AE1297" s="29"/>
      <c r="AF1297" s="29"/>
      <c r="AG1297" s="29"/>
      <c r="AH1297" s="123"/>
      <c r="AI1297" s="32"/>
      <c r="AJ1297" s="32"/>
      <c r="AK1297" s="32"/>
      <c r="AL1297" s="32"/>
      <c r="AM1297" s="32"/>
      <c r="AN1297" s="32"/>
      <c r="AO1297" s="32"/>
      <c r="AP1297" s="29"/>
    </row>
    <row r="1298">
      <c r="A1298" s="115"/>
      <c r="B1298" s="116"/>
      <c r="C1298" s="115"/>
      <c r="D1298" s="115"/>
      <c r="E1298" s="115"/>
      <c r="F1298" s="115"/>
      <c r="G1298" s="115"/>
      <c r="H1298" s="115"/>
      <c r="I1298" s="115"/>
      <c r="J1298" s="115"/>
      <c r="K1298" s="115"/>
      <c r="L1298" s="115"/>
      <c r="O1298" s="116"/>
      <c r="Q1298" s="116"/>
      <c r="T1298" s="114"/>
      <c r="Y1298" s="118"/>
      <c r="Z1298" s="29"/>
      <c r="AA1298" s="29"/>
      <c r="AB1298" s="29"/>
      <c r="AC1298" s="29"/>
      <c r="AD1298" s="29"/>
      <c r="AE1298" s="29"/>
      <c r="AF1298" s="29"/>
      <c r="AG1298" s="29"/>
      <c r="AH1298" s="123"/>
      <c r="AI1298" s="32"/>
      <c r="AJ1298" s="32"/>
      <c r="AK1298" s="32"/>
      <c r="AL1298" s="32"/>
      <c r="AM1298" s="32"/>
      <c r="AN1298" s="32"/>
      <c r="AO1298" s="32"/>
      <c r="AP1298" s="29"/>
    </row>
    <row r="1299">
      <c r="A1299" s="115"/>
      <c r="B1299" s="116"/>
      <c r="C1299" s="115"/>
      <c r="D1299" s="115"/>
      <c r="E1299" s="115"/>
      <c r="F1299" s="115"/>
      <c r="G1299" s="115"/>
      <c r="H1299" s="115"/>
      <c r="I1299" s="115"/>
      <c r="J1299" s="115"/>
      <c r="K1299" s="115"/>
      <c r="L1299" s="115"/>
      <c r="O1299" s="116"/>
      <c r="Q1299" s="116"/>
      <c r="T1299" s="114"/>
      <c r="Y1299" s="118"/>
      <c r="Z1299" s="29"/>
      <c r="AA1299" s="29"/>
      <c r="AB1299" s="29"/>
      <c r="AC1299" s="29"/>
      <c r="AD1299" s="29"/>
      <c r="AE1299" s="29"/>
      <c r="AF1299" s="29"/>
      <c r="AG1299" s="29"/>
      <c r="AH1299" s="123"/>
      <c r="AI1299" s="32"/>
      <c r="AJ1299" s="32"/>
      <c r="AK1299" s="32"/>
      <c r="AL1299" s="32"/>
      <c r="AM1299" s="32"/>
      <c r="AN1299" s="32"/>
      <c r="AO1299" s="32"/>
      <c r="AP1299" s="29"/>
    </row>
    <row r="1300">
      <c r="A1300" s="115"/>
      <c r="B1300" s="116"/>
      <c r="C1300" s="115"/>
      <c r="D1300" s="115"/>
      <c r="E1300" s="115"/>
      <c r="F1300" s="115"/>
      <c r="G1300" s="115"/>
      <c r="H1300" s="115"/>
      <c r="I1300" s="115"/>
      <c r="J1300" s="115"/>
      <c r="K1300" s="115"/>
      <c r="L1300" s="115"/>
      <c r="O1300" s="116"/>
      <c r="Q1300" s="116"/>
      <c r="T1300" s="114"/>
      <c r="Y1300" s="118"/>
      <c r="Z1300" s="29"/>
      <c r="AA1300" s="29"/>
      <c r="AB1300" s="29"/>
      <c r="AC1300" s="29"/>
      <c r="AD1300" s="29"/>
      <c r="AE1300" s="29"/>
      <c r="AF1300" s="29"/>
      <c r="AG1300" s="29"/>
      <c r="AH1300" s="123"/>
      <c r="AI1300" s="32"/>
      <c r="AJ1300" s="32"/>
      <c r="AK1300" s="32"/>
      <c r="AL1300" s="32"/>
      <c r="AM1300" s="32"/>
      <c r="AN1300" s="32"/>
      <c r="AO1300" s="32"/>
      <c r="AP1300" s="29"/>
    </row>
    <row r="1301">
      <c r="A1301" s="115"/>
      <c r="B1301" s="116"/>
      <c r="C1301" s="115"/>
      <c r="D1301" s="115"/>
      <c r="E1301" s="115"/>
      <c r="F1301" s="115"/>
      <c r="G1301" s="115"/>
      <c r="H1301" s="115"/>
      <c r="I1301" s="115"/>
      <c r="J1301" s="115"/>
      <c r="K1301" s="115"/>
      <c r="L1301" s="115"/>
      <c r="O1301" s="116"/>
      <c r="Q1301" s="116"/>
      <c r="T1301" s="114"/>
      <c r="Y1301" s="118"/>
      <c r="Z1301" s="29"/>
      <c r="AA1301" s="29"/>
      <c r="AB1301" s="29"/>
      <c r="AC1301" s="29"/>
      <c r="AD1301" s="29"/>
      <c r="AE1301" s="29"/>
      <c r="AF1301" s="29"/>
      <c r="AG1301" s="29"/>
      <c r="AH1301" s="123"/>
      <c r="AI1301" s="32"/>
      <c r="AJ1301" s="32"/>
      <c r="AK1301" s="32"/>
      <c r="AL1301" s="32"/>
      <c r="AM1301" s="32"/>
      <c r="AN1301" s="32"/>
      <c r="AO1301" s="32"/>
      <c r="AP1301" s="29"/>
    </row>
    <row r="1302">
      <c r="A1302" s="115"/>
      <c r="B1302" s="116"/>
      <c r="C1302" s="115"/>
      <c r="D1302" s="115"/>
      <c r="E1302" s="115"/>
      <c r="F1302" s="115"/>
      <c r="G1302" s="115"/>
      <c r="H1302" s="115"/>
      <c r="I1302" s="115"/>
      <c r="J1302" s="115"/>
      <c r="K1302" s="115"/>
      <c r="L1302" s="115"/>
      <c r="O1302" s="116"/>
      <c r="Q1302" s="116"/>
      <c r="T1302" s="114"/>
      <c r="Y1302" s="118"/>
      <c r="Z1302" s="29"/>
      <c r="AA1302" s="29"/>
      <c r="AB1302" s="29"/>
      <c r="AC1302" s="29"/>
      <c r="AD1302" s="29"/>
      <c r="AE1302" s="29"/>
      <c r="AF1302" s="29"/>
      <c r="AG1302" s="29"/>
      <c r="AH1302" s="123"/>
      <c r="AI1302" s="32"/>
      <c r="AJ1302" s="32"/>
      <c r="AK1302" s="32"/>
      <c r="AL1302" s="32"/>
      <c r="AM1302" s="32"/>
      <c r="AN1302" s="32"/>
      <c r="AO1302" s="32"/>
      <c r="AP1302" s="29"/>
    </row>
    <row r="1303">
      <c r="A1303" s="115"/>
      <c r="B1303" s="116"/>
      <c r="C1303" s="115"/>
      <c r="D1303" s="115"/>
      <c r="E1303" s="115"/>
      <c r="F1303" s="115"/>
      <c r="G1303" s="115"/>
      <c r="H1303" s="115"/>
      <c r="I1303" s="115"/>
      <c r="J1303" s="115"/>
      <c r="K1303" s="115"/>
      <c r="L1303" s="115"/>
      <c r="O1303" s="116"/>
      <c r="Q1303" s="116"/>
      <c r="T1303" s="114"/>
      <c r="Y1303" s="118"/>
      <c r="Z1303" s="29"/>
      <c r="AA1303" s="29"/>
      <c r="AB1303" s="29"/>
      <c r="AC1303" s="29"/>
      <c r="AD1303" s="29"/>
      <c r="AE1303" s="29"/>
      <c r="AF1303" s="29"/>
      <c r="AG1303" s="29"/>
      <c r="AH1303" s="123"/>
      <c r="AI1303" s="32"/>
      <c r="AJ1303" s="32"/>
      <c r="AK1303" s="32"/>
      <c r="AL1303" s="32"/>
      <c r="AM1303" s="32"/>
      <c r="AN1303" s="32"/>
      <c r="AO1303" s="32"/>
      <c r="AP1303" s="29"/>
    </row>
    <row r="1304">
      <c r="A1304" s="115"/>
      <c r="B1304" s="116"/>
      <c r="C1304" s="115"/>
      <c r="D1304" s="115"/>
      <c r="E1304" s="115"/>
      <c r="F1304" s="115"/>
      <c r="G1304" s="115"/>
      <c r="H1304" s="115"/>
      <c r="I1304" s="115"/>
      <c r="J1304" s="115"/>
      <c r="K1304" s="115"/>
      <c r="L1304" s="115"/>
      <c r="O1304" s="116"/>
      <c r="Q1304" s="116"/>
      <c r="T1304" s="114"/>
      <c r="Y1304" s="118"/>
      <c r="Z1304" s="29"/>
      <c r="AA1304" s="29"/>
      <c r="AB1304" s="29"/>
      <c r="AC1304" s="29"/>
      <c r="AD1304" s="29"/>
      <c r="AE1304" s="29"/>
      <c r="AF1304" s="29"/>
      <c r="AG1304" s="29"/>
      <c r="AH1304" s="123"/>
      <c r="AI1304" s="32"/>
      <c r="AJ1304" s="32"/>
      <c r="AK1304" s="32"/>
      <c r="AL1304" s="32"/>
      <c r="AM1304" s="32"/>
      <c r="AN1304" s="32"/>
      <c r="AO1304" s="32"/>
      <c r="AP1304" s="29"/>
    </row>
    <row r="1305">
      <c r="A1305" s="115"/>
      <c r="B1305" s="116"/>
      <c r="C1305" s="115"/>
      <c r="D1305" s="115"/>
      <c r="E1305" s="115"/>
      <c r="F1305" s="115"/>
      <c r="G1305" s="115"/>
      <c r="H1305" s="115"/>
      <c r="I1305" s="115"/>
      <c r="J1305" s="115"/>
      <c r="K1305" s="115"/>
      <c r="L1305" s="115"/>
      <c r="O1305" s="116"/>
      <c r="Q1305" s="116"/>
      <c r="T1305" s="114"/>
      <c r="Y1305" s="118"/>
      <c r="Z1305" s="29"/>
      <c r="AA1305" s="29"/>
      <c r="AB1305" s="29"/>
      <c r="AC1305" s="29"/>
      <c r="AD1305" s="29"/>
      <c r="AE1305" s="29"/>
      <c r="AF1305" s="29"/>
      <c r="AG1305" s="29"/>
      <c r="AH1305" s="123"/>
      <c r="AI1305" s="32"/>
      <c r="AJ1305" s="32"/>
      <c r="AK1305" s="32"/>
      <c r="AL1305" s="32"/>
      <c r="AM1305" s="32"/>
      <c r="AN1305" s="32"/>
      <c r="AO1305" s="32"/>
      <c r="AP1305" s="29"/>
    </row>
    <row r="1306">
      <c r="A1306" s="115"/>
      <c r="B1306" s="116"/>
      <c r="C1306" s="115"/>
      <c r="D1306" s="115"/>
      <c r="E1306" s="115"/>
      <c r="F1306" s="115"/>
      <c r="G1306" s="115"/>
      <c r="H1306" s="115"/>
      <c r="I1306" s="115"/>
      <c r="J1306" s="115"/>
      <c r="K1306" s="115"/>
      <c r="L1306" s="115"/>
      <c r="O1306" s="116"/>
      <c r="Q1306" s="116"/>
      <c r="T1306" s="114"/>
      <c r="Y1306" s="118"/>
      <c r="Z1306" s="29"/>
      <c r="AA1306" s="29"/>
      <c r="AB1306" s="29"/>
      <c r="AC1306" s="29"/>
      <c r="AD1306" s="29"/>
      <c r="AE1306" s="29"/>
      <c r="AF1306" s="29"/>
      <c r="AG1306" s="29"/>
      <c r="AH1306" s="123"/>
      <c r="AI1306" s="32"/>
      <c r="AJ1306" s="32"/>
      <c r="AK1306" s="32"/>
      <c r="AL1306" s="32"/>
      <c r="AM1306" s="32"/>
      <c r="AN1306" s="32"/>
      <c r="AO1306" s="32"/>
      <c r="AP1306" s="29"/>
    </row>
    <row r="1307">
      <c r="A1307" s="115"/>
      <c r="B1307" s="116"/>
      <c r="C1307" s="115"/>
      <c r="D1307" s="115"/>
      <c r="E1307" s="115"/>
      <c r="F1307" s="115"/>
      <c r="G1307" s="115"/>
      <c r="H1307" s="115"/>
      <c r="I1307" s="115"/>
      <c r="J1307" s="115"/>
      <c r="K1307" s="115"/>
      <c r="L1307" s="115"/>
      <c r="O1307" s="116"/>
      <c r="Q1307" s="116"/>
      <c r="T1307" s="114"/>
      <c r="Y1307" s="118"/>
      <c r="Z1307" s="29"/>
      <c r="AA1307" s="29"/>
      <c r="AB1307" s="29"/>
      <c r="AC1307" s="29"/>
      <c r="AD1307" s="29"/>
      <c r="AE1307" s="29"/>
      <c r="AF1307" s="29"/>
      <c r="AG1307" s="29"/>
      <c r="AH1307" s="123"/>
      <c r="AI1307" s="32"/>
      <c r="AJ1307" s="32"/>
      <c r="AK1307" s="32"/>
      <c r="AL1307" s="32"/>
      <c r="AM1307" s="32"/>
      <c r="AN1307" s="32"/>
      <c r="AO1307" s="32"/>
      <c r="AP1307" s="29"/>
    </row>
    <row r="1308">
      <c r="A1308" s="115"/>
      <c r="B1308" s="116"/>
      <c r="C1308" s="115"/>
      <c r="D1308" s="115"/>
      <c r="E1308" s="115"/>
      <c r="F1308" s="115"/>
      <c r="G1308" s="115"/>
      <c r="H1308" s="115"/>
      <c r="I1308" s="115"/>
      <c r="J1308" s="115"/>
      <c r="K1308" s="115"/>
      <c r="L1308" s="115"/>
      <c r="O1308" s="116"/>
      <c r="Q1308" s="116"/>
      <c r="T1308" s="114"/>
      <c r="Y1308" s="118"/>
      <c r="Z1308" s="29"/>
      <c r="AA1308" s="29"/>
      <c r="AB1308" s="29"/>
      <c r="AC1308" s="29"/>
      <c r="AD1308" s="29"/>
      <c r="AE1308" s="29"/>
      <c r="AF1308" s="29"/>
      <c r="AG1308" s="29"/>
      <c r="AH1308" s="123"/>
      <c r="AI1308" s="32"/>
      <c r="AJ1308" s="32"/>
      <c r="AK1308" s="32"/>
      <c r="AL1308" s="32"/>
      <c r="AM1308" s="32"/>
      <c r="AN1308" s="32"/>
      <c r="AO1308" s="32"/>
      <c r="AP1308" s="29"/>
    </row>
    <row r="1309">
      <c r="A1309" s="115"/>
      <c r="B1309" s="116"/>
      <c r="C1309" s="115"/>
      <c r="D1309" s="115"/>
      <c r="E1309" s="115"/>
      <c r="F1309" s="115"/>
      <c r="G1309" s="115"/>
      <c r="H1309" s="115"/>
      <c r="I1309" s="115"/>
      <c r="J1309" s="115"/>
      <c r="K1309" s="115"/>
      <c r="L1309" s="115"/>
      <c r="O1309" s="116"/>
      <c r="Q1309" s="116"/>
      <c r="T1309" s="114"/>
      <c r="Y1309" s="118"/>
      <c r="Z1309" s="29"/>
      <c r="AA1309" s="29"/>
      <c r="AB1309" s="29"/>
      <c r="AC1309" s="29"/>
      <c r="AD1309" s="29"/>
      <c r="AE1309" s="29"/>
      <c r="AF1309" s="29"/>
      <c r="AG1309" s="29"/>
      <c r="AH1309" s="123"/>
      <c r="AI1309" s="32"/>
      <c r="AJ1309" s="32"/>
      <c r="AK1309" s="32"/>
      <c r="AL1309" s="32"/>
      <c r="AM1309" s="32"/>
      <c r="AN1309" s="32"/>
      <c r="AO1309" s="32"/>
      <c r="AP1309" s="29"/>
    </row>
    <row r="1310">
      <c r="A1310" s="115"/>
      <c r="B1310" s="116"/>
      <c r="C1310" s="115"/>
      <c r="D1310" s="115"/>
      <c r="E1310" s="115"/>
      <c r="F1310" s="115"/>
      <c r="G1310" s="115"/>
      <c r="H1310" s="115"/>
      <c r="I1310" s="115"/>
      <c r="J1310" s="115"/>
      <c r="K1310" s="115"/>
      <c r="L1310" s="115"/>
      <c r="O1310" s="116"/>
      <c r="Q1310" s="116"/>
      <c r="T1310" s="114"/>
      <c r="Y1310" s="118"/>
      <c r="Z1310" s="29"/>
      <c r="AA1310" s="29"/>
      <c r="AB1310" s="29"/>
      <c r="AC1310" s="29"/>
      <c r="AD1310" s="29"/>
      <c r="AE1310" s="29"/>
      <c r="AF1310" s="29"/>
      <c r="AG1310" s="29"/>
      <c r="AH1310" s="123"/>
      <c r="AI1310" s="32"/>
      <c r="AJ1310" s="32"/>
      <c r="AK1310" s="32"/>
      <c r="AL1310" s="32"/>
      <c r="AM1310" s="32"/>
      <c r="AN1310" s="32"/>
      <c r="AO1310" s="32"/>
      <c r="AP1310" s="29"/>
    </row>
    <row r="1311">
      <c r="A1311" s="115"/>
      <c r="B1311" s="116"/>
      <c r="C1311" s="115"/>
      <c r="D1311" s="115"/>
      <c r="E1311" s="115"/>
      <c r="F1311" s="115"/>
      <c r="G1311" s="115"/>
      <c r="H1311" s="115"/>
      <c r="I1311" s="115"/>
      <c r="J1311" s="115"/>
      <c r="K1311" s="115"/>
      <c r="L1311" s="115"/>
      <c r="O1311" s="116"/>
      <c r="Q1311" s="116"/>
      <c r="T1311" s="114"/>
      <c r="Y1311" s="118"/>
      <c r="Z1311" s="29"/>
      <c r="AA1311" s="29"/>
      <c r="AB1311" s="29"/>
      <c r="AC1311" s="29"/>
      <c r="AD1311" s="29"/>
      <c r="AE1311" s="29"/>
      <c r="AF1311" s="29"/>
      <c r="AG1311" s="29"/>
      <c r="AH1311" s="123"/>
      <c r="AI1311" s="32"/>
      <c r="AJ1311" s="32"/>
      <c r="AK1311" s="32"/>
      <c r="AL1311" s="32"/>
      <c r="AM1311" s="32"/>
      <c r="AN1311" s="32"/>
      <c r="AO1311" s="32"/>
      <c r="AP1311" s="29"/>
    </row>
    <row r="1312">
      <c r="A1312" s="115"/>
      <c r="B1312" s="116"/>
      <c r="C1312" s="115"/>
      <c r="D1312" s="115"/>
      <c r="E1312" s="115"/>
      <c r="F1312" s="115"/>
      <c r="G1312" s="115"/>
      <c r="H1312" s="115"/>
      <c r="I1312" s="115"/>
      <c r="J1312" s="115"/>
      <c r="K1312" s="115"/>
      <c r="L1312" s="115"/>
      <c r="O1312" s="116"/>
      <c r="Q1312" s="116"/>
      <c r="T1312" s="114"/>
      <c r="Y1312" s="118"/>
      <c r="Z1312" s="29"/>
      <c r="AA1312" s="29"/>
      <c r="AB1312" s="29"/>
      <c r="AC1312" s="29"/>
      <c r="AD1312" s="29"/>
      <c r="AE1312" s="29"/>
      <c r="AF1312" s="29"/>
      <c r="AG1312" s="29"/>
      <c r="AH1312" s="123"/>
      <c r="AI1312" s="32"/>
      <c r="AJ1312" s="32"/>
      <c r="AK1312" s="32"/>
      <c r="AL1312" s="32"/>
      <c r="AM1312" s="32"/>
      <c r="AN1312" s="32"/>
      <c r="AO1312" s="32"/>
      <c r="AP1312" s="29"/>
    </row>
    <row r="1313">
      <c r="A1313" s="115"/>
      <c r="B1313" s="116"/>
      <c r="C1313" s="115"/>
      <c r="D1313" s="115"/>
      <c r="E1313" s="115"/>
      <c r="F1313" s="115"/>
      <c r="G1313" s="115"/>
      <c r="H1313" s="115"/>
      <c r="I1313" s="115"/>
      <c r="J1313" s="115"/>
      <c r="K1313" s="115"/>
      <c r="L1313" s="115"/>
      <c r="O1313" s="116"/>
      <c r="Q1313" s="116"/>
      <c r="T1313" s="114"/>
      <c r="Y1313" s="118"/>
      <c r="Z1313" s="29"/>
      <c r="AA1313" s="29"/>
      <c r="AB1313" s="29"/>
      <c r="AC1313" s="29"/>
      <c r="AD1313" s="29"/>
      <c r="AE1313" s="29"/>
      <c r="AF1313" s="29"/>
      <c r="AG1313" s="29"/>
      <c r="AH1313" s="123"/>
      <c r="AI1313" s="32"/>
      <c r="AJ1313" s="32"/>
      <c r="AK1313" s="32"/>
      <c r="AL1313" s="32"/>
      <c r="AM1313" s="32"/>
      <c r="AN1313" s="32"/>
      <c r="AO1313" s="32"/>
      <c r="AP1313" s="29"/>
    </row>
    <row r="1314">
      <c r="A1314" s="115"/>
      <c r="B1314" s="116"/>
      <c r="C1314" s="115"/>
      <c r="D1314" s="115"/>
      <c r="E1314" s="115"/>
      <c r="F1314" s="115"/>
      <c r="G1314" s="115"/>
      <c r="H1314" s="115"/>
      <c r="I1314" s="115"/>
      <c r="J1314" s="115"/>
      <c r="K1314" s="115"/>
      <c r="L1314" s="115"/>
      <c r="O1314" s="116"/>
      <c r="Q1314" s="116"/>
      <c r="T1314" s="114"/>
      <c r="Y1314" s="118"/>
      <c r="Z1314" s="29"/>
      <c r="AA1314" s="29"/>
      <c r="AB1314" s="29"/>
      <c r="AC1314" s="29"/>
      <c r="AD1314" s="29"/>
      <c r="AE1314" s="29"/>
      <c r="AF1314" s="29"/>
      <c r="AG1314" s="29"/>
      <c r="AH1314" s="123"/>
      <c r="AI1314" s="32"/>
      <c r="AJ1314" s="32"/>
      <c r="AK1314" s="32"/>
      <c r="AL1314" s="32"/>
      <c r="AM1314" s="32"/>
      <c r="AN1314" s="32"/>
      <c r="AO1314" s="32"/>
      <c r="AP1314" s="29"/>
    </row>
    <row r="1315">
      <c r="A1315" s="115"/>
      <c r="B1315" s="116"/>
      <c r="C1315" s="115"/>
      <c r="D1315" s="115"/>
      <c r="E1315" s="115"/>
      <c r="F1315" s="115"/>
      <c r="G1315" s="115"/>
      <c r="H1315" s="115"/>
      <c r="I1315" s="115"/>
      <c r="J1315" s="115"/>
      <c r="K1315" s="115"/>
      <c r="L1315" s="115"/>
      <c r="O1315" s="116"/>
      <c r="Q1315" s="116"/>
      <c r="T1315" s="114"/>
      <c r="Y1315" s="118"/>
      <c r="Z1315" s="29"/>
      <c r="AA1315" s="29"/>
      <c r="AB1315" s="29"/>
      <c r="AC1315" s="29"/>
      <c r="AD1315" s="29"/>
      <c r="AE1315" s="29"/>
      <c r="AF1315" s="29"/>
      <c r="AG1315" s="29"/>
      <c r="AH1315" s="123"/>
      <c r="AI1315" s="32"/>
      <c r="AJ1315" s="32"/>
      <c r="AK1315" s="32"/>
      <c r="AL1315" s="32"/>
      <c r="AM1315" s="32"/>
      <c r="AN1315" s="32"/>
      <c r="AO1315" s="32"/>
      <c r="AP1315" s="29"/>
    </row>
    <row r="1316">
      <c r="A1316" s="115"/>
      <c r="B1316" s="116"/>
      <c r="C1316" s="115"/>
      <c r="D1316" s="115"/>
      <c r="E1316" s="115"/>
      <c r="F1316" s="115"/>
      <c r="G1316" s="115"/>
      <c r="H1316" s="115"/>
      <c r="I1316" s="115"/>
      <c r="J1316" s="115"/>
      <c r="K1316" s="115"/>
      <c r="L1316" s="115"/>
      <c r="O1316" s="116"/>
      <c r="Q1316" s="116"/>
      <c r="T1316" s="114"/>
      <c r="Y1316" s="118"/>
      <c r="Z1316" s="29"/>
      <c r="AA1316" s="29"/>
      <c r="AB1316" s="29"/>
      <c r="AC1316" s="29"/>
      <c r="AD1316" s="29"/>
      <c r="AE1316" s="29"/>
      <c r="AF1316" s="29"/>
      <c r="AG1316" s="29"/>
      <c r="AH1316" s="123"/>
      <c r="AI1316" s="32"/>
      <c r="AJ1316" s="32"/>
      <c r="AK1316" s="32"/>
      <c r="AL1316" s="32"/>
      <c r="AM1316" s="32"/>
      <c r="AN1316" s="32"/>
      <c r="AO1316" s="32"/>
      <c r="AP1316" s="29"/>
    </row>
    <row r="1317">
      <c r="A1317" s="115"/>
      <c r="B1317" s="116"/>
      <c r="C1317" s="115"/>
      <c r="D1317" s="115"/>
      <c r="E1317" s="115"/>
      <c r="F1317" s="115"/>
      <c r="G1317" s="115"/>
      <c r="H1317" s="115"/>
      <c r="I1317" s="115"/>
      <c r="J1317" s="115"/>
      <c r="K1317" s="115"/>
      <c r="L1317" s="115"/>
      <c r="O1317" s="116"/>
      <c r="Q1317" s="116"/>
      <c r="T1317" s="114"/>
      <c r="Y1317" s="118"/>
      <c r="Z1317" s="29"/>
      <c r="AA1317" s="29"/>
      <c r="AB1317" s="29"/>
      <c r="AC1317" s="29"/>
      <c r="AD1317" s="29"/>
      <c r="AE1317" s="29"/>
      <c r="AF1317" s="29"/>
      <c r="AG1317" s="29"/>
      <c r="AH1317" s="123"/>
      <c r="AI1317" s="32"/>
      <c r="AJ1317" s="32"/>
      <c r="AK1317" s="32"/>
      <c r="AL1317" s="32"/>
      <c r="AM1317" s="32"/>
      <c r="AN1317" s="32"/>
      <c r="AO1317" s="32"/>
      <c r="AP1317" s="29"/>
    </row>
    <row r="1318">
      <c r="A1318" s="115"/>
      <c r="B1318" s="116"/>
      <c r="C1318" s="115"/>
      <c r="D1318" s="115"/>
      <c r="E1318" s="115"/>
      <c r="F1318" s="115"/>
      <c r="G1318" s="115"/>
      <c r="H1318" s="115"/>
      <c r="I1318" s="115"/>
      <c r="J1318" s="115"/>
      <c r="K1318" s="115"/>
      <c r="L1318" s="115"/>
      <c r="O1318" s="116"/>
      <c r="Q1318" s="116"/>
      <c r="T1318" s="114"/>
      <c r="Y1318" s="118"/>
      <c r="Z1318" s="29"/>
      <c r="AA1318" s="29"/>
      <c r="AB1318" s="29"/>
      <c r="AC1318" s="29"/>
      <c r="AD1318" s="29"/>
      <c r="AE1318" s="29"/>
      <c r="AF1318" s="29"/>
      <c r="AG1318" s="29"/>
      <c r="AH1318" s="123"/>
      <c r="AI1318" s="32"/>
      <c r="AJ1318" s="32"/>
      <c r="AK1318" s="32"/>
      <c r="AL1318" s="32"/>
      <c r="AM1318" s="32"/>
      <c r="AN1318" s="32"/>
      <c r="AO1318" s="32"/>
      <c r="AP1318" s="29"/>
    </row>
    <row r="1319">
      <c r="A1319" s="115"/>
      <c r="B1319" s="116"/>
      <c r="C1319" s="115"/>
      <c r="D1319" s="115"/>
      <c r="E1319" s="115"/>
      <c r="F1319" s="115"/>
      <c r="G1319" s="115"/>
      <c r="H1319" s="115"/>
      <c r="I1319" s="115"/>
      <c r="J1319" s="115"/>
      <c r="K1319" s="115"/>
      <c r="L1319" s="115"/>
      <c r="O1319" s="116"/>
      <c r="Q1319" s="116"/>
      <c r="T1319" s="114"/>
      <c r="Y1319" s="118"/>
      <c r="Z1319" s="29"/>
      <c r="AA1319" s="29"/>
      <c r="AB1319" s="29"/>
      <c r="AC1319" s="29"/>
      <c r="AD1319" s="29"/>
      <c r="AE1319" s="29"/>
      <c r="AF1319" s="29"/>
      <c r="AG1319" s="29"/>
      <c r="AH1319" s="123"/>
      <c r="AI1319" s="32"/>
      <c r="AJ1319" s="32"/>
      <c r="AK1319" s="32"/>
      <c r="AL1319" s="32"/>
      <c r="AM1319" s="32"/>
      <c r="AN1319" s="32"/>
      <c r="AO1319" s="32"/>
      <c r="AP1319" s="29"/>
    </row>
    <row r="1320">
      <c r="A1320" s="115"/>
      <c r="B1320" s="116"/>
      <c r="C1320" s="115"/>
      <c r="D1320" s="115"/>
      <c r="E1320" s="115"/>
      <c r="F1320" s="115"/>
      <c r="G1320" s="115"/>
      <c r="H1320" s="115"/>
      <c r="I1320" s="115"/>
      <c r="J1320" s="115"/>
      <c r="K1320" s="115"/>
      <c r="L1320" s="115"/>
      <c r="O1320" s="116"/>
      <c r="Q1320" s="116"/>
      <c r="T1320" s="114"/>
      <c r="Y1320" s="118"/>
      <c r="Z1320" s="29"/>
      <c r="AA1320" s="29"/>
      <c r="AB1320" s="29"/>
      <c r="AC1320" s="29"/>
      <c r="AD1320" s="29"/>
      <c r="AE1320" s="29"/>
      <c r="AF1320" s="29"/>
      <c r="AG1320" s="29"/>
      <c r="AH1320" s="123"/>
      <c r="AI1320" s="32"/>
      <c r="AJ1320" s="32"/>
      <c r="AK1320" s="32"/>
      <c r="AL1320" s="32"/>
      <c r="AM1320" s="32"/>
      <c r="AN1320" s="32"/>
      <c r="AO1320" s="32"/>
      <c r="AP1320" s="29"/>
    </row>
    <row r="1321">
      <c r="A1321" s="115"/>
      <c r="B1321" s="116"/>
      <c r="C1321" s="115"/>
      <c r="D1321" s="115"/>
      <c r="E1321" s="115"/>
      <c r="F1321" s="115"/>
      <c r="G1321" s="115"/>
      <c r="H1321" s="115"/>
      <c r="I1321" s="115"/>
      <c r="J1321" s="115"/>
      <c r="K1321" s="115"/>
      <c r="L1321" s="115"/>
      <c r="O1321" s="116"/>
      <c r="Q1321" s="116"/>
      <c r="T1321" s="114"/>
      <c r="Y1321" s="118"/>
      <c r="Z1321" s="29"/>
      <c r="AA1321" s="29"/>
      <c r="AB1321" s="29"/>
      <c r="AC1321" s="29"/>
      <c r="AD1321" s="29"/>
      <c r="AE1321" s="29"/>
      <c r="AF1321" s="29"/>
      <c r="AG1321" s="29"/>
      <c r="AH1321" s="123"/>
      <c r="AI1321" s="32"/>
      <c r="AJ1321" s="32"/>
      <c r="AK1321" s="32"/>
      <c r="AL1321" s="32"/>
      <c r="AM1321" s="32"/>
      <c r="AN1321" s="32"/>
      <c r="AO1321" s="32"/>
      <c r="AP1321" s="29"/>
    </row>
    <row r="1322">
      <c r="A1322" s="115"/>
      <c r="B1322" s="116"/>
      <c r="C1322" s="115"/>
      <c r="D1322" s="115"/>
      <c r="E1322" s="115"/>
      <c r="F1322" s="115"/>
      <c r="G1322" s="115"/>
      <c r="H1322" s="115"/>
      <c r="I1322" s="115"/>
      <c r="J1322" s="115"/>
      <c r="K1322" s="115"/>
      <c r="L1322" s="115"/>
      <c r="O1322" s="116"/>
      <c r="Q1322" s="116"/>
      <c r="T1322" s="114"/>
      <c r="Y1322" s="118"/>
      <c r="Z1322" s="29"/>
      <c r="AA1322" s="29"/>
      <c r="AB1322" s="29"/>
      <c r="AC1322" s="29"/>
      <c r="AD1322" s="29"/>
      <c r="AE1322" s="29"/>
      <c r="AF1322" s="29"/>
      <c r="AG1322" s="29"/>
      <c r="AH1322" s="123"/>
      <c r="AI1322" s="32"/>
      <c r="AJ1322" s="32"/>
      <c r="AK1322" s="32"/>
      <c r="AL1322" s="32"/>
      <c r="AM1322" s="32"/>
      <c r="AN1322" s="32"/>
      <c r="AO1322" s="32"/>
      <c r="AP1322" s="29"/>
    </row>
    <row r="1323">
      <c r="A1323" s="115"/>
      <c r="B1323" s="116"/>
      <c r="C1323" s="115"/>
      <c r="D1323" s="115"/>
      <c r="E1323" s="115"/>
      <c r="F1323" s="115"/>
      <c r="G1323" s="115"/>
      <c r="H1323" s="115"/>
      <c r="I1323" s="115"/>
      <c r="J1323" s="115"/>
      <c r="K1323" s="115"/>
      <c r="L1323" s="115"/>
      <c r="O1323" s="116"/>
      <c r="Q1323" s="116"/>
      <c r="T1323" s="114"/>
      <c r="Y1323" s="118"/>
      <c r="Z1323" s="29"/>
      <c r="AA1323" s="29"/>
      <c r="AB1323" s="29"/>
      <c r="AC1323" s="29"/>
      <c r="AD1323" s="29"/>
      <c r="AE1323" s="29"/>
      <c r="AF1323" s="29"/>
      <c r="AG1323" s="29"/>
      <c r="AH1323" s="123"/>
      <c r="AI1323" s="32"/>
      <c r="AJ1323" s="32"/>
      <c r="AK1323" s="32"/>
      <c r="AL1323" s="32"/>
      <c r="AM1323" s="32"/>
      <c r="AN1323" s="32"/>
      <c r="AO1323" s="32"/>
      <c r="AP1323" s="29"/>
    </row>
    <row r="1324">
      <c r="A1324" s="115"/>
      <c r="B1324" s="116"/>
      <c r="C1324" s="115"/>
      <c r="D1324" s="115"/>
      <c r="E1324" s="115"/>
      <c r="F1324" s="115"/>
      <c r="G1324" s="115"/>
      <c r="H1324" s="115"/>
      <c r="I1324" s="115"/>
      <c r="J1324" s="115"/>
      <c r="K1324" s="115"/>
      <c r="L1324" s="115"/>
      <c r="O1324" s="116"/>
      <c r="Q1324" s="116"/>
      <c r="T1324" s="114"/>
      <c r="Y1324" s="118"/>
      <c r="Z1324" s="29"/>
      <c r="AA1324" s="29"/>
      <c r="AB1324" s="29"/>
      <c r="AC1324" s="29"/>
      <c r="AD1324" s="29"/>
      <c r="AE1324" s="29"/>
      <c r="AF1324" s="29"/>
      <c r="AG1324" s="29"/>
      <c r="AH1324" s="123"/>
      <c r="AI1324" s="32"/>
      <c r="AJ1324" s="32"/>
      <c r="AK1324" s="32"/>
      <c r="AL1324" s="32"/>
      <c r="AM1324" s="32"/>
      <c r="AN1324" s="32"/>
      <c r="AO1324" s="32"/>
      <c r="AP1324" s="29"/>
    </row>
    <row r="1325">
      <c r="A1325" s="115"/>
      <c r="B1325" s="116"/>
      <c r="C1325" s="115"/>
      <c r="D1325" s="115"/>
      <c r="E1325" s="115"/>
      <c r="F1325" s="115"/>
      <c r="G1325" s="115"/>
      <c r="H1325" s="115"/>
      <c r="I1325" s="115"/>
      <c r="J1325" s="115"/>
      <c r="K1325" s="115"/>
      <c r="L1325" s="115"/>
      <c r="O1325" s="116"/>
      <c r="Q1325" s="116"/>
      <c r="T1325" s="114"/>
      <c r="Y1325" s="118"/>
      <c r="Z1325" s="29"/>
      <c r="AA1325" s="29"/>
      <c r="AB1325" s="29"/>
      <c r="AC1325" s="29"/>
      <c r="AD1325" s="29"/>
      <c r="AE1325" s="29"/>
      <c r="AF1325" s="29"/>
      <c r="AG1325" s="29"/>
      <c r="AH1325" s="123"/>
      <c r="AI1325" s="32"/>
      <c r="AJ1325" s="32"/>
      <c r="AK1325" s="32"/>
      <c r="AL1325" s="32"/>
      <c r="AM1325" s="32"/>
      <c r="AN1325" s="32"/>
      <c r="AO1325" s="32"/>
      <c r="AP1325" s="29"/>
    </row>
    <row r="1326">
      <c r="A1326" s="115"/>
      <c r="B1326" s="116"/>
      <c r="C1326" s="115"/>
      <c r="D1326" s="115"/>
      <c r="E1326" s="115"/>
      <c r="F1326" s="115"/>
      <c r="G1326" s="115"/>
      <c r="H1326" s="115"/>
      <c r="I1326" s="115"/>
      <c r="J1326" s="115"/>
      <c r="K1326" s="115"/>
      <c r="L1326" s="115"/>
      <c r="O1326" s="116"/>
      <c r="Q1326" s="116"/>
      <c r="T1326" s="114"/>
      <c r="Y1326" s="118"/>
      <c r="Z1326" s="29"/>
      <c r="AA1326" s="29"/>
      <c r="AB1326" s="29"/>
      <c r="AC1326" s="29"/>
      <c r="AD1326" s="29"/>
      <c r="AE1326" s="29"/>
      <c r="AF1326" s="29"/>
      <c r="AG1326" s="29"/>
      <c r="AH1326" s="123"/>
      <c r="AI1326" s="32"/>
      <c r="AJ1326" s="32"/>
      <c r="AK1326" s="32"/>
      <c r="AL1326" s="32"/>
      <c r="AM1326" s="32"/>
      <c r="AN1326" s="32"/>
      <c r="AO1326" s="32"/>
      <c r="AP1326" s="29"/>
    </row>
    <row r="1327">
      <c r="A1327" s="115"/>
      <c r="B1327" s="116"/>
      <c r="C1327" s="115"/>
      <c r="D1327" s="115"/>
      <c r="E1327" s="115"/>
      <c r="F1327" s="115"/>
      <c r="G1327" s="115"/>
      <c r="H1327" s="115"/>
      <c r="I1327" s="115"/>
      <c r="J1327" s="115"/>
      <c r="K1327" s="115"/>
      <c r="L1327" s="115"/>
      <c r="O1327" s="116"/>
      <c r="Q1327" s="116"/>
      <c r="T1327" s="114"/>
      <c r="Y1327" s="118"/>
      <c r="Z1327" s="29"/>
      <c r="AA1327" s="29"/>
      <c r="AB1327" s="29"/>
      <c r="AC1327" s="29"/>
      <c r="AD1327" s="29"/>
      <c r="AE1327" s="29"/>
      <c r="AF1327" s="29"/>
      <c r="AG1327" s="29"/>
      <c r="AH1327" s="123"/>
      <c r="AI1327" s="32"/>
      <c r="AJ1327" s="32"/>
      <c r="AK1327" s="32"/>
      <c r="AL1327" s="32"/>
      <c r="AM1327" s="32"/>
      <c r="AN1327" s="32"/>
      <c r="AO1327" s="32"/>
      <c r="AP1327" s="29"/>
    </row>
    <row r="1328">
      <c r="A1328" s="115"/>
      <c r="B1328" s="116"/>
      <c r="C1328" s="115"/>
      <c r="D1328" s="115"/>
      <c r="E1328" s="115"/>
      <c r="F1328" s="115"/>
      <c r="G1328" s="115"/>
      <c r="H1328" s="115"/>
      <c r="I1328" s="115"/>
      <c r="J1328" s="115"/>
      <c r="K1328" s="115"/>
      <c r="L1328" s="115"/>
      <c r="O1328" s="116"/>
      <c r="Q1328" s="116"/>
      <c r="T1328" s="114"/>
      <c r="Y1328" s="118"/>
      <c r="Z1328" s="29"/>
      <c r="AA1328" s="29"/>
      <c r="AB1328" s="29"/>
      <c r="AC1328" s="29"/>
      <c r="AD1328" s="29"/>
      <c r="AE1328" s="29"/>
      <c r="AF1328" s="29"/>
      <c r="AG1328" s="29"/>
      <c r="AH1328" s="123"/>
      <c r="AI1328" s="32"/>
      <c r="AJ1328" s="32"/>
      <c r="AK1328" s="32"/>
      <c r="AL1328" s="32"/>
      <c r="AM1328" s="32"/>
      <c r="AN1328" s="32"/>
      <c r="AO1328" s="32"/>
      <c r="AP1328" s="29"/>
    </row>
    <row r="1329">
      <c r="A1329" s="115"/>
      <c r="B1329" s="116"/>
      <c r="C1329" s="115"/>
      <c r="D1329" s="115"/>
      <c r="E1329" s="115"/>
      <c r="F1329" s="115"/>
      <c r="G1329" s="115"/>
      <c r="H1329" s="115"/>
      <c r="I1329" s="115"/>
      <c r="J1329" s="115"/>
      <c r="K1329" s="115"/>
      <c r="L1329" s="115"/>
      <c r="O1329" s="116"/>
      <c r="Q1329" s="116"/>
      <c r="T1329" s="114"/>
      <c r="Y1329" s="118"/>
      <c r="Z1329" s="29"/>
      <c r="AA1329" s="29"/>
      <c r="AB1329" s="29"/>
      <c r="AC1329" s="29"/>
      <c r="AD1329" s="29"/>
      <c r="AE1329" s="29"/>
      <c r="AF1329" s="29"/>
      <c r="AG1329" s="29"/>
      <c r="AH1329" s="123"/>
      <c r="AI1329" s="32"/>
      <c r="AJ1329" s="32"/>
      <c r="AK1329" s="32"/>
      <c r="AL1329" s="32"/>
      <c r="AM1329" s="32"/>
      <c r="AN1329" s="32"/>
      <c r="AO1329" s="32"/>
      <c r="AP1329" s="29"/>
    </row>
    <row r="1330">
      <c r="A1330" s="115"/>
      <c r="B1330" s="116"/>
      <c r="C1330" s="115"/>
      <c r="D1330" s="115"/>
      <c r="E1330" s="115"/>
      <c r="F1330" s="115"/>
      <c r="G1330" s="115"/>
      <c r="H1330" s="115"/>
      <c r="I1330" s="115"/>
      <c r="J1330" s="115"/>
      <c r="K1330" s="115"/>
      <c r="L1330" s="115"/>
      <c r="O1330" s="116"/>
      <c r="Q1330" s="116"/>
      <c r="T1330" s="114"/>
      <c r="Y1330" s="118"/>
      <c r="Z1330" s="29"/>
      <c r="AA1330" s="29"/>
      <c r="AB1330" s="29"/>
      <c r="AC1330" s="29"/>
      <c r="AD1330" s="29"/>
      <c r="AE1330" s="29"/>
      <c r="AF1330" s="29"/>
      <c r="AG1330" s="29"/>
      <c r="AH1330" s="123"/>
      <c r="AI1330" s="32"/>
      <c r="AJ1330" s="32"/>
      <c r="AK1330" s="32"/>
      <c r="AL1330" s="32"/>
      <c r="AM1330" s="32"/>
      <c r="AN1330" s="32"/>
      <c r="AO1330" s="32"/>
      <c r="AP1330" s="29"/>
    </row>
    <row r="1331">
      <c r="A1331" s="115"/>
      <c r="B1331" s="116"/>
      <c r="C1331" s="115"/>
      <c r="D1331" s="115"/>
      <c r="E1331" s="115"/>
      <c r="F1331" s="115"/>
      <c r="G1331" s="115"/>
      <c r="H1331" s="115"/>
      <c r="I1331" s="115"/>
      <c r="J1331" s="115"/>
      <c r="K1331" s="115"/>
      <c r="L1331" s="115"/>
      <c r="O1331" s="116"/>
      <c r="Q1331" s="116"/>
      <c r="T1331" s="114"/>
      <c r="Y1331" s="118"/>
      <c r="Z1331" s="29"/>
      <c r="AA1331" s="29"/>
      <c r="AB1331" s="29"/>
      <c r="AC1331" s="29"/>
      <c r="AD1331" s="29"/>
      <c r="AE1331" s="29"/>
      <c r="AF1331" s="29"/>
      <c r="AG1331" s="29"/>
      <c r="AH1331" s="123"/>
      <c r="AI1331" s="32"/>
      <c r="AJ1331" s="32"/>
      <c r="AK1331" s="32"/>
      <c r="AL1331" s="32"/>
      <c r="AM1331" s="32"/>
      <c r="AN1331" s="32"/>
      <c r="AO1331" s="32"/>
      <c r="AP1331" s="29"/>
    </row>
    <row r="1332">
      <c r="A1332" s="115"/>
      <c r="B1332" s="116"/>
      <c r="C1332" s="115"/>
      <c r="D1332" s="115"/>
      <c r="E1332" s="115"/>
      <c r="F1332" s="115"/>
      <c r="G1332" s="115"/>
      <c r="H1332" s="115"/>
      <c r="I1332" s="115"/>
      <c r="J1332" s="115"/>
      <c r="K1332" s="115"/>
      <c r="L1332" s="115"/>
      <c r="O1332" s="116"/>
      <c r="Q1332" s="116"/>
      <c r="T1332" s="114"/>
      <c r="Y1332" s="118"/>
      <c r="Z1332" s="29"/>
      <c r="AA1332" s="29"/>
      <c r="AB1332" s="29"/>
      <c r="AC1332" s="29"/>
      <c r="AD1332" s="29"/>
      <c r="AE1332" s="29"/>
      <c r="AF1332" s="29"/>
      <c r="AG1332" s="29"/>
      <c r="AH1332" s="123"/>
      <c r="AI1332" s="32"/>
      <c r="AJ1332" s="32"/>
      <c r="AK1332" s="32"/>
      <c r="AL1332" s="32"/>
      <c r="AM1332" s="32"/>
      <c r="AN1332" s="32"/>
      <c r="AO1332" s="32"/>
      <c r="AP1332" s="29"/>
    </row>
    <row r="1333">
      <c r="A1333" s="115"/>
      <c r="B1333" s="116"/>
      <c r="C1333" s="115"/>
      <c r="D1333" s="115"/>
      <c r="E1333" s="115"/>
      <c r="F1333" s="115"/>
      <c r="G1333" s="115"/>
      <c r="H1333" s="115"/>
      <c r="I1333" s="115"/>
      <c r="J1333" s="115"/>
      <c r="K1333" s="115"/>
      <c r="L1333" s="115"/>
      <c r="O1333" s="116"/>
      <c r="Q1333" s="116"/>
      <c r="T1333" s="114"/>
      <c r="Y1333" s="118"/>
      <c r="Z1333" s="29"/>
      <c r="AA1333" s="29"/>
      <c r="AB1333" s="29"/>
      <c r="AC1333" s="29"/>
      <c r="AD1333" s="29"/>
      <c r="AE1333" s="29"/>
      <c r="AF1333" s="29"/>
      <c r="AG1333" s="29"/>
      <c r="AH1333" s="123"/>
      <c r="AI1333" s="32"/>
      <c r="AJ1333" s="32"/>
      <c r="AK1333" s="32"/>
      <c r="AL1333" s="32"/>
      <c r="AM1333" s="32"/>
      <c r="AN1333" s="32"/>
      <c r="AO1333" s="32"/>
      <c r="AP1333" s="29"/>
    </row>
    <row r="1334">
      <c r="A1334" s="115"/>
      <c r="B1334" s="116"/>
      <c r="C1334" s="115"/>
      <c r="D1334" s="115"/>
      <c r="E1334" s="115"/>
      <c r="F1334" s="115"/>
      <c r="G1334" s="115"/>
      <c r="H1334" s="115"/>
      <c r="I1334" s="115"/>
      <c r="J1334" s="115"/>
      <c r="K1334" s="115"/>
      <c r="L1334" s="115"/>
      <c r="O1334" s="116"/>
      <c r="Q1334" s="116"/>
      <c r="T1334" s="114"/>
      <c r="Y1334" s="118"/>
      <c r="Z1334" s="29"/>
      <c r="AA1334" s="29"/>
      <c r="AB1334" s="29"/>
      <c r="AC1334" s="29"/>
      <c r="AD1334" s="29"/>
      <c r="AE1334" s="29"/>
      <c r="AF1334" s="29"/>
      <c r="AG1334" s="29"/>
      <c r="AH1334" s="123"/>
      <c r="AI1334" s="32"/>
      <c r="AJ1334" s="32"/>
      <c r="AK1334" s="32"/>
      <c r="AL1334" s="32"/>
      <c r="AM1334" s="32"/>
      <c r="AN1334" s="32"/>
      <c r="AO1334" s="32"/>
      <c r="AP1334" s="29"/>
    </row>
    <row r="1335">
      <c r="A1335" s="115"/>
      <c r="B1335" s="116"/>
      <c r="C1335" s="115"/>
      <c r="D1335" s="115"/>
      <c r="E1335" s="115"/>
      <c r="F1335" s="115"/>
      <c r="G1335" s="115"/>
      <c r="H1335" s="115"/>
      <c r="I1335" s="115"/>
      <c r="J1335" s="115"/>
      <c r="K1335" s="115"/>
      <c r="L1335" s="115"/>
      <c r="O1335" s="116"/>
      <c r="Q1335" s="116"/>
      <c r="T1335" s="114"/>
      <c r="Y1335" s="118"/>
      <c r="Z1335" s="29"/>
      <c r="AA1335" s="29"/>
      <c r="AB1335" s="29"/>
      <c r="AC1335" s="29"/>
      <c r="AD1335" s="29"/>
      <c r="AE1335" s="29"/>
      <c r="AF1335" s="29"/>
      <c r="AG1335" s="29"/>
      <c r="AH1335" s="123"/>
      <c r="AI1335" s="32"/>
      <c r="AJ1335" s="32"/>
      <c r="AK1335" s="32"/>
      <c r="AL1335" s="32"/>
      <c r="AM1335" s="32"/>
      <c r="AN1335" s="32"/>
      <c r="AO1335" s="32"/>
      <c r="AP1335" s="29"/>
    </row>
    <row r="1336">
      <c r="A1336" s="115"/>
      <c r="B1336" s="116"/>
      <c r="C1336" s="115"/>
      <c r="D1336" s="115"/>
      <c r="E1336" s="115"/>
      <c r="F1336" s="115"/>
      <c r="G1336" s="115"/>
      <c r="H1336" s="115"/>
      <c r="I1336" s="115"/>
      <c r="J1336" s="115"/>
      <c r="K1336" s="115"/>
      <c r="L1336" s="115"/>
      <c r="O1336" s="116"/>
      <c r="Q1336" s="116"/>
      <c r="T1336" s="114"/>
      <c r="Y1336" s="118"/>
      <c r="Z1336" s="29"/>
      <c r="AA1336" s="29"/>
      <c r="AB1336" s="29"/>
      <c r="AC1336" s="29"/>
      <c r="AD1336" s="29"/>
      <c r="AE1336" s="29"/>
      <c r="AF1336" s="29"/>
      <c r="AG1336" s="29"/>
      <c r="AH1336" s="123"/>
      <c r="AI1336" s="32"/>
      <c r="AJ1336" s="32"/>
      <c r="AK1336" s="32"/>
      <c r="AL1336" s="32"/>
      <c r="AM1336" s="32"/>
      <c r="AN1336" s="32"/>
      <c r="AO1336" s="32"/>
      <c r="AP1336" s="29"/>
    </row>
    <row r="1337">
      <c r="A1337" s="115"/>
      <c r="B1337" s="116"/>
      <c r="C1337" s="115"/>
      <c r="D1337" s="115"/>
      <c r="E1337" s="115"/>
      <c r="F1337" s="115"/>
      <c r="G1337" s="115"/>
      <c r="H1337" s="115"/>
      <c r="I1337" s="115"/>
      <c r="J1337" s="115"/>
      <c r="K1337" s="115"/>
      <c r="L1337" s="115"/>
      <c r="O1337" s="116"/>
      <c r="Q1337" s="116"/>
      <c r="T1337" s="114"/>
      <c r="Y1337" s="118"/>
      <c r="Z1337" s="29"/>
      <c r="AA1337" s="29"/>
      <c r="AB1337" s="29"/>
      <c r="AC1337" s="29"/>
      <c r="AD1337" s="29"/>
      <c r="AE1337" s="29"/>
      <c r="AF1337" s="29"/>
      <c r="AG1337" s="29"/>
      <c r="AH1337" s="123"/>
      <c r="AI1337" s="32"/>
      <c r="AJ1337" s="32"/>
      <c r="AK1337" s="32"/>
      <c r="AL1337" s="32"/>
      <c r="AM1337" s="32"/>
      <c r="AN1337" s="32"/>
      <c r="AO1337" s="32"/>
      <c r="AP1337" s="29"/>
    </row>
    <row r="1338">
      <c r="A1338" s="115"/>
      <c r="B1338" s="116"/>
      <c r="C1338" s="115"/>
      <c r="D1338" s="115"/>
      <c r="E1338" s="115"/>
      <c r="F1338" s="115"/>
      <c r="G1338" s="115"/>
      <c r="H1338" s="115"/>
      <c r="I1338" s="115"/>
      <c r="J1338" s="115"/>
      <c r="K1338" s="115"/>
      <c r="L1338" s="115"/>
      <c r="O1338" s="116"/>
      <c r="Q1338" s="116"/>
      <c r="T1338" s="114"/>
      <c r="Y1338" s="118"/>
      <c r="Z1338" s="29"/>
      <c r="AA1338" s="29"/>
      <c r="AB1338" s="29"/>
      <c r="AC1338" s="29"/>
      <c r="AD1338" s="29"/>
      <c r="AE1338" s="29"/>
      <c r="AF1338" s="29"/>
      <c r="AG1338" s="29"/>
      <c r="AH1338" s="123"/>
      <c r="AI1338" s="32"/>
      <c r="AJ1338" s="32"/>
      <c r="AK1338" s="32"/>
      <c r="AL1338" s="32"/>
      <c r="AM1338" s="32"/>
      <c r="AN1338" s="32"/>
      <c r="AO1338" s="32"/>
      <c r="AP1338" s="29"/>
    </row>
    <row r="1339">
      <c r="A1339" s="115"/>
      <c r="B1339" s="116"/>
      <c r="C1339" s="115"/>
      <c r="D1339" s="115"/>
      <c r="E1339" s="115"/>
      <c r="F1339" s="115"/>
      <c r="G1339" s="115"/>
      <c r="H1339" s="115"/>
      <c r="I1339" s="115"/>
      <c r="J1339" s="115"/>
      <c r="K1339" s="115"/>
      <c r="L1339" s="115"/>
      <c r="O1339" s="116"/>
      <c r="Q1339" s="116"/>
      <c r="T1339" s="114"/>
      <c r="Y1339" s="118"/>
      <c r="Z1339" s="29"/>
      <c r="AA1339" s="29"/>
      <c r="AB1339" s="29"/>
      <c r="AC1339" s="29"/>
      <c r="AD1339" s="29"/>
      <c r="AE1339" s="29"/>
      <c r="AF1339" s="29"/>
      <c r="AG1339" s="29"/>
      <c r="AH1339" s="123"/>
      <c r="AI1339" s="32"/>
      <c r="AJ1339" s="32"/>
      <c r="AK1339" s="32"/>
      <c r="AL1339" s="32"/>
      <c r="AM1339" s="32"/>
      <c r="AN1339" s="32"/>
      <c r="AO1339" s="32"/>
      <c r="AP1339" s="29"/>
    </row>
    <row r="1340">
      <c r="A1340" s="115"/>
      <c r="B1340" s="116"/>
      <c r="C1340" s="115"/>
      <c r="D1340" s="115"/>
      <c r="E1340" s="115"/>
      <c r="F1340" s="115"/>
      <c r="G1340" s="115"/>
      <c r="H1340" s="115"/>
      <c r="I1340" s="115"/>
      <c r="J1340" s="115"/>
      <c r="K1340" s="115"/>
      <c r="L1340" s="115"/>
      <c r="O1340" s="116"/>
      <c r="Q1340" s="116"/>
      <c r="T1340" s="114"/>
      <c r="Y1340" s="118"/>
      <c r="Z1340" s="29"/>
      <c r="AA1340" s="29"/>
      <c r="AB1340" s="29"/>
      <c r="AC1340" s="29"/>
      <c r="AD1340" s="29"/>
      <c r="AE1340" s="29"/>
      <c r="AF1340" s="29"/>
      <c r="AG1340" s="29"/>
      <c r="AH1340" s="123"/>
      <c r="AI1340" s="32"/>
      <c r="AJ1340" s="32"/>
      <c r="AK1340" s="32"/>
      <c r="AL1340" s="32"/>
      <c r="AM1340" s="32"/>
      <c r="AN1340" s="32"/>
      <c r="AO1340" s="32"/>
      <c r="AP1340" s="29"/>
    </row>
    <row r="1341">
      <c r="A1341" s="115"/>
      <c r="B1341" s="116"/>
      <c r="C1341" s="115"/>
      <c r="D1341" s="115"/>
      <c r="E1341" s="115"/>
      <c r="F1341" s="115"/>
      <c r="G1341" s="115"/>
      <c r="H1341" s="115"/>
      <c r="I1341" s="115"/>
      <c r="J1341" s="115"/>
      <c r="K1341" s="115"/>
      <c r="L1341" s="115"/>
      <c r="O1341" s="116"/>
      <c r="Q1341" s="116"/>
      <c r="T1341" s="114"/>
      <c r="Y1341" s="118"/>
      <c r="Z1341" s="29"/>
      <c r="AA1341" s="29"/>
      <c r="AB1341" s="29"/>
      <c r="AC1341" s="29"/>
      <c r="AD1341" s="29"/>
      <c r="AE1341" s="29"/>
      <c r="AF1341" s="29"/>
      <c r="AG1341" s="29"/>
      <c r="AH1341" s="123"/>
      <c r="AI1341" s="32"/>
      <c r="AJ1341" s="32"/>
      <c r="AK1341" s="32"/>
      <c r="AL1341" s="32"/>
      <c r="AM1341" s="32"/>
      <c r="AN1341" s="32"/>
      <c r="AO1341" s="32"/>
      <c r="AP1341" s="29"/>
    </row>
    <row r="1342">
      <c r="A1342" s="115"/>
      <c r="B1342" s="116"/>
      <c r="C1342" s="115"/>
      <c r="D1342" s="115"/>
      <c r="E1342" s="115"/>
      <c r="F1342" s="115"/>
      <c r="G1342" s="115"/>
      <c r="H1342" s="115"/>
      <c r="I1342" s="115"/>
      <c r="J1342" s="115"/>
      <c r="K1342" s="115"/>
      <c r="L1342" s="115"/>
      <c r="O1342" s="116"/>
      <c r="Q1342" s="116"/>
      <c r="T1342" s="114"/>
      <c r="Y1342" s="118"/>
      <c r="Z1342" s="29"/>
      <c r="AA1342" s="29"/>
      <c r="AB1342" s="29"/>
      <c r="AC1342" s="29"/>
      <c r="AD1342" s="29"/>
      <c r="AE1342" s="29"/>
      <c r="AF1342" s="29"/>
      <c r="AG1342" s="29"/>
      <c r="AH1342" s="123"/>
      <c r="AI1342" s="32"/>
      <c r="AJ1342" s="32"/>
      <c r="AK1342" s="32"/>
      <c r="AL1342" s="32"/>
      <c r="AM1342" s="32"/>
      <c r="AN1342" s="32"/>
      <c r="AO1342" s="32"/>
      <c r="AP1342" s="29"/>
    </row>
    <row r="1343">
      <c r="A1343" s="115"/>
      <c r="B1343" s="116"/>
      <c r="C1343" s="115"/>
      <c r="D1343" s="115"/>
      <c r="E1343" s="115"/>
      <c r="F1343" s="115"/>
      <c r="G1343" s="115"/>
      <c r="H1343" s="115"/>
      <c r="I1343" s="115"/>
      <c r="J1343" s="115"/>
      <c r="K1343" s="115"/>
      <c r="L1343" s="115"/>
      <c r="O1343" s="116"/>
      <c r="Q1343" s="116"/>
      <c r="T1343" s="114"/>
      <c r="Y1343" s="118"/>
      <c r="Z1343" s="29"/>
      <c r="AA1343" s="29"/>
      <c r="AB1343" s="29"/>
      <c r="AC1343" s="29"/>
      <c r="AD1343" s="29"/>
      <c r="AE1343" s="29"/>
      <c r="AF1343" s="29"/>
      <c r="AG1343" s="29"/>
      <c r="AH1343" s="123"/>
      <c r="AI1343" s="32"/>
      <c r="AJ1343" s="32"/>
      <c r="AK1343" s="32"/>
      <c r="AL1343" s="32"/>
      <c r="AM1343" s="32"/>
      <c r="AN1343" s="32"/>
      <c r="AO1343" s="32"/>
      <c r="AP1343" s="29"/>
    </row>
    <row r="1344">
      <c r="A1344" s="115"/>
      <c r="B1344" s="116"/>
      <c r="C1344" s="115"/>
      <c r="D1344" s="115"/>
      <c r="E1344" s="115"/>
      <c r="F1344" s="115"/>
      <c r="G1344" s="115"/>
      <c r="H1344" s="115"/>
      <c r="I1344" s="115"/>
      <c r="J1344" s="115"/>
      <c r="K1344" s="115"/>
      <c r="L1344" s="115"/>
      <c r="O1344" s="116"/>
      <c r="Q1344" s="116"/>
      <c r="T1344" s="114"/>
      <c r="Y1344" s="118"/>
      <c r="Z1344" s="29"/>
      <c r="AA1344" s="29"/>
      <c r="AB1344" s="29"/>
      <c r="AC1344" s="29"/>
      <c r="AD1344" s="29"/>
      <c r="AE1344" s="29"/>
      <c r="AF1344" s="29"/>
      <c r="AG1344" s="29"/>
      <c r="AH1344" s="123"/>
      <c r="AI1344" s="32"/>
      <c r="AJ1344" s="32"/>
      <c r="AK1344" s="32"/>
      <c r="AL1344" s="32"/>
      <c r="AM1344" s="32"/>
      <c r="AN1344" s="32"/>
      <c r="AO1344" s="32"/>
      <c r="AP1344" s="29"/>
    </row>
    <row r="1345">
      <c r="A1345" s="115"/>
      <c r="B1345" s="116"/>
      <c r="C1345" s="115"/>
      <c r="D1345" s="115"/>
      <c r="E1345" s="115"/>
      <c r="F1345" s="115"/>
      <c r="G1345" s="115"/>
      <c r="H1345" s="115"/>
      <c r="I1345" s="115"/>
      <c r="J1345" s="115"/>
      <c r="K1345" s="115"/>
      <c r="L1345" s="115"/>
      <c r="O1345" s="116"/>
      <c r="Q1345" s="116"/>
      <c r="T1345" s="114"/>
      <c r="Y1345" s="118"/>
      <c r="Z1345" s="29"/>
      <c r="AA1345" s="29"/>
      <c r="AB1345" s="29"/>
      <c r="AC1345" s="29"/>
      <c r="AD1345" s="29"/>
      <c r="AE1345" s="29"/>
      <c r="AF1345" s="29"/>
      <c r="AG1345" s="29"/>
      <c r="AH1345" s="123"/>
      <c r="AI1345" s="32"/>
      <c r="AJ1345" s="32"/>
      <c r="AK1345" s="32"/>
      <c r="AL1345" s="32"/>
      <c r="AM1345" s="32"/>
      <c r="AN1345" s="32"/>
      <c r="AO1345" s="32"/>
      <c r="AP1345" s="29"/>
    </row>
    <row r="1346">
      <c r="A1346" s="115"/>
      <c r="B1346" s="116"/>
      <c r="C1346" s="115"/>
      <c r="D1346" s="115"/>
      <c r="E1346" s="115"/>
      <c r="F1346" s="115"/>
      <c r="G1346" s="115"/>
      <c r="H1346" s="115"/>
      <c r="I1346" s="115"/>
      <c r="J1346" s="115"/>
      <c r="K1346" s="115"/>
      <c r="L1346" s="115"/>
      <c r="O1346" s="116"/>
      <c r="Q1346" s="116"/>
      <c r="T1346" s="114"/>
      <c r="Y1346" s="118"/>
      <c r="Z1346" s="29"/>
      <c r="AA1346" s="29"/>
      <c r="AB1346" s="29"/>
      <c r="AC1346" s="29"/>
      <c r="AD1346" s="29"/>
      <c r="AE1346" s="29"/>
      <c r="AF1346" s="29"/>
      <c r="AG1346" s="29"/>
      <c r="AH1346" s="123"/>
      <c r="AI1346" s="32"/>
      <c r="AJ1346" s="32"/>
      <c r="AK1346" s="32"/>
      <c r="AL1346" s="32"/>
      <c r="AM1346" s="32"/>
      <c r="AN1346" s="32"/>
      <c r="AO1346" s="32"/>
      <c r="AP1346" s="29"/>
    </row>
    <row r="1347">
      <c r="A1347" s="115"/>
      <c r="B1347" s="116"/>
      <c r="C1347" s="115"/>
      <c r="D1347" s="115"/>
      <c r="E1347" s="115"/>
      <c r="F1347" s="115"/>
      <c r="G1347" s="115"/>
      <c r="H1347" s="115"/>
      <c r="I1347" s="115"/>
      <c r="J1347" s="115"/>
      <c r="K1347" s="115"/>
      <c r="L1347" s="115"/>
      <c r="O1347" s="116"/>
      <c r="Q1347" s="116"/>
      <c r="T1347" s="114"/>
      <c r="Y1347" s="118"/>
      <c r="Z1347" s="29"/>
      <c r="AA1347" s="29"/>
      <c r="AB1347" s="29"/>
      <c r="AC1347" s="29"/>
      <c r="AD1347" s="29"/>
      <c r="AE1347" s="29"/>
      <c r="AF1347" s="29"/>
      <c r="AG1347" s="29"/>
      <c r="AH1347" s="123"/>
      <c r="AI1347" s="32"/>
      <c r="AJ1347" s="32"/>
      <c r="AK1347" s="32"/>
      <c r="AL1347" s="32"/>
      <c r="AM1347" s="32"/>
      <c r="AN1347" s="32"/>
      <c r="AO1347" s="32"/>
      <c r="AP1347" s="29"/>
    </row>
    <row r="1348">
      <c r="A1348" s="115"/>
      <c r="B1348" s="116"/>
      <c r="C1348" s="115"/>
      <c r="D1348" s="115"/>
      <c r="E1348" s="115"/>
      <c r="F1348" s="115"/>
      <c r="G1348" s="115"/>
      <c r="H1348" s="115"/>
      <c r="I1348" s="115"/>
      <c r="J1348" s="115"/>
      <c r="K1348" s="115"/>
      <c r="L1348" s="115"/>
      <c r="O1348" s="116"/>
      <c r="Q1348" s="116"/>
      <c r="T1348" s="114"/>
      <c r="Y1348" s="118"/>
      <c r="Z1348" s="29"/>
      <c r="AA1348" s="29"/>
      <c r="AB1348" s="29"/>
      <c r="AC1348" s="29"/>
      <c r="AD1348" s="29"/>
      <c r="AE1348" s="29"/>
      <c r="AF1348" s="29"/>
      <c r="AG1348" s="29"/>
      <c r="AH1348" s="123"/>
      <c r="AI1348" s="32"/>
      <c r="AJ1348" s="32"/>
      <c r="AK1348" s="32"/>
      <c r="AL1348" s="32"/>
      <c r="AM1348" s="32"/>
      <c r="AN1348" s="32"/>
      <c r="AO1348" s="32"/>
      <c r="AP1348" s="29"/>
    </row>
    <row r="1349">
      <c r="A1349" s="115"/>
      <c r="B1349" s="116"/>
      <c r="C1349" s="115"/>
      <c r="D1349" s="115"/>
      <c r="E1349" s="115"/>
      <c r="F1349" s="115"/>
      <c r="G1349" s="115"/>
      <c r="H1349" s="115"/>
      <c r="I1349" s="115"/>
      <c r="J1349" s="115"/>
      <c r="K1349" s="115"/>
      <c r="L1349" s="115"/>
      <c r="O1349" s="116"/>
      <c r="Q1349" s="116"/>
      <c r="T1349" s="114"/>
      <c r="Y1349" s="118"/>
      <c r="Z1349" s="29"/>
      <c r="AA1349" s="29"/>
      <c r="AB1349" s="29"/>
      <c r="AC1349" s="29"/>
      <c r="AD1349" s="29"/>
      <c r="AE1349" s="29"/>
      <c r="AF1349" s="29"/>
      <c r="AG1349" s="29"/>
      <c r="AH1349" s="123"/>
      <c r="AI1349" s="32"/>
      <c r="AJ1349" s="32"/>
      <c r="AK1349" s="32"/>
      <c r="AL1349" s="32"/>
      <c r="AM1349" s="32"/>
      <c r="AN1349" s="32"/>
      <c r="AO1349" s="32"/>
      <c r="AP1349" s="29"/>
    </row>
    <row r="1350">
      <c r="A1350" s="115"/>
      <c r="B1350" s="116"/>
      <c r="C1350" s="115"/>
      <c r="D1350" s="115"/>
      <c r="E1350" s="115"/>
      <c r="F1350" s="115"/>
      <c r="G1350" s="115"/>
      <c r="H1350" s="115"/>
      <c r="I1350" s="115"/>
      <c r="J1350" s="115"/>
      <c r="K1350" s="115"/>
      <c r="L1350" s="115"/>
      <c r="O1350" s="116"/>
      <c r="Q1350" s="116"/>
      <c r="T1350" s="114"/>
      <c r="Y1350" s="118"/>
      <c r="Z1350" s="29"/>
      <c r="AA1350" s="29"/>
      <c r="AB1350" s="29"/>
      <c r="AC1350" s="29"/>
      <c r="AD1350" s="29"/>
      <c r="AE1350" s="29"/>
      <c r="AF1350" s="29"/>
      <c r="AG1350" s="29"/>
      <c r="AH1350" s="123"/>
      <c r="AI1350" s="32"/>
      <c r="AJ1350" s="32"/>
      <c r="AK1350" s="32"/>
      <c r="AL1350" s="32"/>
      <c r="AM1350" s="32"/>
      <c r="AN1350" s="32"/>
      <c r="AO1350" s="32"/>
      <c r="AP1350" s="29"/>
    </row>
    <row r="1351">
      <c r="A1351" s="115"/>
      <c r="B1351" s="116"/>
      <c r="C1351" s="115"/>
      <c r="D1351" s="115"/>
      <c r="E1351" s="115"/>
      <c r="F1351" s="115"/>
      <c r="G1351" s="115"/>
      <c r="H1351" s="115"/>
      <c r="I1351" s="115"/>
      <c r="J1351" s="115"/>
      <c r="K1351" s="115"/>
      <c r="L1351" s="115"/>
      <c r="O1351" s="116"/>
      <c r="Q1351" s="116"/>
      <c r="T1351" s="114"/>
      <c r="Y1351" s="118"/>
      <c r="Z1351" s="29"/>
      <c r="AA1351" s="29"/>
      <c r="AB1351" s="29"/>
      <c r="AC1351" s="29"/>
      <c r="AD1351" s="29"/>
      <c r="AE1351" s="29"/>
      <c r="AF1351" s="29"/>
      <c r="AG1351" s="29"/>
      <c r="AH1351" s="123"/>
      <c r="AI1351" s="32"/>
      <c r="AJ1351" s="32"/>
      <c r="AK1351" s="32"/>
      <c r="AL1351" s="32"/>
      <c r="AM1351" s="32"/>
      <c r="AN1351" s="32"/>
      <c r="AO1351" s="32"/>
      <c r="AP1351" s="29"/>
    </row>
    <row r="1352">
      <c r="A1352" s="115"/>
      <c r="B1352" s="116"/>
      <c r="C1352" s="115"/>
      <c r="D1352" s="115"/>
      <c r="E1352" s="115"/>
      <c r="F1352" s="115"/>
      <c r="G1352" s="115"/>
      <c r="H1352" s="115"/>
      <c r="I1352" s="115"/>
      <c r="J1352" s="115"/>
      <c r="K1352" s="115"/>
      <c r="L1352" s="115"/>
      <c r="O1352" s="116"/>
      <c r="Q1352" s="116"/>
      <c r="T1352" s="114"/>
      <c r="Y1352" s="118"/>
      <c r="Z1352" s="29"/>
      <c r="AA1352" s="29"/>
      <c r="AB1352" s="29"/>
      <c r="AC1352" s="29"/>
      <c r="AD1352" s="29"/>
      <c r="AE1352" s="29"/>
      <c r="AF1352" s="29"/>
      <c r="AG1352" s="29"/>
      <c r="AH1352" s="123"/>
      <c r="AI1352" s="32"/>
      <c r="AJ1352" s="32"/>
      <c r="AK1352" s="32"/>
      <c r="AL1352" s="32"/>
      <c r="AM1352" s="32"/>
      <c r="AN1352" s="32"/>
      <c r="AO1352" s="32"/>
      <c r="AP1352" s="29"/>
    </row>
    <row r="1353">
      <c r="A1353" s="115"/>
      <c r="B1353" s="116"/>
      <c r="C1353" s="115"/>
      <c r="D1353" s="115"/>
      <c r="E1353" s="115"/>
      <c r="F1353" s="115"/>
      <c r="G1353" s="115"/>
      <c r="H1353" s="115"/>
      <c r="I1353" s="115"/>
      <c r="J1353" s="115"/>
      <c r="K1353" s="115"/>
      <c r="L1353" s="115"/>
      <c r="O1353" s="116"/>
      <c r="Q1353" s="116"/>
      <c r="T1353" s="114"/>
      <c r="Y1353" s="118"/>
      <c r="Z1353" s="29"/>
      <c r="AA1353" s="29"/>
      <c r="AB1353" s="29"/>
      <c r="AC1353" s="29"/>
      <c r="AD1353" s="29"/>
      <c r="AE1353" s="29"/>
      <c r="AF1353" s="29"/>
      <c r="AG1353" s="29"/>
      <c r="AH1353" s="123"/>
      <c r="AI1353" s="32"/>
      <c r="AJ1353" s="32"/>
      <c r="AK1353" s="32"/>
      <c r="AL1353" s="32"/>
      <c r="AM1353" s="32"/>
      <c r="AN1353" s="32"/>
      <c r="AO1353" s="32"/>
      <c r="AP1353" s="29"/>
    </row>
    <row r="1354">
      <c r="A1354" s="115"/>
      <c r="B1354" s="116"/>
      <c r="C1354" s="115"/>
      <c r="D1354" s="115"/>
      <c r="E1354" s="115"/>
      <c r="F1354" s="115"/>
      <c r="G1354" s="115"/>
      <c r="H1354" s="115"/>
      <c r="I1354" s="115"/>
      <c r="J1354" s="115"/>
      <c r="K1354" s="115"/>
      <c r="L1354" s="115"/>
      <c r="O1354" s="116"/>
      <c r="Q1354" s="116"/>
      <c r="T1354" s="114"/>
      <c r="Y1354" s="118"/>
      <c r="Z1354" s="29"/>
      <c r="AA1354" s="29"/>
      <c r="AB1354" s="29"/>
      <c r="AC1354" s="29"/>
      <c r="AD1354" s="29"/>
      <c r="AE1354" s="29"/>
      <c r="AF1354" s="29"/>
      <c r="AG1354" s="29"/>
      <c r="AH1354" s="123"/>
      <c r="AI1354" s="32"/>
      <c r="AJ1354" s="32"/>
      <c r="AK1354" s="32"/>
      <c r="AL1354" s="32"/>
      <c r="AM1354" s="32"/>
      <c r="AN1354" s="32"/>
      <c r="AO1354" s="32"/>
      <c r="AP1354" s="29"/>
    </row>
    <row r="1355">
      <c r="A1355" s="115"/>
      <c r="B1355" s="116"/>
      <c r="C1355" s="115"/>
      <c r="D1355" s="115"/>
      <c r="E1355" s="115"/>
      <c r="F1355" s="115"/>
      <c r="G1355" s="115"/>
      <c r="H1355" s="115"/>
      <c r="I1355" s="115"/>
      <c r="J1355" s="115"/>
      <c r="K1355" s="115"/>
      <c r="L1355" s="115"/>
      <c r="O1355" s="116"/>
      <c r="Q1355" s="116"/>
      <c r="T1355" s="114"/>
      <c r="Y1355" s="118"/>
      <c r="Z1355" s="29"/>
      <c r="AA1355" s="29"/>
      <c r="AB1355" s="29"/>
      <c r="AC1355" s="29"/>
      <c r="AD1355" s="29"/>
      <c r="AE1355" s="29"/>
      <c r="AF1355" s="29"/>
      <c r="AG1355" s="29"/>
      <c r="AH1355" s="123"/>
      <c r="AI1355" s="32"/>
      <c r="AJ1355" s="32"/>
      <c r="AK1355" s="32"/>
      <c r="AL1355" s="32"/>
      <c r="AM1355" s="32"/>
      <c r="AN1355" s="32"/>
      <c r="AO1355" s="32"/>
      <c r="AP1355" s="29"/>
    </row>
    <row r="1356">
      <c r="A1356" s="115"/>
      <c r="B1356" s="116"/>
      <c r="C1356" s="115"/>
      <c r="D1356" s="115"/>
      <c r="E1356" s="115"/>
      <c r="F1356" s="115"/>
      <c r="G1356" s="115"/>
      <c r="H1356" s="115"/>
      <c r="I1356" s="115"/>
      <c r="J1356" s="115"/>
      <c r="K1356" s="115"/>
      <c r="L1356" s="115"/>
      <c r="O1356" s="116"/>
      <c r="Q1356" s="116"/>
      <c r="T1356" s="114"/>
      <c r="Y1356" s="118"/>
      <c r="Z1356" s="29"/>
      <c r="AA1356" s="29"/>
      <c r="AB1356" s="29"/>
      <c r="AC1356" s="29"/>
      <c r="AD1356" s="29"/>
      <c r="AE1356" s="29"/>
      <c r="AF1356" s="29"/>
      <c r="AG1356" s="29"/>
      <c r="AH1356" s="123"/>
      <c r="AI1356" s="32"/>
      <c r="AJ1356" s="32"/>
      <c r="AK1356" s="32"/>
      <c r="AL1356" s="32"/>
      <c r="AM1356" s="32"/>
      <c r="AN1356" s="32"/>
      <c r="AO1356" s="32"/>
      <c r="AP1356" s="29"/>
    </row>
    <row r="1357">
      <c r="A1357" s="115"/>
      <c r="B1357" s="116"/>
      <c r="C1357" s="115"/>
      <c r="D1357" s="115"/>
      <c r="E1357" s="115"/>
      <c r="F1357" s="115"/>
      <c r="G1357" s="115"/>
      <c r="H1357" s="115"/>
      <c r="I1357" s="115"/>
      <c r="J1357" s="115"/>
      <c r="K1357" s="115"/>
      <c r="L1357" s="115"/>
      <c r="O1357" s="116"/>
      <c r="Q1357" s="116"/>
      <c r="T1357" s="114"/>
      <c r="Y1357" s="118"/>
      <c r="Z1357" s="29"/>
      <c r="AA1357" s="29"/>
      <c r="AB1357" s="29"/>
      <c r="AC1357" s="29"/>
      <c r="AD1357" s="29"/>
      <c r="AE1357" s="29"/>
      <c r="AF1357" s="29"/>
      <c r="AG1357" s="29"/>
      <c r="AH1357" s="123"/>
      <c r="AI1357" s="32"/>
      <c r="AJ1357" s="32"/>
      <c r="AK1357" s="32"/>
      <c r="AL1357" s="32"/>
      <c r="AM1357" s="32"/>
      <c r="AN1357" s="32"/>
      <c r="AO1357" s="32"/>
      <c r="AP1357" s="29"/>
    </row>
    <row r="1358">
      <c r="A1358" s="115"/>
      <c r="B1358" s="116"/>
      <c r="C1358" s="115"/>
      <c r="D1358" s="115"/>
      <c r="E1358" s="115"/>
      <c r="F1358" s="115"/>
      <c r="G1358" s="115"/>
      <c r="H1358" s="115"/>
      <c r="I1358" s="115"/>
      <c r="J1358" s="115"/>
      <c r="K1358" s="115"/>
      <c r="L1358" s="115"/>
      <c r="O1358" s="116"/>
      <c r="Q1358" s="116"/>
      <c r="T1358" s="114"/>
      <c r="Y1358" s="118"/>
      <c r="Z1358" s="29"/>
      <c r="AA1358" s="29"/>
      <c r="AB1358" s="29"/>
      <c r="AC1358" s="29"/>
      <c r="AD1358" s="29"/>
      <c r="AE1358" s="29"/>
      <c r="AF1358" s="29"/>
      <c r="AG1358" s="29"/>
      <c r="AH1358" s="123"/>
      <c r="AI1358" s="32"/>
      <c r="AJ1358" s="32"/>
      <c r="AK1358" s="32"/>
      <c r="AL1358" s="32"/>
      <c r="AM1358" s="32"/>
      <c r="AN1358" s="32"/>
      <c r="AO1358" s="32"/>
      <c r="AP1358" s="29"/>
    </row>
    <row r="1359">
      <c r="A1359" s="115"/>
      <c r="B1359" s="116"/>
      <c r="C1359" s="115"/>
      <c r="D1359" s="115"/>
      <c r="E1359" s="115"/>
      <c r="F1359" s="115"/>
      <c r="G1359" s="115"/>
      <c r="H1359" s="115"/>
      <c r="I1359" s="115"/>
      <c r="J1359" s="115"/>
      <c r="K1359" s="115"/>
      <c r="L1359" s="115"/>
      <c r="O1359" s="116"/>
      <c r="Q1359" s="116"/>
      <c r="T1359" s="114"/>
      <c r="Y1359" s="118"/>
      <c r="Z1359" s="29"/>
      <c r="AA1359" s="29"/>
      <c r="AB1359" s="29"/>
      <c r="AC1359" s="29"/>
      <c r="AD1359" s="29"/>
      <c r="AE1359" s="29"/>
      <c r="AF1359" s="29"/>
      <c r="AG1359" s="29"/>
      <c r="AH1359" s="123"/>
      <c r="AI1359" s="32"/>
      <c r="AJ1359" s="32"/>
      <c r="AK1359" s="32"/>
      <c r="AL1359" s="32"/>
      <c r="AM1359" s="32"/>
      <c r="AN1359" s="32"/>
      <c r="AO1359" s="32"/>
      <c r="AP1359" s="29"/>
    </row>
    <row r="1360">
      <c r="A1360" s="115"/>
      <c r="B1360" s="116"/>
      <c r="C1360" s="115"/>
      <c r="D1360" s="115"/>
      <c r="E1360" s="115"/>
      <c r="F1360" s="115"/>
      <c r="G1360" s="115"/>
      <c r="H1360" s="115"/>
      <c r="I1360" s="115"/>
      <c r="J1360" s="115"/>
      <c r="K1360" s="115"/>
      <c r="L1360" s="115"/>
      <c r="O1360" s="116"/>
      <c r="Q1360" s="116"/>
      <c r="T1360" s="114"/>
      <c r="Y1360" s="118"/>
      <c r="Z1360" s="29"/>
      <c r="AA1360" s="29"/>
      <c r="AB1360" s="29"/>
      <c r="AC1360" s="29"/>
      <c r="AD1360" s="29"/>
      <c r="AE1360" s="29"/>
      <c r="AF1360" s="29"/>
      <c r="AG1360" s="29"/>
      <c r="AH1360" s="123"/>
      <c r="AI1360" s="32"/>
      <c r="AJ1360" s="32"/>
      <c r="AK1360" s="32"/>
      <c r="AL1360" s="32"/>
      <c r="AM1360" s="32"/>
      <c r="AN1360" s="32"/>
      <c r="AO1360" s="32"/>
      <c r="AP1360" s="29"/>
    </row>
    <row r="1361">
      <c r="A1361" s="115"/>
      <c r="B1361" s="116"/>
      <c r="C1361" s="115"/>
      <c r="D1361" s="115"/>
      <c r="E1361" s="115"/>
      <c r="F1361" s="115"/>
      <c r="G1361" s="115"/>
      <c r="H1361" s="115"/>
      <c r="I1361" s="115"/>
      <c r="J1361" s="115"/>
      <c r="K1361" s="115"/>
      <c r="L1361" s="115"/>
      <c r="O1361" s="116"/>
      <c r="Q1361" s="116"/>
      <c r="T1361" s="114"/>
      <c r="Y1361" s="118"/>
      <c r="Z1361" s="29"/>
      <c r="AA1361" s="29"/>
      <c r="AB1361" s="29"/>
      <c r="AC1361" s="29"/>
      <c r="AD1361" s="29"/>
      <c r="AE1361" s="29"/>
      <c r="AF1361" s="29"/>
      <c r="AG1361" s="29"/>
      <c r="AH1361" s="123"/>
      <c r="AI1361" s="32"/>
      <c r="AJ1361" s="32"/>
      <c r="AK1361" s="32"/>
      <c r="AL1361" s="32"/>
      <c r="AM1361" s="32"/>
      <c r="AN1361" s="32"/>
      <c r="AO1361" s="32"/>
      <c r="AP1361" s="29"/>
    </row>
    <row r="1362">
      <c r="A1362" s="115"/>
      <c r="B1362" s="116"/>
      <c r="C1362" s="115"/>
      <c r="D1362" s="115"/>
      <c r="E1362" s="115"/>
      <c r="F1362" s="115"/>
      <c r="G1362" s="115"/>
      <c r="H1362" s="115"/>
      <c r="I1362" s="115"/>
      <c r="J1362" s="115"/>
      <c r="K1362" s="115"/>
      <c r="L1362" s="115"/>
      <c r="O1362" s="116"/>
      <c r="Q1362" s="116"/>
      <c r="T1362" s="114"/>
      <c r="Y1362" s="118"/>
      <c r="Z1362" s="29"/>
      <c r="AA1362" s="29"/>
      <c r="AB1362" s="29"/>
      <c r="AC1362" s="29"/>
      <c r="AD1362" s="29"/>
      <c r="AE1362" s="29"/>
      <c r="AF1362" s="29"/>
      <c r="AG1362" s="29"/>
      <c r="AH1362" s="123"/>
      <c r="AI1362" s="32"/>
      <c r="AJ1362" s="32"/>
      <c r="AK1362" s="32"/>
      <c r="AL1362" s="32"/>
      <c r="AM1362" s="32"/>
      <c r="AN1362" s="32"/>
      <c r="AO1362" s="32"/>
      <c r="AP1362" s="29"/>
    </row>
    <row r="1363">
      <c r="A1363" s="115"/>
      <c r="B1363" s="116"/>
      <c r="C1363" s="115"/>
      <c r="D1363" s="115"/>
      <c r="E1363" s="115"/>
      <c r="F1363" s="115"/>
      <c r="G1363" s="115"/>
      <c r="H1363" s="115"/>
      <c r="I1363" s="115"/>
      <c r="J1363" s="115"/>
      <c r="K1363" s="115"/>
      <c r="L1363" s="115"/>
      <c r="O1363" s="116"/>
      <c r="Q1363" s="116"/>
      <c r="T1363" s="114"/>
      <c r="Y1363" s="118"/>
      <c r="Z1363" s="29"/>
      <c r="AA1363" s="29"/>
      <c r="AB1363" s="29"/>
      <c r="AC1363" s="29"/>
      <c r="AD1363" s="29"/>
      <c r="AE1363" s="29"/>
      <c r="AF1363" s="29"/>
      <c r="AG1363" s="29"/>
      <c r="AH1363" s="123"/>
      <c r="AI1363" s="32"/>
      <c r="AJ1363" s="32"/>
      <c r="AK1363" s="32"/>
      <c r="AL1363" s="32"/>
      <c r="AM1363" s="32"/>
      <c r="AN1363" s="32"/>
      <c r="AO1363" s="32"/>
      <c r="AP1363" s="29"/>
    </row>
    <row r="1364">
      <c r="A1364" s="115"/>
      <c r="B1364" s="116"/>
      <c r="C1364" s="115"/>
      <c r="D1364" s="115"/>
      <c r="E1364" s="115"/>
      <c r="F1364" s="115"/>
      <c r="G1364" s="115"/>
      <c r="H1364" s="115"/>
      <c r="I1364" s="115"/>
      <c r="J1364" s="115"/>
      <c r="K1364" s="115"/>
      <c r="L1364" s="115"/>
      <c r="O1364" s="116"/>
      <c r="Q1364" s="116"/>
      <c r="T1364" s="114"/>
      <c r="Y1364" s="118"/>
      <c r="Z1364" s="29"/>
      <c r="AA1364" s="29"/>
      <c r="AB1364" s="29"/>
      <c r="AC1364" s="29"/>
      <c r="AD1364" s="29"/>
      <c r="AE1364" s="29"/>
      <c r="AF1364" s="29"/>
      <c r="AG1364" s="29"/>
      <c r="AH1364" s="123"/>
      <c r="AI1364" s="32"/>
      <c r="AJ1364" s="32"/>
      <c r="AK1364" s="32"/>
      <c r="AL1364" s="32"/>
      <c r="AM1364" s="32"/>
      <c r="AN1364" s="32"/>
      <c r="AO1364" s="32"/>
      <c r="AP1364" s="29"/>
    </row>
    <row r="1365">
      <c r="A1365" s="115"/>
      <c r="B1365" s="116"/>
      <c r="C1365" s="115"/>
      <c r="D1365" s="115"/>
      <c r="E1365" s="115"/>
      <c r="F1365" s="115"/>
      <c r="G1365" s="115"/>
      <c r="H1365" s="115"/>
      <c r="I1365" s="115"/>
      <c r="J1365" s="115"/>
      <c r="K1365" s="115"/>
      <c r="L1365" s="115"/>
      <c r="O1365" s="116"/>
      <c r="Q1365" s="116"/>
      <c r="T1365" s="114"/>
      <c r="Y1365" s="118"/>
      <c r="Z1365" s="29"/>
      <c r="AA1365" s="29"/>
      <c r="AB1365" s="29"/>
      <c r="AC1365" s="29"/>
      <c r="AD1365" s="29"/>
      <c r="AE1365" s="29"/>
      <c r="AF1365" s="29"/>
      <c r="AG1365" s="29"/>
      <c r="AH1365" s="123"/>
      <c r="AI1365" s="32"/>
      <c r="AJ1365" s="32"/>
      <c r="AK1365" s="32"/>
      <c r="AL1365" s="32"/>
      <c r="AM1365" s="32"/>
      <c r="AN1365" s="32"/>
      <c r="AO1365" s="32"/>
      <c r="AP1365" s="29"/>
    </row>
    <row r="1366">
      <c r="A1366" s="115"/>
      <c r="B1366" s="116"/>
      <c r="C1366" s="115"/>
      <c r="D1366" s="115"/>
      <c r="E1366" s="115"/>
      <c r="F1366" s="115"/>
      <c r="G1366" s="115"/>
      <c r="H1366" s="115"/>
      <c r="I1366" s="115"/>
      <c r="J1366" s="115"/>
      <c r="K1366" s="115"/>
      <c r="L1366" s="115"/>
      <c r="O1366" s="116"/>
      <c r="Q1366" s="116"/>
      <c r="T1366" s="114"/>
      <c r="Y1366" s="118"/>
      <c r="Z1366" s="29"/>
      <c r="AA1366" s="29"/>
      <c r="AB1366" s="29"/>
      <c r="AC1366" s="29"/>
      <c r="AD1366" s="29"/>
      <c r="AE1366" s="29"/>
      <c r="AF1366" s="29"/>
      <c r="AG1366" s="29"/>
      <c r="AH1366" s="123"/>
      <c r="AI1366" s="32"/>
      <c r="AJ1366" s="32"/>
      <c r="AK1366" s="32"/>
      <c r="AL1366" s="32"/>
      <c r="AM1366" s="32"/>
      <c r="AN1366" s="32"/>
      <c r="AO1366" s="32"/>
      <c r="AP1366" s="29"/>
    </row>
    <row r="1367">
      <c r="A1367" s="115"/>
      <c r="B1367" s="116"/>
      <c r="C1367" s="115"/>
      <c r="D1367" s="115"/>
      <c r="E1367" s="115"/>
      <c r="F1367" s="115"/>
      <c r="G1367" s="115"/>
      <c r="H1367" s="115"/>
      <c r="I1367" s="115"/>
      <c r="J1367" s="115"/>
      <c r="K1367" s="115"/>
      <c r="L1367" s="115"/>
      <c r="O1367" s="116"/>
      <c r="Q1367" s="116"/>
      <c r="T1367" s="114"/>
      <c r="Y1367" s="118"/>
      <c r="Z1367" s="29"/>
      <c r="AA1367" s="29"/>
      <c r="AB1367" s="29"/>
      <c r="AC1367" s="29"/>
      <c r="AD1367" s="29"/>
      <c r="AE1367" s="29"/>
      <c r="AF1367" s="29"/>
      <c r="AG1367" s="29"/>
      <c r="AH1367" s="123"/>
      <c r="AI1367" s="32"/>
      <c r="AJ1367" s="32"/>
      <c r="AK1367" s="32"/>
      <c r="AL1367" s="32"/>
      <c r="AM1367" s="32"/>
      <c r="AN1367" s="32"/>
      <c r="AO1367" s="32"/>
      <c r="AP1367" s="29"/>
    </row>
    <row r="1368">
      <c r="A1368" s="115"/>
      <c r="B1368" s="116"/>
      <c r="C1368" s="115"/>
      <c r="D1368" s="115"/>
      <c r="E1368" s="115"/>
      <c r="F1368" s="115"/>
      <c r="G1368" s="115"/>
      <c r="H1368" s="115"/>
      <c r="I1368" s="115"/>
      <c r="J1368" s="115"/>
      <c r="K1368" s="115"/>
      <c r="L1368" s="115"/>
      <c r="O1368" s="116"/>
      <c r="Q1368" s="116"/>
      <c r="T1368" s="114"/>
      <c r="Y1368" s="118"/>
      <c r="Z1368" s="29"/>
      <c r="AA1368" s="29"/>
      <c r="AB1368" s="29"/>
      <c r="AC1368" s="29"/>
      <c r="AD1368" s="29"/>
      <c r="AE1368" s="29"/>
      <c r="AF1368" s="29"/>
      <c r="AG1368" s="29"/>
      <c r="AH1368" s="123"/>
      <c r="AI1368" s="32"/>
      <c r="AJ1368" s="32"/>
      <c r="AK1368" s="32"/>
      <c r="AL1368" s="32"/>
      <c r="AM1368" s="32"/>
      <c r="AN1368" s="32"/>
      <c r="AO1368" s="32"/>
      <c r="AP1368" s="29"/>
    </row>
    <row r="1369">
      <c r="A1369" s="115"/>
      <c r="B1369" s="116"/>
      <c r="C1369" s="115"/>
      <c r="D1369" s="115"/>
      <c r="E1369" s="115"/>
      <c r="F1369" s="115"/>
      <c r="G1369" s="115"/>
      <c r="H1369" s="115"/>
      <c r="I1369" s="115"/>
      <c r="J1369" s="115"/>
      <c r="K1369" s="115"/>
      <c r="L1369" s="115"/>
      <c r="O1369" s="116"/>
      <c r="Q1369" s="116"/>
      <c r="T1369" s="114"/>
      <c r="Y1369" s="118"/>
      <c r="Z1369" s="29"/>
      <c r="AA1369" s="29"/>
      <c r="AB1369" s="29"/>
      <c r="AC1369" s="29"/>
      <c r="AD1369" s="29"/>
      <c r="AE1369" s="29"/>
      <c r="AF1369" s="29"/>
      <c r="AG1369" s="29"/>
      <c r="AH1369" s="123"/>
      <c r="AI1369" s="32"/>
      <c r="AJ1369" s="32"/>
      <c r="AK1369" s="32"/>
      <c r="AL1369" s="32"/>
      <c r="AM1369" s="32"/>
      <c r="AN1369" s="32"/>
      <c r="AO1369" s="32"/>
      <c r="AP1369" s="29"/>
    </row>
    <row r="1370">
      <c r="A1370" s="115"/>
      <c r="B1370" s="116"/>
      <c r="C1370" s="115"/>
      <c r="D1370" s="115"/>
      <c r="E1370" s="115"/>
      <c r="F1370" s="115"/>
      <c r="G1370" s="115"/>
      <c r="H1370" s="115"/>
      <c r="I1370" s="115"/>
      <c r="J1370" s="115"/>
      <c r="K1370" s="115"/>
      <c r="L1370" s="115"/>
      <c r="O1370" s="116"/>
      <c r="Q1370" s="116"/>
      <c r="T1370" s="114"/>
      <c r="Y1370" s="118"/>
      <c r="Z1370" s="29"/>
      <c r="AA1370" s="29"/>
      <c r="AB1370" s="29"/>
      <c r="AC1370" s="29"/>
      <c r="AD1370" s="29"/>
      <c r="AE1370" s="29"/>
      <c r="AF1370" s="29"/>
      <c r="AG1370" s="29"/>
      <c r="AH1370" s="123"/>
      <c r="AI1370" s="32"/>
      <c r="AJ1370" s="32"/>
      <c r="AK1370" s="32"/>
      <c r="AL1370" s="32"/>
      <c r="AM1370" s="32"/>
      <c r="AN1370" s="32"/>
      <c r="AO1370" s="32"/>
      <c r="AP1370" s="29"/>
    </row>
    <row r="1371">
      <c r="A1371" s="115"/>
      <c r="B1371" s="116"/>
      <c r="C1371" s="115"/>
      <c r="D1371" s="115"/>
      <c r="E1371" s="115"/>
      <c r="F1371" s="115"/>
      <c r="G1371" s="115"/>
      <c r="H1371" s="115"/>
      <c r="I1371" s="115"/>
      <c r="J1371" s="115"/>
      <c r="K1371" s="115"/>
      <c r="L1371" s="115"/>
      <c r="O1371" s="116"/>
      <c r="Q1371" s="116"/>
      <c r="T1371" s="114"/>
      <c r="Y1371" s="118"/>
      <c r="Z1371" s="29"/>
      <c r="AA1371" s="29"/>
      <c r="AB1371" s="29"/>
      <c r="AC1371" s="29"/>
      <c r="AD1371" s="29"/>
      <c r="AE1371" s="29"/>
      <c r="AF1371" s="29"/>
      <c r="AG1371" s="29"/>
      <c r="AH1371" s="123"/>
      <c r="AI1371" s="32"/>
      <c r="AJ1371" s="32"/>
      <c r="AK1371" s="32"/>
      <c r="AL1371" s="32"/>
      <c r="AM1371" s="32"/>
      <c r="AN1371" s="32"/>
      <c r="AO1371" s="32"/>
      <c r="AP1371" s="29"/>
    </row>
    <row r="1372">
      <c r="A1372" s="115"/>
      <c r="B1372" s="116"/>
      <c r="C1372" s="115"/>
      <c r="D1372" s="115"/>
      <c r="E1372" s="115"/>
      <c r="F1372" s="115"/>
      <c r="G1372" s="115"/>
      <c r="H1372" s="115"/>
      <c r="I1372" s="115"/>
      <c r="J1372" s="115"/>
      <c r="K1372" s="115"/>
      <c r="L1372" s="115"/>
      <c r="O1372" s="116"/>
      <c r="Q1372" s="116"/>
      <c r="T1372" s="114"/>
      <c r="Y1372" s="118"/>
      <c r="Z1372" s="29"/>
      <c r="AA1372" s="29"/>
      <c r="AB1372" s="29"/>
      <c r="AC1372" s="29"/>
      <c r="AD1372" s="29"/>
      <c r="AE1372" s="29"/>
      <c r="AF1372" s="29"/>
      <c r="AG1372" s="29"/>
      <c r="AH1372" s="123"/>
      <c r="AI1372" s="32"/>
      <c r="AJ1372" s="32"/>
      <c r="AK1372" s="32"/>
      <c r="AL1372" s="32"/>
      <c r="AM1372" s="32"/>
      <c r="AN1372" s="32"/>
      <c r="AO1372" s="32"/>
      <c r="AP1372" s="29"/>
    </row>
    <row r="1373">
      <c r="A1373" s="115"/>
      <c r="B1373" s="116"/>
      <c r="C1373" s="115"/>
      <c r="D1373" s="115"/>
      <c r="E1373" s="115"/>
      <c r="F1373" s="115"/>
      <c r="G1373" s="115"/>
      <c r="H1373" s="115"/>
      <c r="I1373" s="115"/>
      <c r="J1373" s="115"/>
      <c r="K1373" s="115"/>
      <c r="L1373" s="115"/>
      <c r="O1373" s="116"/>
      <c r="Q1373" s="116"/>
      <c r="T1373" s="114"/>
      <c r="Y1373" s="118"/>
      <c r="Z1373" s="29"/>
      <c r="AA1373" s="29"/>
      <c r="AB1373" s="29"/>
      <c r="AC1373" s="29"/>
      <c r="AD1373" s="29"/>
      <c r="AE1373" s="29"/>
      <c r="AF1373" s="29"/>
      <c r="AG1373" s="29"/>
      <c r="AH1373" s="123"/>
      <c r="AI1373" s="32"/>
      <c r="AJ1373" s="32"/>
      <c r="AK1373" s="32"/>
      <c r="AL1373" s="32"/>
      <c r="AM1373" s="32"/>
      <c r="AN1373" s="32"/>
      <c r="AO1373" s="32"/>
      <c r="AP1373" s="29"/>
    </row>
    <row r="1374">
      <c r="A1374" s="115"/>
      <c r="B1374" s="116"/>
      <c r="C1374" s="115"/>
      <c r="D1374" s="115"/>
      <c r="E1374" s="115"/>
      <c r="F1374" s="115"/>
      <c r="G1374" s="115"/>
      <c r="H1374" s="115"/>
      <c r="I1374" s="115"/>
      <c r="J1374" s="115"/>
      <c r="K1374" s="115"/>
      <c r="L1374" s="115"/>
      <c r="O1374" s="116"/>
      <c r="Q1374" s="116"/>
      <c r="T1374" s="114"/>
      <c r="Y1374" s="118"/>
      <c r="Z1374" s="29"/>
      <c r="AA1374" s="29"/>
      <c r="AB1374" s="29"/>
      <c r="AC1374" s="29"/>
      <c r="AD1374" s="29"/>
      <c r="AE1374" s="29"/>
      <c r="AF1374" s="29"/>
      <c r="AG1374" s="29"/>
      <c r="AH1374" s="123"/>
      <c r="AI1374" s="32"/>
      <c r="AJ1374" s="32"/>
      <c r="AK1374" s="32"/>
      <c r="AL1374" s="32"/>
      <c r="AM1374" s="32"/>
      <c r="AN1374" s="32"/>
      <c r="AO1374" s="32"/>
      <c r="AP1374" s="29"/>
    </row>
    <row r="1375">
      <c r="A1375" s="115"/>
      <c r="B1375" s="116"/>
      <c r="C1375" s="115"/>
      <c r="D1375" s="115"/>
      <c r="E1375" s="115"/>
      <c r="F1375" s="115"/>
      <c r="G1375" s="115"/>
      <c r="H1375" s="115"/>
      <c r="I1375" s="115"/>
      <c r="J1375" s="115"/>
      <c r="K1375" s="115"/>
      <c r="L1375" s="115"/>
      <c r="O1375" s="116"/>
      <c r="Q1375" s="116"/>
      <c r="T1375" s="114"/>
      <c r="Y1375" s="118"/>
      <c r="Z1375" s="29"/>
      <c r="AA1375" s="29"/>
      <c r="AB1375" s="29"/>
      <c r="AC1375" s="29"/>
      <c r="AD1375" s="29"/>
      <c r="AE1375" s="29"/>
      <c r="AF1375" s="29"/>
      <c r="AG1375" s="29"/>
      <c r="AH1375" s="123"/>
      <c r="AI1375" s="32"/>
      <c r="AJ1375" s="32"/>
      <c r="AK1375" s="32"/>
      <c r="AL1375" s="32"/>
      <c r="AM1375" s="32"/>
      <c r="AN1375" s="32"/>
      <c r="AO1375" s="32"/>
      <c r="AP1375" s="29"/>
    </row>
    <row r="1376">
      <c r="A1376" s="115"/>
      <c r="B1376" s="116"/>
      <c r="C1376" s="115"/>
      <c r="D1376" s="115"/>
      <c r="E1376" s="115"/>
      <c r="F1376" s="115"/>
      <c r="G1376" s="115"/>
      <c r="H1376" s="115"/>
      <c r="I1376" s="115"/>
      <c r="J1376" s="115"/>
      <c r="K1376" s="115"/>
      <c r="L1376" s="115"/>
      <c r="O1376" s="116"/>
      <c r="Q1376" s="116"/>
      <c r="T1376" s="114"/>
      <c r="Y1376" s="118"/>
      <c r="Z1376" s="29"/>
      <c r="AA1376" s="29"/>
      <c r="AB1376" s="29"/>
      <c r="AC1376" s="29"/>
      <c r="AD1376" s="29"/>
      <c r="AE1376" s="29"/>
      <c r="AF1376" s="29"/>
      <c r="AG1376" s="29"/>
      <c r="AH1376" s="123"/>
      <c r="AI1376" s="32"/>
      <c r="AJ1376" s="32"/>
      <c r="AK1376" s="32"/>
      <c r="AL1376" s="32"/>
      <c r="AM1376" s="32"/>
      <c r="AN1376" s="32"/>
      <c r="AO1376" s="32"/>
      <c r="AP1376" s="29"/>
    </row>
    <row r="1377">
      <c r="A1377" s="115"/>
      <c r="B1377" s="116"/>
      <c r="C1377" s="115"/>
      <c r="D1377" s="115"/>
      <c r="E1377" s="115"/>
      <c r="F1377" s="115"/>
      <c r="G1377" s="115"/>
      <c r="H1377" s="115"/>
      <c r="I1377" s="115"/>
      <c r="J1377" s="115"/>
      <c r="K1377" s="115"/>
      <c r="L1377" s="115"/>
      <c r="O1377" s="116"/>
      <c r="Q1377" s="116"/>
      <c r="T1377" s="114"/>
      <c r="Y1377" s="118"/>
      <c r="Z1377" s="29"/>
      <c r="AA1377" s="29"/>
      <c r="AB1377" s="29"/>
      <c r="AC1377" s="29"/>
      <c r="AD1377" s="29"/>
      <c r="AE1377" s="29"/>
      <c r="AF1377" s="29"/>
      <c r="AG1377" s="29"/>
      <c r="AH1377" s="123"/>
      <c r="AI1377" s="32"/>
      <c r="AJ1377" s="32"/>
      <c r="AK1377" s="32"/>
      <c r="AL1377" s="32"/>
      <c r="AM1377" s="32"/>
      <c r="AN1377" s="32"/>
      <c r="AO1377" s="32"/>
      <c r="AP1377" s="29"/>
    </row>
    <row r="1378">
      <c r="A1378" s="115"/>
      <c r="B1378" s="116"/>
      <c r="C1378" s="115"/>
      <c r="D1378" s="115"/>
      <c r="E1378" s="115"/>
      <c r="F1378" s="115"/>
      <c r="G1378" s="115"/>
      <c r="H1378" s="115"/>
      <c r="I1378" s="115"/>
      <c r="J1378" s="115"/>
      <c r="K1378" s="115"/>
      <c r="L1378" s="115"/>
      <c r="O1378" s="116"/>
      <c r="Q1378" s="116"/>
      <c r="T1378" s="114"/>
      <c r="Y1378" s="118"/>
      <c r="Z1378" s="29"/>
      <c r="AA1378" s="29"/>
      <c r="AB1378" s="29"/>
      <c r="AC1378" s="29"/>
      <c r="AD1378" s="29"/>
      <c r="AE1378" s="29"/>
      <c r="AF1378" s="29"/>
      <c r="AG1378" s="29"/>
      <c r="AH1378" s="123"/>
      <c r="AI1378" s="32"/>
      <c r="AJ1378" s="32"/>
      <c r="AK1378" s="32"/>
      <c r="AL1378" s="32"/>
      <c r="AM1378" s="32"/>
      <c r="AN1378" s="32"/>
      <c r="AO1378" s="32"/>
      <c r="AP1378" s="29"/>
    </row>
    <row r="1379">
      <c r="A1379" s="115"/>
      <c r="B1379" s="116"/>
      <c r="C1379" s="115"/>
      <c r="D1379" s="115"/>
      <c r="E1379" s="115"/>
      <c r="F1379" s="115"/>
      <c r="G1379" s="115"/>
      <c r="H1379" s="115"/>
      <c r="I1379" s="115"/>
      <c r="J1379" s="115"/>
      <c r="K1379" s="115"/>
      <c r="L1379" s="115"/>
      <c r="O1379" s="116"/>
      <c r="Q1379" s="116"/>
      <c r="T1379" s="114"/>
      <c r="Y1379" s="118"/>
      <c r="Z1379" s="29"/>
      <c r="AA1379" s="29"/>
      <c r="AB1379" s="29"/>
      <c r="AC1379" s="29"/>
      <c r="AD1379" s="29"/>
      <c r="AE1379" s="29"/>
      <c r="AF1379" s="29"/>
      <c r="AG1379" s="29"/>
      <c r="AH1379" s="123"/>
      <c r="AI1379" s="32"/>
      <c r="AJ1379" s="32"/>
      <c r="AK1379" s="32"/>
      <c r="AL1379" s="32"/>
      <c r="AM1379" s="32"/>
      <c r="AN1379" s="32"/>
      <c r="AO1379" s="32"/>
      <c r="AP1379" s="29"/>
    </row>
    <row r="1380">
      <c r="A1380" s="115"/>
      <c r="B1380" s="116"/>
      <c r="C1380" s="115"/>
      <c r="D1380" s="115"/>
      <c r="E1380" s="115"/>
      <c r="F1380" s="115"/>
      <c r="G1380" s="115"/>
      <c r="H1380" s="115"/>
      <c r="I1380" s="115"/>
      <c r="J1380" s="115"/>
      <c r="K1380" s="115"/>
      <c r="L1380" s="115"/>
      <c r="O1380" s="116"/>
      <c r="Q1380" s="116"/>
      <c r="T1380" s="114"/>
      <c r="Y1380" s="118"/>
      <c r="Z1380" s="29"/>
      <c r="AA1380" s="29"/>
      <c r="AB1380" s="29"/>
      <c r="AC1380" s="29"/>
      <c r="AD1380" s="29"/>
      <c r="AE1380" s="29"/>
      <c r="AF1380" s="29"/>
      <c r="AG1380" s="29"/>
      <c r="AH1380" s="123"/>
      <c r="AI1380" s="32"/>
      <c r="AJ1380" s="32"/>
      <c r="AK1380" s="32"/>
      <c r="AL1380" s="32"/>
      <c r="AM1380" s="32"/>
      <c r="AN1380" s="32"/>
      <c r="AO1380" s="32"/>
      <c r="AP1380" s="29"/>
    </row>
    <row r="1381">
      <c r="A1381" s="115"/>
      <c r="B1381" s="116"/>
      <c r="C1381" s="115"/>
      <c r="D1381" s="115"/>
      <c r="E1381" s="115"/>
      <c r="F1381" s="115"/>
      <c r="G1381" s="115"/>
      <c r="H1381" s="115"/>
      <c r="I1381" s="115"/>
      <c r="J1381" s="115"/>
      <c r="K1381" s="115"/>
      <c r="L1381" s="115"/>
      <c r="O1381" s="116"/>
      <c r="Q1381" s="116"/>
      <c r="T1381" s="114"/>
      <c r="Y1381" s="118"/>
      <c r="Z1381" s="29"/>
      <c r="AA1381" s="29"/>
      <c r="AB1381" s="29"/>
      <c r="AC1381" s="29"/>
      <c r="AD1381" s="29"/>
      <c r="AE1381" s="29"/>
      <c r="AF1381" s="29"/>
      <c r="AG1381" s="29"/>
      <c r="AH1381" s="123"/>
      <c r="AI1381" s="32"/>
      <c r="AJ1381" s="32"/>
      <c r="AK1381" s="32"/>
      <c r="AL1381" s="32"/>
      <c r="AM1381" s="32"/>
      <c r="AN1381" s="32"/>
      <c r="AO1381" s="32"/>
      <c r="AP1381" s="29"/>
    </row>
    <row r="1382">
      <c r="A1382" s="115"/>
      <c r="B1382" s="116"/>
      <c r="C1382" s="115"/>
      <c r="D1382" s="115"/>
      <c r="E1382" s="115"/>
      <c r="F1382" s="115"/>
      <c r="G1382" s="115"/>
      <c r="H1382" s="115"/>
      <c r="I1382" s="115"/>
      <c r="J1382" s="115"/>
      <c r="K1382" s="115"/>
      <c r="L1382" s="115"/>
      <c r="O1382" s="116"/>
      <c r="Q1382" s="116"/>
      <c r="T1382" s="114"/>
      <c r="Y1382" s="118"/>
      <c r="Z1382" s="29"/>
      <c r="AA1382" s="29"/>
      <c r="AB1382" s="29"/>
      <c r="AC1382" s="29"/>
      <c r="AD1382" s="29"/>
      <c r="AE1382" s="29"/>
      <c r="AF1382" s="29"/>
      <c r="AG1382" s="29"/>
      <c r="AH1382" s="123"/>
      <c r="AI1382" s="32"/>
      <c r="AJ1382" s="32"/>
      <c r="AK1382" s="32"/>
      <c r="AL1382" s="32"/>
      <c r="AM1382" s="32"/>
      <c r="AN1382" s="32"/>
      <c r="AO1382" s="32"/>
      <c r="AP1382" s="29"/>
    </row>
    <row r="1383">
      <c r="A1383" s="115"/>
      <c r="B1383" s="116"/>
      <c r="C1383" s="115"/>
      <c r="D1383" s="115"/>
      <c r="E1383" s="115"/>
      <c r="F1383" s="115"/>
      <c r="G1383" s="115"/>
      <c r="H1383" s="115"/>
      <c r="I1383" s="115"/>
      <c r="J1383" s="115"/>
      <c r="K1383" s="115"/>
      <c r="L1383" s="115"/>
      <c r="O1383" s="116"/>
      <c r="Q1383" s="116"/>
      <c r="T1383" s="114"/>
      <c r="Y1383" s="118"/>
      <c r="Z1383" s="29"/>
      <c r="AA1383" s="29"/>
      <c r="AB1383" s="29"/>
      <c r="AC1383" s="29"/>
      <c r="AD1383" s="29"/>
      <c r="AE1383" s="29"/>
      <c r="AF1383" s="29"/>
      <c r="AG1383" s="29"/>
      <c r="AH1383" s="123"/>
      <c r="AI1383" s="32"/>
      <c r="AJ1383" s="32"/>
      <c r="AK1383" s="32"/>
      <c r="AL1383" s="32"/>
      <c r="AM1383" s="32"/>
      <c r="AN1383" s="32"/>
      <c r="AO1383" s="32"/>
      <c r="AP1383" s="29"/>
    </row>
    <row r="1384">
      <c r="A1384" s="115"/>
      <c r="B1384" s="116"/>
      <c r="C1384" s="115"/>
      <c r="D1384" s="115"/>
      <c r="E1384" s="115"/>
      <c r="F1384" s="115"/>
      <c r="G1384" s="115"/>
      <c r="H1384" s="115"/>
      <c r="I1384" s="115"/>
      <c r="J1384" s="115"/>
      <c r="K1384" s="115"/>
      <c r="L1384" s="115"/>
      <c r="O1384" s="116"/>
      <c r="Q1384" s="116"/>
      <c r="T1384" s="114"/>
      <c r="Y1384" s="118"/>
      <c r="Z1384" s="29"/>
      <c r="AA1384" s="29"/>
      <c r="AB1384" s="29"/>
      <c r="AC1384" s="29"/>
      <c r="AD1384" s="29"/>
      <c r="AE1384" s="29"/>
      <c r="AF1384" s="29"/>
      <c r="AG1384" s="29"/>
      <c r="AH1384" s="123"/>
      <c r="AI1384" s="32"/>
      <c r="AJ1384" s="32"/>
      <c r="AK1384" s="32"/>
      <c r="AL1384" s="32"/>
      <c r="AM1384" s="32"/>
      <c r="AN1384" s="32"/>
      <c r="AO1384" s="32"/>
      <c r="AP1384" s="29"/>
    </row>
    <row r="1385">
      <c r="A1385" s="115"/>
      <c r="B1385" s="116"/>
      <c r="C1385" s="115"/>
      <c r="D1385" s="115"/>
      <c r="E1385" s="115"/>
      <c r="F1385" s="115"/>
      <c r="G1385" s="115"/>
      <c r="H1385" s="115"/>
      <c r="I1385" s="115"/>
      <c r="J1385" s="115"/>
      <c r="K1385" s="115"/>
      <c r="L1385" s="115"/>
      <c r="O1385" s="116"/>
      <c r="Q1385" s="116"/>
      <c r="T1385" s="114"/>
      <c r="Y1385" s="118"/>
      <c r="Z1385" s="29"/>
      <c r="AA1385" s="29"/>
      <c r="AB1385" s="29"/>
      <c r="AC1385" s="29"/>
      <c r="AD1385" s="29"/>
      <c r="AE1385" s="29"/>
      <c r="AF1385" s="29"/>
      <c r="AG1385" s="29"/>
      <c r="AH1385" s="123"/>
      <c r="AI1385" s="32"/>
      <c r="AJ1385" s="32"/>
      <c r="AK1385" s="32"/>
      <c r="AL1385" s="32"/>
      <c r="AM1385" s="32"/>
      <c r="AN1385" s="32"/>
      <c r="AO1385" s="32"/>
      <c r="AP1385" s="29"/>
    </row>
    <row r="1386">
      <c r="A1386" s="115"/>
      <c r="B1386" s="116"/>
      <c r="C1386" s="115"/>
      <c r="D1386" s="115"/>
      <c r="E1386" s="115"/>
      <c r="F1386" s="115"/>
      <c r="G1386" s="115"/>
      <c r="H1386" s="115"/>
      <c r="I1386" s="115"/>
      <c r="J1386" s="115"/>
      <c r="K1386" s="115"/>
      <c r="L1386" s="115"/>
      <c r="O1386" s="116"/>
      <c r="Q1386" s="116"/>
      <c r="T1386" s="114"/>
      <c r="Y1386" s="118"/>
      <c r="Z1386" s="29"/>
      <c r="AA1386" s="29"/>
      <c r="AB1386" s="29"/>
      <c r="AC1386" s="29"/>
      <c r="AD1386" s="29"/>
      <c r="AE1386" s="29"/>
      <c r="AF1386" s="29"/>
      <c r="AG1386" s="29"/>
      <c r="AH1386" s="123"/>
      <c r="AI1386" s="32"/>
      <c r="AJ1386" s="32"/>
      <c r="AK1386" s="32"/>
      <c r="AL1386" s="32"/>
      <c r="AM1386" s="32"/>
      <c r="AN1386" s="32"/>
      <c r="AO1386" s="32"/>
      <c r="AP1386" s="29"/>
    </row>
    <row r="1387">
      <c r="A1387" s="115"/>
      <c r="B1387" s="116"/>
      <c r="C1387" s="115"/>
      <c r="D1387" s="115"/>
      <c r="E1387" s="115"/>
      <c r="F1387" s="115"/>
      <c r="G1387" s="115"/>
      <c r="H1387" s="115"/>
      <c r="I1387" s="115"/>
      <c r="J1387" s="115"/>
      <c r="K1387" s="115"/>
      <c r="L1387" s="115"/>
      <c r="O1387" s="116"/>
      <c r="Q1387" s="116"/>
      <c r="T1387" s="114"/>
      <c r="Y1387" s="118"/>
      <c r="Z1387" s="29"/>
      <c r="AA1387" s="29"/>
      <c r="AB1387" s="29"/>
      <c r="AC1387" s="29"/>
      <c r="AD1387" s="29"/>
      <c r="AE1387" s="29"/>
      <c r="AF1387" s="29"/>
      <c r="AG1387" s="29"/>
      <c r="AH1387" s="123"/>
      <c r="AI1387" s="32"/>
      <c r="AJ1387" s="32"/>
      <c r="AK1387" s="32"/>
      <c r="AL1387" s="32"/>
      <c r="AM1387" s="32"/>
      <c r="AN1387" s="32"/>
      <c r="AO1387" s="32"/>
      <c r="AP1387" s="29"/>
    </row>
    <row r="1388">
      <c r="A1388" s="115"/>
      <c r="B1388" s="116"/>
      <c r="C1388" s="115"/>
      <c r="D1388" s="115"/>
      <c r="E1388" s="115"/>
      <c r="F1388" s="115"/>
      <c r="G1388" s="115"/>
      <c r="H1388" s="115"/>
      <c r="I1388" s="115"/>
      <c r="J1388" s="115"/>
      <c r="K1388" s="115"/>
      <c r="L1388" s="115"/>
      <c r="O1388" s="116"/>
      <c r="Q1388" s="116"/>
      <c r="T1388" s="114"/>
      <c r="Y1388" s="118"/>
      <c r="Z1388" s="29"/>
      <c r="AA1388" s="29"/>
      <c r="AB1388" s="29"/>
      <c r="AC1388" s="29"/>
      <c r="AD1388" s="29"/>
      <c r="AE1388" s="29"/>
      <c r="AF1388" s="29"/>
      <c r="AG1388" s="29"/>
      <c r="AH1388" s="123"/>
      <c r="AI1388" s="32"/>
      <c r="AJ1388" s="32"/>
      <c r="AK1388" s="32"/>
      <c r="AL1388" s="32"/>
      <c r="AM1388" s="32"/>
      <c r="AN1388" s="32"/>
      <c r="AO1388" s="32"/>
      <c r="AP1388" s="29"/>
    </row>
    <row r="1389">
      <c r="A1389" s="115"/>
      <c r="B1389" s="116"/>
      <c r="C1389" s="115"/>
      <c r="D1389" s="115"/>
      <c r="E1389" s="115"/>
      <c r="F1389" s="115"/>
      <c r="G1389" s="115"/>
      <c r="H1389" s="115"/>
      <c r="I1389" s="115"/>
      <c r="J1389" s="115"/>
      <c r="K1389" s="115"/>
      <c r="L1389" s="115"/>
      <c r="O1389" s="116"/>
      <c r="Q1389" s="116"/>
      <c r="T1389" s="114"/>
      <c r="Y1389" s="118"/>
      <c r="Z1389" s="29"/>
      <c r="AA1389" s="29"/>
      <c r="AB1389" s="29"/>
      <c r="AC1389" s="29"/>
      <c r="AD1389" s="29"/>
      <c r="AE1389" s="29"/>
      <c r="AF1389" s="29"/>
      <c r="AG1389" s="29"/>
      <c r="AH1389" s="123"/>
      <c r="AI1389" s="32"/>
      <c r="AJ1389" s="32"/>
      <c r="AK1389" s="32"/>
      <c r="AL1389" s="32"/>
      <c r="AM1389" s="32"/>
      <c r="AN1389" s="32"/>
      <c r="AO1389" s="32"/>
      <c r="AP1389" s="29"/>
    </row>
    <row r="1390">
      <c r="A1390" s="115"/>
      <c r="B1390" s="116"/>
      <c r="C1390" s="115"/>
      <c r="D1390" s="115"/>
      <c r="E1390" s="115"/>
      <c r="F1390" s="115"/>
      <c r="G1390" s="115"/>
      <c r="H1390" s="115"/>
      <c r="I1390" s="115"/>
      <c r="J1390" s="115"/>
      <c r="K1390" s="115"/>
      <c r="L1390" s="115"/>
      <c r="O1390" s="116"/>
      <c r="Q1390" s="116"/>
      <c r="T1390" s="114"/>
      <c r="Y1390" s="118"/>
      <c r="Z1390" s="29"/>
      <c r="AA1390" s="29"/>
      <c r="AB1390" s="29"/>
      <c r="AC1390" s="29"/>
      <c r="AD1390" s="29"/>
      <c r="AE1390" s="29"/>
      <c r="AF1390" s="29"/>
      <c r="AG1390" s="29"/>
      <c r="AH1390" s="123"/>
      <c r="AI1390" s="32"/>
      <c r="AJ1390" s="32"/>
      <c r="AK1390" s="32"/>
      <c r="AL1390" s="32"/>
      <c r="AM1390" s="32"/>
      <c r="AN1390" s="32"/>
      <c r="AO1390" s="32"/>
      <c r="AP1390" s="29"/>
    </row>
    <row r="1391">
      <c r="A1391" s="115"/>
      <c r="B1391" s="116"/>
      <c r="C1391" s="115"/>
      <c r="D1391" s="115"/>
      <c r="E1391" s="115"/>
      <c r="F1391" s="115"/>
      <c r="G1391" s="115"/>
      <c r="H1391" s="115"/>
      <c r="I1391" s="115"/>
      <c r="J1391" s="115"/>
      <c r="K1391" s="115"/>
      <c r="L1391" s="115"/>
      <c r="O1391" s="116"/>
      <c r="Q1391" s="116"/>
      <c r="T1391" s="114"/>
      <c r="Y1391" s="118"/>
      <c r="Z1391" s="29"/>
      <c r="AA1391" s="29"/>
      <c r="AB1391" s="29"/>
      <c r="AC1391" s="29"/>
      <c r="AD1391" s="29"/>
      <c r="AE1391" s="29"/>
      <c r="AF1391" s="29"/>
      <c r="AG1391" s="29"/>
      <c r="AH1391" s="123"/>
      <c r="AI1391" s="32"/>
      <c r="AJ1391" s="32"/>
      <c r="AK1391" s="32"/>
      <c r="AL1391" s="32"/>
      <c r="AM1391" s="32"/>
      <c r="AN1391" s="32"/>
      <c r="AO1391" s="32"/>
      <c r="AP1391" s="29"/>
    </row>
    <row r="1392">
      <c r="A1392" s="115"/>
      <c r="B1392" s="116"/>
      <c r="C1392" s="115"/>
      <c r="D1392" s="115"/>
      <c r="E1392" s="115"/>
      <c r="F1392" s="115"/>
      <c r="G1392" s="115"/>
      <c r="H1392" s="115"/>
      <c r="I1392" s="115"/>
      <c r="J1392" s="115"/>
      <c r="K1392" s="115"/>
      <c r="L1392" s="115"/>
      <c r="O1392" s="116"/>
      <c r="Q1392" s="116"/>
      <c r="T1392" s="114"/>
      <c r="Y1392" s="118"/>
      <c r="Z1392" s="29"/>
      <c r="AA1392" s="29"/>
      <c r="AB1392" s="29"/>
      <c r="AC1392" s="29"/>
      <c r="AD1392" s="29"/>
      <c r="AE1392" s="29"/>
      <c r="AF1392" s="29"/>
      <c r="AG1392" s="29"/>
      <c r="AH1392" s="123"/>
      <c r="AI1392" s="32"/>
      <c r="AJ1392" s="32"/>
      <c r="AK1392" s="32"/>
      <c r="AL1392" s="32"/>
      <c r="AM1392" s="32"/>
      <c r="AN1392" s="32"/>
      <c r="AO1392" s="32"/>
      <c r="AP1392" s="29"/>
    </row>
    <row r="1393">
      <c r="A1393" s="115"/>
      <c r="B1393" s="116"/>
      <c r="C1393" s="115"/>
      <c r="D1393" s="115"/>
      <c r="E1393" s="115"/>
      <c r="F1393" s="115"/>
      <c r="G1393" s="115"/>
      <c r="H1393" s="115"/>
      <c r="I1393" s="115"/>
      <c r="J1393" s="115"/>
      <c r="K1393" s="115"/>
      <c r="L1393" s="115"/>
      <c r="O1393" s="116"/>
      <c r="Q1393" s="116"/>
      <c r="T1393" s="114"/>
      <c r="Y1393" s="118"/>
      <c r="Z1393" s="29"/>
      <c r="AA1393" s="29"/>
      <c r="AB1393" s="29"/>
      <c r="AC1393" s="29"/>
      <c r="AD1393" s="29"/>
      <c r="AE1393" s="29"/>
      <c r="AF1393" s="29"/>
      <c r="AG1393" s="29"/>
      <c r="AH1393" s="123"/>
      <c r="AI1393" s="32"/>
      <c r="AJ1393" s="32"/>
      <c r="AK1393" s="32"/>
      <c r="AL1393" s="32"/>
      <c r="AM1393" s="32"/>
      <c r="AN1393" s="32"/>
      <c r="AO1393" s="32"/>
      <c r="AP1393" s="29"/>
    </row>
    <row r="1394">
      <c r="A1394" s="115"/>
      <c r="B1394" s="116"/>
      <c r="C1394" s="115"/>
      <c r="D1394" s="115"/>
      <c r="E1394" s="115"/>
      <c r="F1394" s="115"/>
      <c r="G1394" s="115"/>
      <c r="H1394" s="115"/>
      <c r="I1394" s="115"/>
      <c r="J1394" s="115"/>
      <c r="K1394" s="115"/>
      <c r="L1394" s="115"/>
      <c r="O1394" s="116"/>
      <c r="Q1394" s="116"/>
      <c r="T1394" s="114"/>
      <c r="Y1394" s="118"/>
      <c r="Z1394" s="29"/>
      <c r="AA1394" s="29"/>
      <c r="AB1394" s="29"/>
      <c r="AC1394" s="29"/>
      <c r="AD1394" s="29"/>
      <c r="AE1394" s="29"/>
      <c r="AF1394" s="29"/>
      <c r="AG1394" s="29"/>
      <c r="AH1394" s="123"/>
      <c r="AI1394" s="32"/>
      <c r="AJ1394" s="32"/>
      <c r="AK1394" s="32"/>
      <c r="AL1394" s="32"/>
      <c r="AM1394" s="32"/>
      <c r="AN1394" s="32"/>
      <c r="AO1394" s="32"/>
      <c r="AP1394" s="29"/>
    </row>
    <row r="1395">
      <c r="A1395" s="115"/>
      <c r="B1395" s="116"/>
      <c r="C1395" s="115"/>
      <c r="D1395" s="115"/>
      <c r="E1395" s="115"/>
      <c r="F1395" s="115"/>
      <c r="G1395" s="115"/>
      <c r="H1395" s="115"/>
      <c r="I1395" s="115"/>
      <c r="J1395" s="115"/>
      <c r="K1395" s="115"/>
      <c r="L1395" s="115"/>
      <c r="O1395" s="116"/>
      <c r="Q1395" s="116"/>
      <c r="T1395" s="114"/>
      <c r="Y1395" s="118"/>
      <c r="Z1395" s="29"/>
      <c r="AA1395" s="29"/>
      <c r="AB1395" s="29"/>
      <c r="AC1395" s="29"/>
      <c r="AD1395" s="29"/>
      <c r="AE1395" s="29"/>
      <c r="AF1395" s="29"/>
      <c r="AG1395" s="29"/>
      <c r="AH1395" s="123"/>
      <c r="AI1395" s="32"/>
      <c r="AJ1395" s="32"/>
      <c r="AK1395" s="32"/>
      <c r="AL1395" s="32"/>
      <c r="AM1395" s="32"/>
      <c r="AN1395" s="32"/>
      <c r="AO1395" s="32"/>
      <c r="AP1395" s="29"/>
    </row>
    <row r="1396">
      <c r="A1396" s="115"/>
      <c r="B1396" s="116"/>
      <c r="C1396" s="115"/>
      <c r="D1396" s="115"/>
      <c r="E1396" s="115"/>
      <c r="F1396" s="115"/>
      <c r="G1396" s="115"/>
      <c r="H1396" s="115"/>
      <c r="I1396" s="115"/>
      <c r="J1396" s="115"/>
      <c r="K1396" s="115"/>
      <c r="L1396" s="115"/>
      <c r="O1396" s="116"/>
      <c r="Q1396" s="116"/>
      <c r="T1396" s="114"/>
      <c r="Y1396" s="118"/>
      <c r="Z1396" s="29"/>
      <c r="AA1396" s="29"/>
      <c r="AB1396" s="29"/>
      <c r="AC1396" s="29"/>
      <c r="AD1396" s="29"/>
      <c r="AE1396" s="29"/>
      <c r="AF1396" s="29"/>
      <c r="AG1396" s="29"/>
      <c r="AH1396" s="123"/>
      <c r="AI1396" s="32"/>
      <c r="AJ1396" s="32"/>
      <c r="AK1396" s="32"/>
      <c r="AL1396" s="32"/>
      <c r="AM1396" s="32"/>
      <c r="AN1396" s="32"/>
      <c r="AO1396" s="32"/>
      <c r="AP1396" s="29"/>
    </row>
    <row r="1397">
      <c r="A1397" s="115"/>
      <c r="B1397" s="116"/>
      <c r="C1397" s="115"/>
      <c r="D1397" s="115"/>
      <c r="E1397" s="115"/>
      <c r="F1397" s="115"/>
      <c r="G1397" s="115"/>
      <c r="H1397" s="115"/>
      <c r="I1397" s="115"/>
      <c r="J1397" s="115"/>
      <c r="K1397" s="115"/>
      <c r="L1397" s="115"/>
      <c r="O1397" s="116"/>
      <c r="Q1397" s="116"/>
      <c r="T1397" s="114"/>
      <c r="Y1397" s="118"/>
      <c r="Z1397" s="29"/>
      <c r="AA1397" s="29"/>
      <c r="AB1397" s="29"/>
      <c r="AC1397" s="29"/>
      <c r="AD1397" s="29"/>
      <c r="AE1397" s="29"/>
      <c r="AF1397" s="29"/>
      <c r="AG1397" s="29"/>
      <c r="AH1397" s="123"/>
      <c r="AI1397" s="32"/>
      <c r="AJ1397" s="32"/>
      <c r="AK1397" s="32"/>
      <c r="AL1397" s="32"/>
      <c r="AM1397" s="32"/>
      <c r="AN1397" s="32"/>
      <c r="AO1397" s="32"/>
      <c r="AP1397" s="29"/>
    </row>
    <row r="1398">
      <c r="A1398" s="115"/>
      <c r="B1398" s="116"/>
      <c r="C1398" s="115"/>
      <c r="D1398" s="115"/>
      <c r="E1398" s="115"/>
      <c r="F1398" s="115"/>
      <c r="G1398" s="115"/>
      <c r="H1398" s="115"/>
      <c r="I1398" s="115"/>
      <c r="J1398" s="115"/>
      <c r="K1398" s="115"/>
      <c r="L1398" s="115"/>
      <c r="O1398" s="116"/>
      <c r="Q1398" s="116"/>
      <c r="T1398" s="114"/>
      <c r="Y1398" s="118"/>
      <c r="Z1398" s="29"/>
      <c r="AA1398" s="29"/>
      <c r="AB1398" s="29"/>
      <c r="AC1398" s="29"/>
      <c r="AD1398" s="29"/>
      <c r="AE1398" s="29"/>
      <c r="AF1398" s="29"/>
      <c r="AG1398" s="29"/>
      <c r="AH1398" s="123"/>
      <c r="AI1398" s="32"/>
      <c r="AJ1398" s="32"/>
      <c r="AK1398" s="32"/>
      <c r="AL1398" s="32"/>
      <c r="AM1398" s="32"/>
      <c r="AN1398" s="32"/>
      <c r="AO1398" s="32"/>
      <c r="AP1398" s="29"/>
    </row>
    <row r="1399">
      <c r="A1399" s="115"/>
      <c r="B1399" s="116"/>
      <c r="C1399" s="115"/>
      <c r="D1399" s="115"/>
      <c r="E1399" s="115"/>
      <c r="F1399" s="115"/>
      <c r="G1399" s="115"/>
      <c r="H1399" s="115"/>
      <c r="I1399" s="115"/>
      <c r="J1399" s="115"/>
      <c r="K1399" s="115"/>
      <c r="L1399" s="115"/>
      <c r="O1399" s="116"/>
      <c r="Q1399" s="116"/>
      <c r="T1399" s="114"/>
      <c r="Y1399" s="118"/>
      <c r="Z1399" s="29"/>
      <c r="AA1399" s="29"/>
      <c r="AB1399" s="29"/>
      <c r="AC1399" s="29"/>
      <c r="AD1399" s="29"/>
      <c r="AE1399" s="29"/>
      <c r="AF1399" s="29"/>
      <c r="AG1399" s="29"/>
      <c r="AH1399" s="123"/>
      <c r="AI1399" s="32"/>
      <c r="AJ1399" s="32"/>
      <c r="AK1399" s="32"/>
      <c r="AL1399" s="32"/>
      <c r="AM1399" s="32"/>
      <c r="AN1399" s="32"/>
      <c r="AO1399" s="32"/>
      <c r="AP1399" s="29"/>
    </row>
    <row r="1400">
      <c r="A1400" s="115"/>
      <c r="B1400" s="116"/>
      <c r="C1400" s="115"/>
      <c r="D1400" s="115"/>
      <c r="E1400" s="115"/>
      <c r="F1400" s="115"/>
      <c r="G1400" s="115"/>
      <c r="H1400" s="115"/>
      <c r="I1400" s="115"/>
      <c r="J1400" s="115"/>
      <c r="K1400" s="115"/>
      <c r="L1400" s="115"/>
      <c r="O1400" s="116"/>
      <c r="Q1400" s="116"/>
      <c r="T1400" s="114"/>
      <c r="Y1400" s="118"/>
      <c r="Z1400" s="29"/>
      <c r="AA1400" s="29"/>
      <c r="AB1400" s="29"/>
      <c r="AC1400" s="29"/>
      <c r="AD1400" s="29"/>
      <c r="AE1400" s="29"/>
      <c r="AF1400" s="29"/>
      <c r="AG1400" s="29"/>
      <c r="AH1400" s="123"/>
      <c r="AI1400" s="32"/>
      <c r="AJ1400" s="32"/>
      <c r="AK1400" s="32"/>
      <c r="AL1400" s="32"/>
      <c r="AM1400" s="32"/>
      <c r="AN1400" s="32"/>
      <c r="AO1400" s="32"/>
      <c r="AP1400" s="29"/>
    </row>
    <row r="1401">
      <c r="A1401" s="115"/>
      <c r="B1401" s="116"/>
      <c r="C1401" s="115"/>
      <c r="D1401" s="115"/>
      <c r="E1401" s="115"/>
      <c r="F1401" s="115"/>
      <c r="G1401" s="115"/>
      <c r="H1401" s="115"/>
      <c r="I1401" s="115"/>
      <c r="J1401" s="115"/>
      <c r="K1401" s="115"/>
      <c r="L1401" s="115"/>
      <c r="O1401" s="116"/>
      <c r="Q1401" s="116"/>
      <c r="T1401" s="114"/>
      <c r="Y1401" s="118"/>
      <c r="Z1401" s="29"/>
      <c r="AA1401" s="29"/>
      <c r="AB1401" s="29"/>
      <c r="AC1401" s="29"/>
      <c r="AD1401" s="29"/>
      <c r="AE1401" s="29"/>
      <c r="AF1401" s="29"/>
      <c r="AG1401" s="29"/>
      <c r="AH1401" s="123"/>
      <c r="AI1401" s="32"/>
      <c r="AJ1401" s="32"/>
      <c r="AK1401" s="32"/>
      <c r="AL1401" s="32"/>
      <c r="AM1401" s="32"/>
      <c r="AN1401" s="32"/>
      <c r="AO1401" s="32"/>
      <c r="AP1401" s="29"/>
    </row>
    <row r="1402">
      <c r="A1402" s="115"/>
      <c r="B1402" s="116"/>
      <c r="C1402" s="115"/>
      <c r="D1402" s="115"/>
      <c r="E1402" s="115"/>
      <c r="F1402" s="115"/>
      <c r="G1402" s="115"/>
      <c r="H1402" s="115"/>
      <c r="I1402" s="115"/>
      <c r="J1402" s="115"/>
      <c r="K1402" s="115"/>
      <c r="L1402" s="115"/>
      <c r="O1402" s="116"/>
      <c r="Q1402" s="116"/>
      <c r="T1402" s="114"/>
      <c r="Y1402" s="118"/>
      <c r="Z1402" s="29"/>
      <c r="AA1402" s="29"/>
      <c r="AB1402" s="29"/>
      <c r="AC1402" s="29"/>
      <c r="AD1402" s="29"/>
      <c r="AE1402" s="29"/>
      <c r="AF1402" s="29"/>
      <c r="AG1402" s="29"/>
      <c r="AH1402" s="123"/>
      <c r="AI1402" s="32"/>
      <c r="AJ1402" s="32"/>
      <c r="AK1402" s="32"/>
      <c r="AL1402" s="32"/>
      <c r="AM1402" s="32"/>
      <c r="AN1402" s="32"/>
      <c r="AO1402" s="32"/>
      <c r="AP1402" s="29"/>
    </row>
    <row r="1403">
      <c r="A1403" s="115"/>
      <c r="B1403" s="116"/>
      <c r="C1403" s="115"/>
      <c r="D1403" s="115"/>
      <c r="E1403" s="115"/>
      <c r="F1403" s="115"/>
      <c r="G1403" s="115"/>
      <c r="H1403" s="115"/>
      <c r="I1403" s="115"/>
      <c r="J1403" s="115"/>
      <c r="K1403" s="115"/>
      <c r="L1403" s="115"/>
      <c r="O1403" s="116"/>
      <c r="Q1403" s="116"/>
      <c r="T1403" s="114"/>
      <c r="Y1403" s="118"/>
      <c r="Z1403" s="29"/>
      <c r="AA1403" s="29"/>
      <c r="AB1403" s="29"/>
      <c r="AC1403" s="29"/>
      <c r="AD1403" s="29"/>
      <c r="AE1403" s="29"/>
      <c r="AF1403" s="29"/>
      <c r="AG1403" s="29"/>
      <c r="AH1403" s="123"/>
      <c r="AI1403" s="32"/>
      <c r="AJ1403" s="32"/>
      <c r="AK1403" s="32"/>
      <c r="AL1403" s="32"/>
      <c r="AM1403" s="32"/>
      <c r="AN1403" s="32"/>
      <c r="AO1403" s="32"/>
      <c r="AP1403" s="29"/>
    </row>
    <row r="1404">
      <c r="A1404" s="115"/>
      <c r="B1404" s="116"/>
      <c r="C1404" s="115"/>
      <c r="D1404" s="115"/>
      <c r="E1404" s="115"/>
      <c r="F1404" s="115"/>
      <c r="G1404" s="115"/>
      <c r="H1404" s="115"/>
      <c r="I1404" s="115"/>
      <c r="J1404" s="115"/>
      <c r="K1404" s="115"/>
      <c r="L1404" s="115"/>
      <c r="O1404" s="116"/>
      <c r="Q1404" s="116"/>
      <c r="T1404" s="114"/>
      <c r="Y1404" s="118"/>
      <c r="Z1404" s="29"/>
      <c r="AA1404" s="29"/>
      <c r="AB1404" s="29"/>
      <c r="AC1404" s="29"/>
      <c r="AD1404" s="29"/>
      <c r="AE1404" s="29"/>
      <c r="AF1404" s="29"/>
      <c r="AG1404" s="29"/>
      <c r="AH1404" s="123"/>
      <c r="AI1404" s="32"/>
      <c r="AJ1404" s="32"/>
      <c r="AK1404" s="32"/>
      <c r="AL1404" s="32"/>
      <c r="AM1404" s="32"/>
      <c r="AN1404" s="32"/>
      <c r="AO1404" s="32"/>
      <c r="AP1404" s="29"/>
    </row>
    <row r="1405">
      <c r="A1405" s="115"/>
      <c r="B1405" s="116"/>
      <c r="C1405" s="115"/>
      <c r="D1405" s="115"/>
      <c r="E1405" s="115"/>
      <c r="F1405" s="115"/>
      <c r="G1405" s="115"/>
      <c r="H1405" s="115"/>
      <c r="I1405" s="115"/>
      <c r="J1405" s="115"/>
      <c r="K1405" s="115"/>
      <c r="L1405" s="115"/>
      <c r="O1405" s="116"/>
      <c r="Q1405" s="116"/>
      <c r="T1405" s="114"/>
      <c r="Y1405" s="118"/>
      <c r="Z1405" s="29"/>
      <c r="AA1405" s="29"/>
      <c r="AB1405" s="29"/>
      <c r="AC1405" s="29"/>
      <c r="AD1405" s="29"/>
      <c r="AE1405" s="29"/>
      <c r="AF1405" s="29"/>
      <c r="AG1405" s="29"/>
      <c r="AH1405" s="123"/>
      <c r="AI1405" s="32"/>
      <c r="AJ1405" s="32"/>
      <c r="AK1405" s="32"/>
      <c r="AL1405" s="32"/>
      <c r="AM1405" s="32"/>
      <c r="AN1405" s="32"/>
      <c r="AO1405" s="32"/>
      <c r="AP1405" s="29"/>
    </row>
    <row r="1406">
      <c r="A1406" s="115"/>
      <c r="B1406" s="116"/>
      <c r="C1406" s="115"/>
      <c r="D1406" s="115"/>
      <c r="E1406" s="115"/>
      <c r="F1406" s="115"/>
      <c r="G1406" s="115"/>
      <c r="H1406" s="115"/>
      <c r="I1406" s="115"/>
      <c r="J1406" s="115"/>
      <c r="K1406" s="115"/>
      <c r="L1406" s="115"/>
      <c r="O1406" s="116"/>
      <c r="Q1406" s="116"/>
      <c r="T1406" s="114"/>
      <c r="Y1406" s="118"/>
      <c r="Z1406" s="29"/>
      <c r="AA1406" s="29"/>
      <c r="AB1406" s="29"/>
      <c r="AC1406" s="29"/>
      <c r="AD1406" s="29"/>
      <c r="AE1406" s="29"/>
      <c r="AF1406" s="29"/>
      <c r="AG1406" s="29"/>
      <c r="AH1406" s="123"/>
      <c r="AI1406" s="32"/>
      <c r="AJ1406" s="32"/>
      <c r="AK1406" s="32"/>
      <c r="AL1406" s="32"/>
      <c r="AM1406" s="32"/>
      <c r="AN1406" s="32"/>
      <c r="AO1406" s="32"/>
      <c r="AP1406" s="29"/>
    </row>
    <row r="1407">
      <c r="A1407" s="115"/>
      <c r="B1407" s="116"/>
      <c r="C1407" s="115"/>
      <c r="D1407" s="115"/>
      <c r="E1407" s="115"/>
      <c r="F1407" s="115"/>
      <c r="G1407" s="115"/>
      <c r="H1407" s="115"/>
      <c r="I1407" s="115"/>
      <c r="J1407" s="115"/>
      <c r="K1407" s="115"/>
      <c r="L1407" s="115"/>
      <c r="O1407" s="116"/>
      <c r="Q1407" s="116"/>
      <c r="T1407" s="114"/>
      <c r="Y1407" s="118"/>
      <c r="Z1407" s="29"/>
      <c r="AA1407" s="29"/>
      <c r="AB1407" s="29"/>
      <c r="AC1407" s="29"/>
      <c r="AD1407" s="29"/>
      <c r="AE1407" s="29"/>
      <c r="AF1407" s="29"/>
      <c r="AG1407" s="29"/>
      <c r="AH1407" s="123"/>
      <c r="AI1407" s="32"/>
      <c r="AJ1407" s="32"/>
      <c r="AK1407" s="32"/>
      <c r="AL1407" s="32"/>
      <c r="AM1407" s="32"/>
      <c r="AN1407" s="32"/>
      <c r="AO1407" s="32"/>
      <c r="AP1407" s="29"/>
    </row>
    <row r="1408">
      <c r="A1408" s="115"/>
      <c r="B1408" s="116"/>
      <c r="C1408" s="115"/>
      <c r="D1408" s="115"/>
      <c r="E1408" s="115"/>
      <c r="F1408" s="115"/>
      <c r="G1408" s="115"/>
      <c r="H1408" s="115"/>
      <c r="I1408" s="115"/>
      <c r="J1408" s="115"/>
      <c r="K1408" s="115"/>
      <c r="L1408" s="115"/>
      <c r="O1408" s="116"/>
      <c r="Q1408" s="116"/>
      <c r="T1408" s="114"/>
      <c r="Y1408" s="118"/>
      <c r="Z1408" s="29"/>
      <c r="AA1408" s="29"/>
      <c r="AB1408" s="29"/>
      <c r="AC1408" s="29"/>
      <c r="AD1408" s="29"/>
      <c r="AE1408" s="29"/>
      <c r="AF1408" s="29"/>
      <c r="AG1408" s="29"/>
      <c r="AH1408" s="123"/>
      <c r="AI1408" s="32"/>
      <c r="AJ1408" s="32"/>
      <c r="AK1408" s="32"/>
      <c r="AL1408" s="32"/>
      <c r="AM1408" s="32"/>
      <c r="AN1408" s="32"/>
      <c r="AO1408" s="32"/>
      <c r="AP1408" s="29"/>
    </row>
    <row r="1409">
      <c r="A1409" s="115"/>
      <c r="B1409" s="116"/>
      <c r="C1409" s="115"/>
      <c r="D1409" s="115"/>
      <c r="E1409" s="115"/>
      <c r="F1409" s="115"/>
      <c r="G1409" s="115"/>
      <c r="H1409" s="115"/>
      <c r="I1409" s="115"/>
      <c r="J1409" s="115"/>
      <c r="K1409" s="115"/>
      <c r="L1409" s="115"/>
      <c r="O1409" s="116"/>
      <c r="Q1409" s="116"/>
      <c r="T1409" s="114"/>
      <c r="Y1409" s="118"/>
      <c r="Z1409" s="29"/>
      <c r="AA1409" s="29"/>
      <c r="AB1409" s="29"/>
      <c r="AC1409" s="29"/>
      <c r="AD1409" s="29"/>
      <c r="AE1409" s="29"/>
      <c r="AF1409" s="29"/>
      <c r="AG1409" s="29"/>
      <c r="AH1409" s="123"/>
      <c r="AI1409" s="32"/>
      <c r="AJ1409" s="32"/>
      <c r="AK1409" s="32"/>
      <c r="AL1409" s="32"/>
      <c r="AM1409" s="32"/>
      <c r="AN1409" s="32"/>
      <c r="AO1409" s="32"/>
      <c r="AP1409" s="29"/>
    </row>
    <row r="1410">
      <c r="A1410" s="115"/>
      <c r="B1410" s="116"/>
      <c r="C1410" s="115"/>
      <c r="D1410" s="115"/>
      <c r="E1410" s="115"/>
      <c r="F1410" s="115"/>
      <c r="G1410" s="115"/>
      <c r="H1410" s="115"/>
      <c r="I1410" s="115"/>
      <c r="J1410" s="115"/>
      <c r="K1410" s="115"/>
      <c r="L1410" s="115"/>
      <c r="O1410" s="116"/>
      <c r="Q1410" s="116"/>
      <c r="T1410" s="114"/>
      <c r="Y1410" s="118"/>
      <c r="Z1410" s="29"/>
      <c r="AA1410" s="29"/>
      <c r="AB1410" s="29"/>
      <c r="AC1410" s="29"/>
      <c r="AD1410" s="29"/>
      <c r="AE1410" s="29"/>
      <c r="AF1410" s="29"/>
      <c r="AG1410" s="29"/>
      <c r="AH1410" s="123"/>
      <c r="AI1410" s="32"/>
      <c r="AJ1410" s="32"/>
      <c r="AK1410" s="32"/>
      <c r="AL1410" s="32"/>
      <c r="AM1410" s="32"/>
      <c r="AN1410" s="32"/>
      <c r="AO1410" s="32"/>
      <c r="AP1410" s="29"/>
    </row>
    <row r="1411">
      <c r="A1411" s="115"/>
      <c r="B1411" s="116"/>
      <c r="C1411" s="115"/>
      <c r="D1411" s="115"/>
      <c r="E1411" s="115"/>
      <c r="F1411" s="115"/>
      <c r="G1411" s="115"/>
      <c r="H1411" s="115"/>
      <c r="I1411" s="115"/>
      <c r="J1411" s="115"/>
      <c r="K1411" s="115"/>
      <c r="L1411" s="115"/>
      <c r="O1411" s="116"/>
      <c r="Q1411" s="116"/>
      <c r="T1411" s="114"/>
      <c r="Y1411" s="118"/>
      <c r="Z1411" s="29"/>
      <c r="AA1411" s="29"/>
      <c r="AB1411" s="29"/>
      <c r="AC1411" s="29"/>
      <c r="AD1411" s="29"/>
      <c r="AE1411" s="29"/>
      <c r="AF1411" s="29"/>
      <c r="AG1411" s="29"/>
      <c r="AH1411" s="123"/>
      <c r="AI1411" s="32"/>
      <c r="AJ1411" s="32"/>
      <c r="AK1411" s="32"/>
      <c r="AL1411" s="32"/>
      <c r="AM1411" s="32"/>
      <c r="AN1411" s="32"/>
      <c r="AO1411" s="32"/>
      <c r="AP1411" s="29"/>
    </row>
    <row r="1412">
      <c r="A1412" s="115"/>
      <c r="B1412" s="116"/>
      <c r="C1412" s="115"/>
      <c r="D1412" s="115"/>
      <c r="E1412" s="115"/>
      <c r="F1412" s="115"/>
      <c r="G1412" s="115"/>
      <c r="H1412" s="115"/>
      <c r="I1412" s="115"/>
      <c r="J1412" s="115"/>
      <c r="K1412" s="115"/>
      <c r="L1412" s="115"/>
      <c r="O1412" s="116"/>
      <c r="Q1412" s="116"/>
      <c r="T1412" s="114"/>
      <c r="Y1412" s="118"/>
      <c r="Z1412" s="29"/>
      <c r="AA1412" s="29"/>
      <c r="AB1412" s="29"/>
      <c r="AC1412" s="29"/>
      <c r="AD1412" s="29"/>
      <c r="AE1412" s="29"/>
      <c r="AF1412" s="29"/>
      <c r="AG1412" s="29"/>
      <c r="AH1412" s="123"/>
      <c r="AI1412" s="32"/>
      <c r="AJ1412" s="32"/>
      <c r="AK1412" s="32"/>
      <c r="AL1412" s="32"/>
      <c r="AM1412" s="32"/>
      <c r="AN1412" s="32"/>
      <c r="AO1412" s="32"/>
      <c r="AP1412" s="29"/>
    </row>
    <row r="1413">
      <c r="A1413" s="115"/>
      <c r="B1413" s="116"/>
      <c r="C1413" s="115"/>
      <c r="D1413" s="115"/>
      <c r="E1413" s="115"/>
      <c r="F1413" s="115"/>
      <c r="G1413" s="115"/>
      <c r="H1413" s="115"/>
      <c r="I1413" s="115"/>
      <c r="J1413" s="115"/>
      <c r="K1413" s="115"/>
      <c r="L1413" s="115"/>
      <c r="O1413" s="116"/>
      <c r="Q1413" s="116"/>
      <c r="T1413" s="114"/>
      <c r="Y1413" s="118"/>
      <c r="Z1413" s="29"/>
      <c r="AA1413" s="29"/>
      <c r="AB1413" s="29"/>
      <c r="AC1413" s="29"/>
      <c r="AD1413" s="29"/>
      <c r="AE1413" s="29"/>
      <c r="AF1413" s="29"/>
      <c r="AG1413" s="29"/>
      <c r="AH1413" s="123"/>
      <c r="AI1413" s="32"/>
      <c r="AJ1413" s="32"/>
      <c r="AK1413" s="32"/>
      <c r="AL1413" s="32"/>
      <c r="AM1413" s="32"/>
      <c r="AN1413" s="32"/>
      <c r="AO1413" s="32"/>
      <c r="AP1413" s="29"/>
    </row>
    <row r="1414">
      <c r="A1414" s="115"/>
      <c r="B1414" s="116"/>
      <c r="C1414" s="115"/>
      <c r="D1414" s="115"/>
      <c r="E1414" s="115"/>
      <c r="F1414" s="115"/>
      <c r="G1414" s="115"/>
      <c r="H1414" s="115"/>
      <c r="I1414" s="115"/>
      <c r="J1414" s="115"/>
      <c r="K1414" s="115"/>
      <c r="L1414" s="115"/>
      <c r="O1414" s="116"/>
      <c r="Q1414" s="116"/>
      <c r="T1414" s="114"/>
      <c r="Y1414" s="118"/>
      <c r="Z1414" s="29"/>
      <c r="AA1414" s="29"/>
      <c r="AB1414" s="29"/>
      <c r="AC1414" s="29"/>
      <c r="AD1414" s="29"/>
      <c r="AE1414" s="29"/>
      <c r="AF1414" s="29"/>
      <c r="AG1414" s="29"/>
      <c r="AH1414" s="123"/>
      <c r="AI1414" s="32"/>
      <c r="AJ1414" s="32"/>
      <c r="AK1414" s="32"/>
      <c r="AL1414" s="32"/>
      <c r="AM1414" s="32"/>
      <c r="AN1414" s="32"/>
      <c r="AO1414" s="32"/>
      <c r="AP1414" s="29"/>
    </row>
    <row r="1415">
      <c r="A1415" s="115"/>
      <c r="B1415" s="116"/>
      <c r="C1415" s="115"/>
      <c r="D1415" s="115"/>
      <c r="E1415" s="115"/>
      <c r="F1415" s="115"/>
      <c r="G1415" s="115"/>
      <c r="H1415" s="115"/>
      <c r="I1415" s="115"/>
      <c r="J1415" s="115"/>
      <c r="K1415" s="115"/>
      <c r="L1415" s="115"/>
      <c r="O1415" s="116"/>
      <c r="Q1415" s="116"/>
      <c r="T1415" s="114"/>
      <c r="Y1415" s="118"/>
      <c r="Z1415" s="29"/>
      <c r="AA1415" s="29"/>
      <c r="AB1415" s="29"/>
      <c r="AC1415" s="29"/>
      <c r="AD1415" s="29"/>
      <c r="AE1415" s="29"/>
      <c r="AF1415" s="29"/>
      <c r="AG1415" s="29"/>
      <c r="AH1415" s="123"/>
      <c r="AI1415" s="32"/>
      <c r="AJ1415" s="32"/>
      <c r="AK1415" s="32"/>
      <c r="AL1415" s="32"/>
      <c r="AM1415" s="32"/>
      <c r="AN1415" s="32"/>
      <c r="AO1415" s="32"/>
      <c r="AP1415" s="29"/>
    </row>
    <row r="1416">
      <c r="A1416" s="115"/>
      <c r="B1416" s="116"/>
      <c r="C1416" s="115"/>
      <c r="D1416" s="115"/>
      <c r="E1416" s="115"/>
      <c r="F1416" s="115"/>
      <c r="G1416" s="115"/>
      <c r="H1416" s="115"/>
      <c r="I1416" s="115"/>
      <c r="J1416" s="115"/>
      <c r="K1416" s="115"/>
      <c r="L1416" s="115"/>
      <c r="O1416" s="116"/>
      <c r="Q1416" s="116"/>
      <c r="T1416" s="114"/>
      <c r="Y1416" s="118"/>
      <c r="Z1416" s="29"/>
      <c r="AA1416" s="29"/>
      <c r="AB1416" s="29"/>
      <c r="AC1416" s="29"/>
      <c r="AD1416" s="29"/>
      <c r="AE1416" s="29"/>
      <c r="AF1416" s="29"/>
      <c r="AG1416" s="29"/>
      <c r="AH1416" s="123"/>
      <c r="AI1416" s="32"/>
      <c r="AJ1416" s="32"/>
      <c r="AK1416" s="32"/>
      <c r="AL1416" s="32"/>
      <c r="AM1416" s="32"/>
      <c r="AN1416" s="32"/>
      <c r="AO1416" s="32"/>
      <c r="AP1416" s="29"/>
    </row>
    <row r="1417">
      <c r="A1417" s="115"/>
      <c r="B1417" s="116"/>
      <c r="C1417" s="115"/>
      <c r="D1417" s="115"/>
      <c r="E1417" s="115"/>
      <c r="F1417" s="115"/>
      <c r="G1417" s="115"/>
      <c r="H1417" s="115"/>
      <c r="I1417" s="115"/>
      <c r="J1417" s="115"/>
      <c r="K1417" s="115"/>
      <c r="L1417" s="115"/>
      <c r="O1417" s="116"/>
      <c r="Q1417" s="116"/>
      <c r="T1417" s="114"/>
      <c r="Y1417" s="118"/>
      <c r="Z1417" s="29"/>
      <c r="AA1417" s="29"/>
      <c r="AB1417" s="29"/>
      <c r="AC1417" s="29"/>
      <c r="AD1417" s="29"/>
      <c r="AE1417" s="29"/>
      <c r="AF1417" s="29"/>
      <c r="AG1417" s="29"/>
      <c r="AH1417" s="123"/>
      <c r="AI1417" s="32"/>
      <c r="AJ1417" s="32"/>
      <c r="AK1417" s="32"/>
      <c r="AL1417" s="32"/>
      <c r="AM1417" s="32"/>
      <c r="AN1417" s="32"/>
      <c r="AO1417" s="32"/>
      <c r="AP1417" s="29"/>
    </row>
    <row r="1418">
      <c r="A1418" s="115"/>
      <c r="B1418" s="116"/>
      <c r="C1418" s="115"/>
      <c r="D1418" s="115"/>
      <c r="E1418" s="115"/>
      <c r="F1418" s="115"/>
      <c r="G1418" s="115"/>
      <c r="H1418" s="115"/>
      <c r="I1418" s="115"/>
      <c r="J1418" s="115"/>
      <c r="K1418" s="115"/>
      <c r="L1418" s="115"/>
      <c r="O1418" s="116"/>
      <c r="Q1418" s="116"/>
      <c r="T1418" s="114"/>
      <c r="Y1418" s="118"/>
      <c r="Z1418" s="29"/>
      <c r="AA1418" s="29"/>
      <c r="AB1418" s="29"/>
      <c r="AC1418" s="29"/>
      <c r="AD1418" s="29"/>
      <c r="AE1418" s="29"/>
      <c r="AF1418" s="29"/>
      <c r="AG1418" s="29"/>
      <c r="AH1418" s="123"/>
      <c r="AI1418" s="32"/>
      <c r="AJ1418" s="32"/>
      <c r="AK1418" s="32"/>
      <c r="AL1418" s="32"/>
      <c r="AM1418" s="32"/>
      <c r="AN1418" s="32"/>
      <c r="AO1418" s="32"/>
      <c r="AP1418" s="29"/>
    </row>
    <row r="1419">
      <c r="A1419" s="115"/>
      <c r="B1419" s="116"/>
      <c r="C1419" s="115"/>
      <c r="D1419" s="115"/>
      <c r="E1419" s="115"/>
      <c r="F1419" s="115"/>
      <c r="G1419" s="115"/>
      <c r="H1419" s="115"/>
      <c r="I1419" s="115"/>
      <c r="J1419" s="115"/>
      <c r="K1419" s="115"/>
      <c r="L1419" s="115"/>
      <c r="O1419" s="116"/>
      <c r="Q1419" s="116"/>
      <c r="T1419" s="114"/>
      <c r="Y1419" s="118"/>
      <c r="Z1419" s="29"/>
      <c r="AA1419" s="29"/>
      <c r="AB1419" s="29"/>
      <c r="AC1419" s="29"/>
      <c r="AD1419" s="29"/>
      <c r="AE1419" s="29"/>
      <c r="AF1419" s="29"/>
      <c r="AG1419" s="29"/>
      <c r="AH1419" s="123"/>
      <c r="AI1419" s="32"/>
      <c r="AJ1419" s="32"/>
      <c r="AK1419" s="32"/>
      <c r="AL1419" s="32"/>
      <c r="AM1419" s="32"/>
      <c r="AN1419" s="32"/>
      <c r="AO1419" s="32"/>
      <c r="AP1419" s="29"/>
    </row>
    <row r="1420">
      <c r="A1420" s="115"/>
      <c r="B1420" s="116"/>
      <c r="C1420" s="115"/>
      <c r="D1420" s="115"/>
      <c r="E1420" s="115"/>
      <c r="F1420" s="115"/>
      <c r="G1420" s="115"/>
      <c r="H1420" s="115"/>
      <c r="I1420" s="115"/>
      <c r="J1420" s="115"/>
      <c r="K1420" s="115"/>
      <c r="L1420" s="115"/>
      <c r="O1420" s="116"/>
      <c r="Q1420" s="116"/>
      <c r="T1420" s="114"/>
      <c r="Y1420" s="118"/>
      <c r="Z1420" s="29"/>
      <c r="AA1420" s="29"/>
      <c r="AB1420" s="29"/>
      <c r="AC1420" s="29"/>
      <c r="AD1420" s="29"/>
      <c r="AE1420" s="29"/>
      <c r="AF1420" s="29"/>
      <c r="AG1420" s="29"/>
      <c r="AH1420" s="123"/>
      <c r="AI1420" s="32"/>
      <c r="AJ1420" s="32"/>
      <c r="AK1420" s="32"/>
      <c r="AL1420" s="32"/>
      <c r="AM1420" s="32"/>
      <c r="AN1420" s="32"/>
      <c r="AO1420" s="32"/>
      <c r="AP1420" s="29"/>
    </row>
    <row r="1421">
      <c r="A1421" s="115"/>
      <c r="B1421" s="116"/>
      <c r="C1421" s="115"/>
      <c r="D1421" s="115"/>
      <c r="E1421" s="115"/>
      <c r="F1421" s="115"/>
      <c r="G1421" s="115"/>
      <c r="H1421" s="115"/>
      <c r="I1421" s="115"/>
      <c r="J1421" s="115"/>
      <c r="K1421" s="115"/>
      <c r="L1421" s="115"/>
      <c r="O1421" s="116"/>
      <c r="Q1421" s="116"/>
      <c r="T1421" s="114"/>
      <c r="Y1421" s="118"/>
      <c r="Z1421" s="29"/>
      <c r="AA1421" s="29"/>
      <c r="AB1421" s="29"/>
      <c r="AC1421" s="29"/>
      <c r="AD1421" s="29"/>
      <c r="AE1421" s="29"/>
      <c r="AF1421" s="29"/>
      <c r="AG1421" s="29"/>
      <c r="AH1421" s="123"/>
      <c r="AI1421" s="32"/>
      <c r="AJ1421" s="32"/>
      <c r="AK1421" s="32"/>
      <c r="AL1421" s="32"/>
      <c r="AM1421" s="32"/>
      <c r="AN1421" s="32"/>
      <c r="AO1421" s="32"/>
      <c r="AP1421" s="29"/>
    </row>
    <row r="1422">
      <c r="A1422" s="115"/>
      <c r="B1422" s="116"/>
      <c r="C1422" s="115"/>
      <c r="D1422" s="115"/>
      <c r="E1422" s="115"/>
      <c r="F1422" s="115"/>
      <c r="G1422" s="115"/>
      <c r="H1422" s="115"/>
      <c r="I1422" s="115"/>
      <c r="J1422" s="115"/>
      <c r="K1422" s="115"/>
      <c r="L1422" s="115"/>
      <c r="O1422" s="116"/>
      <c r="Q1422" s="116"/>
      <c r="T1422" s="114"/>
      <c r="Y1422" s="118"/>
      <c r="Z1422" s="29"/>
      <c r="AA1422" s="29"/>
      <c r="AB1422" s="29"/>
      <c r="AC1422" s="29"/>
      <c r="AD1422" s="29"/>
      <c r="AE1422" s="29"/>
      <c r="AF1422" s="29"/>
      <c r="AG1422" s="29"/>
      <c r="AH1422" s="123"/>
      <c r="AI1422" s="32"/>
      <c r="AJ1422" s="32"/>
      <c r="AK1422" s="32"/>
      <c r="AL1422" s="32"/>
      <c r="AM1422" s="32"/>
      <c r="AN1422" s="32"/>
      <c r="AO1422" s="32"/>
      <c r="AP1422" s="29"/>
    </row>
    <row r="1423">
      <c r="A1423" s="115"/>
      <c r="B1423" s="116"/>
      <c r="C1423" s="115"/>
      <c r="D1423" s="115"/>
      <c r="E1423" s="115"/>
      <c r="F1423" s="115"/>
      <c r="G1423" s="115"/>
      <c r="H1423" s="115"/>
      <c r="I1423" s="115"/>
      <c r="J1423" s="115"/>
      <c r="K1423" s="115"/>
      <c r="L1423" s="115"/>
      <c r="O1423" s="116"/>
      <c r="Q1423" s="116"/>
      <c r="T1423" s="114"/>
      <c r="Y1423" s="118"/>
      <c r="Z1423" s="29"/>
      <c r="AA1423" s="29"/>
      <c r="AB1423" s="29"/>
      <c r="AC1423" s="29"/>
      <c r="AD1423" s="29"/>
      <c r="AE1423" s="29"/>
      <c r="AF1423" s="29"/>
      <c r="AG1423" s="29"/>
      <c r="AH1423" s="123"/>
      <c r="AI1423" s="32"/>
      <c r="AJ1423" s="32"/>
      <c r="AK1423" s="32"/>
      <c r="AL1423" s="32"/>
      <c r="AM1423" s="32"/>
      <c r="AN1423" s="32"/>
      <c r="AO1423" s="32"/>
      <c r="AP1423" s="29"/>
    </row>
    <row r="1424">
      <c r="A1424" s="115"/>
      <c r="B1424" s="116"/>
      <c r="C1424" s="115"/>
      <c r="D1424" s="115"/>
      <c r="E1424" s="115"/>
      <c r="F1424" s="115"/>
      <c r="G1424" s="115"/>
      <c r="H1424" s="115"/>
      <c r="I1424" s="115"/>
      <c r="J1424" s="115"/>
      <c r="K1424" s="115"/>
      <c r="L1424" s="115"/>
      <c r="O1424" s="116"/>
      <c r="Q1424" s="116"/>
      <c r="T1424" s="114"/>
      <c r="Y1424" s="118"/>
      <c r="Z1424" s="29"/>
      <c r="AA1424" s="29"/>
      <c r="AB1424" s="29"/>
      <c r="AC1424" s="29"/>
      <c r="AD1424" s="29"/>
      <c r="AE1424" s="29"/>
      <c r="AF1424" s="29"/>
      <c r="AG1424" s="29"/>
      <c r="AH1424" s="123"/>
      <c r="AI1424" s="32"/>
      <c r="AJ1424" s="32"/>
      <c r="AK1424" s="32"/>
      <c r="AL1424" s="32"/>
      <c r="AM1424" s="32"/>
      <c r="AN1424" s="32"/>
      <c r="AO1424" s="32"/>
      <c r="AP1424" s="29"/>
    </row>
    <row r="1425">
      <c r="A1425" s="115"/>
      <c r="B1425" s="116"/>
      <c r="C1425" s="115"/>
      <c r="D1425" s="115"/>
      <c r="E1425" s="115"/>
      <c r="F1425" s="115"/>
      <c r="G1425" s="115"/>
      <c r="H1425" s="115"/>
      <c r="I1425" s="115"/>
      <c r="J1425" s="115"/>
      <c r="K1425" s="115"/>
      <c r="L1425" s="115"/>
      <c r="O1425" s="116"/>
      <c r="Q1425" s="116"/>
      <c r="T1425" s="114"/>
      <c r="Y1425" s="118"/>
      <c r="Z1425" s="29"/>
      <c r="AA1425" s="29"/>
      <c r="AB1425" s="29"/>
      <c r="AC1425" s="29"/>
      <c r="AD1425" s="29"/>
      <c r="AE1425" s="29"/>
      <c r="AF1425" s="29"/>
      <c r="AG1425" s="29"/>
      <c r="AH1425" s="123"/>
      <c r="AI1425" s="32"/>
      <c r="AJ1425" s="32"/>
      <c r="AK1425" s="32"/>
      <c r="AL1425" s="32"/>
      <c r="AM1425" s="32"/>
      <c r="AN1425" s="32"/>
      <c r="AO1425" s="32"/>
      <c r="AP1425" s="29"/>
    </row>
    <row r="1426">
      <c r="A1426" s="115"/>
      <c r="B1426" s="116"/>
      <c r="C1426" s="115"/>
      <c r="D1426" s="115"/>
      <c r="E1426" s="115"/>
      <c r="F1426" s="115"/>
      <c r="G1426" s="115"/>
      <c r="H1426" s="115"/>
      <c r="I1426" s="115"/>
      <c r="J1426" s="115"/>
      <c r="K1426" s="115"/>
      <c r="L1426" s="115"/>
      <c r="O1426" s="116"/>
      <c r="Q1426" s="116"/>
      <c r="T1426" s="114"/>
      <c r="Y1426" s="118"/>
      <c r="Z1426" s="29"/>
      <c r="AA1426" s="29"/>
      <c r="AB1426" s="29"/>
      <c r="AC1426" s="29"/>
      <c r="AD1426" s="29"/>
      <c r="AE1426" s="29"/>
      <c r="AF1426" s="29"/>
      <c r="AG1426" s="29"/>
      <c r="AH1426" s="123"/>
      <c r="AI1426" s="32"/>
      <c r="AJ1426" s="32"/>
      <c r="AK1426" s="32"/>
      <c r="AL1426" s="32"/>
      <c r="AM1426" s="32"/>
      <c r="AN1426" s="32"/>
      <c r="AO1426" s="32"/>
      <c r="AP1426" s="29"/>
    </row>
    <row r="1427">
      <c r="A1427" s="115"/>
      <c r="B1427" s="116"/>
      <c r="C1427" s="115"/>
      <c r="D1427" s="115"/>
      <c r="E1427" s="115"/>
      <c r="F1427" s="115"/>
      <c r="G1427" s="115"/>
      <c r="H1427" s="115"/>
      <c r="I1427" s="115"/>
      <c r="J1427" s="115"/>
      <c r="K1427" s="115"/>
      <c r="L1427" s="115"/>
      <c r="O1427" s="116"/>
      <c r="Q1427" s="116"/>
      <c r="T1427" s="114"/>
      <c r="Y1427" s="118"/>
      <c r="Z1427" s="29"/>
      <c r="AA1427" s="29"/>
      <c r="AB1427" s="29"/>
      <c r="AC1427" s="29"/>
      <c r="AD1427" s="29"/>
      <c r="AE1427" s="29"/>
      <c r="AF1427" s="29"/>
      <c r="AG1427" s="29"/>
      <c r="AH1427" s="123"/>
      <c r="AI1427" s="32"/>
      <c r="AJ1427" s="32"/>
      <c r="AK1427" s="32"/>
      <c r="AL1427" s="32"/>
      <c r="AM1427" s="32"/>
      <c r="AN1427" s="32"/>
      <c r="AO1427" s="32"/>
      <c r="AP1427" s="29"/>
    </row>
    <row r="1428">
      <c r="A1428" s="115"/>
      <c r="B1428" s="116"/>
      <c r="C1428" s="115"/>
      <c r="D1428" s="115"/>
      <c r="E1428" s="115"/>
      <c r="F1428" s="115"/>
      <c r="G1428" s="115"/>
      <c r="H1428" s="115"/>
      <c r="I1428" s="115"/>
      <c r="J1428" s="115"/>
      <c r="K1428" s="115"/>
      <c r="L1428" s="115"/>
      <c r="O1428" s="116"/>
      <c r="Q1428" s="116"/>
      <c r="T1428" s="114"/>
      <c r="Y1428" s="118"/>
      <c r="Z1428" s="29"/>
      <c r="AA1428" s="29"/>
      <c r="AB1428" s="29"/>
      <c r="AC1428" s="29"/>
      <c r="AD1428" s="29"/>
      <c r="AE1428" s="29"/>
      <c r="AF1428" s="29"/>
      <c r="AG1428" s="29"/>
      <c r="AH1428" s="123"/>
      <c r="AI1428" s="32"/>
      <c r="AJ1428" s="32"/>
      <c r="AK1428" s="32"/>
      <c r="AL1428" s="32"/>
      <c r="AM1428" s="32"/>
      <c r="AN1428" s="32"/>
      <c r="AO1428" s="32"/>
      <c r="AP1428" s="29"/>
    </row>
    <row r="1429">
      <c r="A1429" s="115"/>
      <c r="B1429" s="116"/>
      <c r="C1429" s="115"/>
      <c r="D1429" s="115"/>
      <c r="E1429" s="115"/>
      <c r="F1429" s="115"/>
      <c r="G1429" s="115"/>
      <c r="H1429" s="115"/>
      <c r="I1429" s="115"/>
      <c r="J1429" s="115"/>
      <c r="K1429" s="115"/>
      <c r="L1429" s="115"/>
      <c r="O1429" s="116"/>
      <c r="Q1429" s="116"/>
      <c r="T1429" s="114"/>
      <c r="Y1429" s="118"/>
      <c r="Z1429" s="29"/>
      <c r="AA1429" s="29"/>
      <c r="AB1429" s="29"/>
      <c r="AC1429" s="29"/>
      <c r="AD1429" s="29"/>
      <c r="AE1429" s="29"/>
      <c r="AF1429" s="29"/>
      <c r="AG1429" s="29"/>
      <c r="AH1429" s="123"/>
      <c r="AI1429" s="32"/>
      <c r="AJ1429" s="32"/>
      <c r="AK1429" s="32"/>
      <c r="AL1429" s="32"/>
      <c r="AM1429" s="32"/>
      <c r="AN1429" s="32"/>
      <c r="AO1429" s="32"/>
      <c r="AP1429" s="29"/>
    </row>
    <row r="1430">
      <c r="A1430" s="115"/>
      <c r="B1430" s="116"/>
      <c r="C1430" s="115"/>
      <c r="D1430" s="115"/>
      <c r="E1430" s="115"/>
      <c r="F1430" s="115"/>
      <c r="G1430" s="115"/>
      <c r="H1430" s="115"/>
      <c r="I1430" s="115"/>
      <c r="J1430" s="115"/>
      <c r="K1430" s="115"/>
      <c r="L1430" s="115"/>
      <c r="O1430" s="116"/>
      <c r="Q1430" s="116"/>
      <c r="T1430" s="114"/>
      <c r="Y1430" s="118"/>
      <c r="Z1430" s="29"/>
      <c r="AA1430" s="29"/>
      <c r="AB1430" s="29"/>
      <c r="AC1430" s="29"/>
      <c r="AD1430" s="29"/>
      <c r="AE1430" s="29"/>
      <c r="AF1430" s="29"/>
      <c r="AG1430" s="29"/>
      <c r="AH1430" s="123"/>
      <c r="AI1430" s="32"/>
      <c r="AJ1430" s="32"/>
      <c r="AK1430" s="32"/>
      <c r="AL1430" s="32"/>
      <c r="AM1430" s="32"/>
      <c r="AN1430" s="32"/>
      <c r="AO1430" s="32"/>
      <c r="AP1430" s="29"/>
    </row>
    <row r="1431">
      <c r="A1431" s="115"/>
      <c r="B1431" s="116"/>
      <c r="C1431" s="115"/>
      <c r="D1431" s="115"/>
      <c r="E1431" s="115"/>
      <c r="F1431" s="115"/>
      <c r="G1431" s="115"/>
      <c r="H1431" s="115"/>
      <c r="I1431" s="115"/>
      <c r="J1431" s="115"/>
      <c r="K1431" s="115"/>
      <c r="L1431" s="115"/>
      <c r="O1431" s="116"/>
      <c r="Q1431" s="116"/>
      <c r="T1431" s="114"/>
      <c r="Y1431" s="118"/>
      <c r="Z1431" s="29"/>
      <c r="AA1431" s="29"/>
      <c r="AB1431" s="29"/>
      <c r="AC1431" s="29"/>
      <c r="AD1431" s="29"/>
      <c r="AE1431" s="29"/>
      <c r="AF1431" s="29"/>
      <c r="AG1431" s="29"/>
      <c r="AH1431" s="123"/>
      <c r="AI1431" s="32"/>
      <c r="AJ1431" s="32"/>
      <c r="AK1431" s="32"/>
      <c r="AL1431" s="32"/>
      <c r="AM1431" s="32"/>
      <c r="AN1431" s="32"/>
      <c r="AO1431" s="32"/>
      <c r="AP1431" s="29"/>
    </row>
    <row r="1432">
      <c r="A1432" s="115"/>
      <c r="B1432" s="116"/>
      <c r="C1432" s="115"/>
      <c r="D1432" s="115"/>
      <c r="E1432" s="115"/>
      <c r="F1432" s="115"/>
      <c r="G1432" s="115"/>
      <c r="H1432" s="115"/>
      <c r="I1432" s="115"/>
      <c r="J1432" s="115"/>
      <c r="K1432" s="115"/>
      <c r="L1432" s="115"/>
      <c r="O1432" s="116"/>
      <c r="Q1432" s="116"/>
      <c r="T1432" s="114"/>
      <c r="Y1432" s="118"/>
      <c r="Z1432" s="29"/>
      <c r="AA1432" s="29"/>
      <c r="AB1432" s="29"/>
      <c r="AC1432" s="29"/>
      <c r="AD1432" s="29"/>
      <c r="AE1432" s="29"/>
      <c r="AF1432" s="29"/>
      <c r="AG1432" s="29"/>
      <c r="AH1432" s="123"/>
      <c r="AI1432" s="32"/>
      <c r="AJ1432" s="32"/>
      <c r="AK1432" s="32"/>
      <c r="AL1432" s="32"/>
      <c r="AM1432" s="32"/>
      <c r="AN1432" s="32"/>
      <c r="AO1432" s="32"/>
      <c r="AP1432" s="29"/>
    </row>
    <row r="1433">
      <c r="A1433" s="115"/>
      <c r="B1433" s="116"/>
      <c r="C1433" s="115"/>
      <c r="D1433" s="115"/>
      <c r="E1433" s="115"/>
      <c r="F1433" s="115"/>
      <c r="G1433" s="115"/>
      <c r="H1433" s="115"/>
      <c r="I1433" s="115"/>
      <c r="J1433" s="115"/>
      <c r="K1433" s="115"/>
      <c r="L1433" s="115"/>
      <c r="O1433" s="116"/>
      <c r="Q1433" s="116"/>
      <c r="T1433" s="114"/>
      <c r="Y1433" s="118"/>
      <c r="Z1433" s="29"/>
      <c r="AA1433" s="29"/>
      <c r="AB1433" s="29"/>
      <c r="AC1433" s="29"/>
      <c r="AD1433" s="29"/>
      <c r="AE1433" s="29"/>
      <c r="AF1433" s="29"/>
      <c r="AG1433" s="29"/>
      <c r="AH1433" s="123"/>
      <c r="AI1433" s="32"/>
      <c r="AJ1433" s="32"/>
      <c r="AK1433" s="32"/>
      <c r="AL1433" s="32"/>
      <c r="AM1433" s="32"/>
      <c r="AN1433" s="32"/>
      <c r="AO1433" s="32"/>
      <c r="AP1433" s="29"/>
    </row>
    <row r="1434">
      <c r="A1434" s="115"/>
      <c r="B1434" s="116"/>
      <c r="C1434" s="115"/>
      <c r="D1434" s="115"/>
      <c r="E1434" s="115"/>
      <c r="F1434" s="115"/>
      <c r="G1434" s="115"/>
      <c r="H1434" s="115"/>
      <c r="I1434" s="115"/>
      <c r="J1434" s="115"/>
      <c r="K1434" s="115"/>
      <c r="L1434" s="115"/>
      <c r="O1434" s="116"/>
      <c r="Q1434" s="116"/>
      <c r="T1434" s="114"/>
      <c r="Y1434" s="118"/>
      <c r="Z1434" s="29"/>
      <c r="AA1434" s="29"/>
      <c r="AB1434" s="29"/>
      <c r="AC1434" s="29"/>
      <c r="AD1434" s="29"/>
      <c r="AE1434" s="29"/>
      <c r="AF1434" s="29"/>
      <c r="AG1434" s="29"/>
      <c r="AH1434" s="123"/>
      <c r="AI1434" s="32"/>
      <c r="AJ1434" s="32"/>
      <c r="AK1434" s="32"/>
      <c r="AL1434" s="32"/>
      <c r="AM1434" s="32"/>
      <c r="AN1434" s="32"/>
      <c r="AO1434" s="32"/>
      <c r="AP1434" s="29"/>
    </row>
    <row r="1435">
      <c r="A1435" s="115"/>
      <c r="B1435" s="116"/>
      <c r="C1435" s="115"/>
      <c r="D1435" s="115"/>
      <c r="E1435" s="115"/>
      <c r="F1435" s="115"/>
      <c r="G1435" s="115"/>
      <c r="H1435" s="115"/>
      <c r="I1435" s="115"/>
      <c r="J1435" s="115"/>
      <c r="K1435" s="115"/>
      <c r="L1435" s="115"/>
      <c r="O1435" s="116"/>
      <c r="Q1435" s="116"/>
      <c r="T1435" s="114"/>
      <c r="Y1435" s="118"/>
      <c r="Z1435" s="29"/>
      <c r="AA1435" s="29"/>
      <c r="AB1435" s="29"/>
      <c r="AC1435" s="29"/>
      <c r="AD1435" s="29"/>
      <c r="AE1435" s="29"/>
      <c r="AF1435" s="29"/>
      <c r="AG1435" s="29"/>
      <c r="AH1435" s="123"/>
      <c r="AI1435" s="32"/>
      <c r="AJ1435" s="32"/>
      <c r="AK1435" s="32"/>
      <c r="AL1435" s="32"/>
      <c r="AM1435" s="32"/>
      <c r="AN1435" s="32"/>
      <c r="AO1435" s="32"/>
      <c r="AP1435" s="29"/>
    </row>
    <row r="1436">
      <c r="A1436" s="115"/>
      <c r="B1436" s="116"/>
      <c r="C1436" s="115"/>
      <c r="D1436" s="115"/>
      <c r="E1436" s="115"/>
      <c r="F1436" s="115"/>
      <c r="G1436" s="115"/>
      <c r="H1436" s="115"/>
      <c r="I1436" s="115"/>
      <c r="J1436" s="115"/>
      <c r="K1436" s="115"/>
      <c r="L1436" s="115"/>
      <c r="O1436" s="116"/>
      <c r="Q1436" s="116"/>
      <c r="T1436" s="114"/>
      <c r="Y1436" s="118"/>
      <c r="Z1436" s="29"/>
      <c r="AA1436" s="29"/>
      <c r="AB1436" s="29"/>
      <c r="AC1436" s="29"/>
      <c r="AD1436" s="29"/>
      <c r="AE1436" s="29"/>
      <c r="AF1436" s="29"/>
      <c r="AG1436" s="29"/>
      <c r="AH1436" s="123"/>
      <c r="AI1436" s="32"/>
      <c r="AJ1436" s="32"/>
      <c r="AK1436" s="32"/>
      <c r="AL1436" s="32"/>
      <c r="AM1436" s="32"/>
      <c r="AN1436" s="32"/>
      <c r="AO1436" s="32"/>
      <c r="AP1436" s="29"/>
    </row>
    <row r="1437">
      <c r="A1437" s="115"/>
      <c r="B1437" s="116"/>
      <c r="C1437" s="115"/>
      <c r="D1437" s="115"/>
      <c r="E1437" s="115"/>
      <c r="F1437" s="115"/>
      <c r="G1437" s="115"/>
      <c r="H1437" s="115"/>
      <c r="I1437" s="115"/>
      <c r="J1437" s="115"/>
      <c r="K1437" s="115"/>
      <c r="L1437" s="115"/>
      <c r="O1437" s="116"/>
      <c r="Q1437" s="116"/>
      <c r="T1437" s="114"/>
      <c r="Y1437" s="118"/>
      <c r="Z1437" s="29"/>
      <c r="AA1437" s="29"/>
      <c r="AB1437" s="29"/>
      <c r="AC1437" s="29"/>
      <c r="AD1437" s="29"/>
      <c r="AE1437" s="29"/>
      <c r="AF1437" s="29"/>
      <c r="AG1437" s="29"/>
      <c r="AH1437" s="123"/>
      <c r="AI1437" s="32"/>
      <c r="AJ1437" s="32"/>
      <c r="AK1437" s="32"/>
      <c r="AL1437" s="32"/>
      <c r="AM1437" s="32"/>
      <c r="AN1437" s="32"/>
      <c r="AO1437" s="32"/>
      <c r="AP1437" s="29"/>
    </row>
    <row r="1438">
      <c r="A1438" s="115"/>
      <c r="B1438" s="116"/>
      <c r="C1438" s="115"/>
      <c r="D1438" s="115"/>
      <c r="E1438" s="115"/>
      <c r="F1438" s="115"/>
      <c r="G1438" s="115"/>
      <c r="H1438" s="115"/>
      <c r="I1438" s="115"/>
      <c r="J1438" s="115"/>
      <c r="K1438" s="115"/>
      <c r="L1438" s="115"/>
      <c r="O1438" s="116"/>
      <c r="Q1438" s="116"/>
      <c r="T1438" s="114"/>
      <c r="Y1438" s="118"/>
      <c r="Z1438" s="29"/>
      <c r="AA1438" s="29"/>
      <c r="AB1438" s="29"/>
      <c r="AC1438" s="29"/>
      <c r="AD1438" s="29"/>
      <c r="AE1438" s="29"/>
      <c r="AF1438" s="29"/>
      <c r="AG1438" s="29"/>
      <c r="AH1438" s="123"/>
      <c r="AI1438" s="32"/>
      <c r="AJ1438" s="32"/>
      <c r="AK1438" s="32"/>
      <c r="AL1438" s="32"/>
      <c r="AM1438" s="32"/>
      <c r="AN1438" s="32"/>
      <c r="AO1438" s="32"/>
      <c r="AP1438" s="29"/>
    </row>
    <row r="1439">
      <c r="A1439" s="115"/>
      <c r="B1439" s="116"/>
      <c r="C1439" s="115"/>
      <c r="D1439" s="115"/>
      <c r="E1439" s="115"/>
      <c r="F1439" s="115"/>
      <c r="G1439" s="115"/>
      <c r="H1439" s="115"/>
      <c r="I1439" s="115"/>
      <c r="J1439" s="115"/>
      <c r="K1439" s="115"/>
      <c r="L1439" s="115"/>
      <c r="O1439" s="116"/>
      <c r="Q1439" s="116"/>
      <c r="T1439" s="114"/>
      <c r="Y1439" s="118"/>
      <c r="Z1439" s="29"/>
      <c r="AA1439" s="29"/>
      <c r="AB1439" s="29"/>
      <c r="AC1439" s="29"/>
      <c r="AD1439" s="29"/>
      <c r="AE1439" s="29"/>
      <c r="AF1439" s="29"/>
      <c r="AG1439" s="29"/>
      <c r="AH1439" s="123"/>
      <c r="AI1439" s="32"/>
      <c r="AJ1439" s="32"/>
      <c r="AK1439" s="32"/>
      <c r="AL1439" s="32"/>
      <c r="AM1439" s="32"/>
      <c r="AN1439" s="32"/>
      <c r="AO1439" s="32"/>
      <c r="AP1439" s="29"/>
    </row>
    <row r="1440">
      <c r="A1440" s="115"/>
      <c r="B1440" s="116"/>
      <c r="C1440" s="115"/>
      <c r="D1440" s="115"/>
      <c r="E1440" s="115"/>
      <c r="F1440" s="115"/>
      <c r="G1440" s="115"/>
      <c r="H1440" s="115"/>
      <c r="I1440" s="115"/>
      <c r="J1440" s="115"/>
      <c r="K1440" s="115"/>
      <c r="L1440" s="115"/>
      <c r="O1440" s="116"/>
      <c r="Q1440" s="116"/>
      <c r="T1440" s="114"/>
      <c r="Y1440" s="118"/>
      <c r="Z1440" s="29"/>
      <c r="AA1440" s="29"/>
      <c r="AB1440" s="29"/>
      <c r="AC1440" s="29"/>
      <c r="AD1440" s="29"/>
      <c r="AE1440" s="29"/>
      <c r="AF1440" s="29"/>
      <c r="AG1440" s="29"/>
      <c r="AH1440" s="123"/>
      <c r="AI1440" s="32"/>
      <c r="AJ1440" s="32"/>
      <c r="AK1440" s="32"/>
      <c r="AL1440" s="32"/>
      <c r="AM1440" s="32"/>
      <c r="AN1440" s="32"/>
      <c r="AO1440" s="32"/>
      <c r="AP1440" s="29"/>
    </row>
    <row r="1441">
      <c r="A1441" s="115"/>
      <c r="B1441" s="116"/>
      <c r="C1441" s="115"/>
      <c r="D1441" s="115"/>
      <c r="E1441" s="115"/>
      <c r="F1441" s="115"/>
      <c r="G1441" s="115"/>
      <c r="H1441" s="115"/>
      <c r="I1441" s="115"/>
      <c r="J1441" s="115"/>
      <c r="K1441" s="115"/>
      <c r="L1441" s="115"/>
      <c r="O1441" s="116"/>
      <c r="Q1441" s="116"/>
      <c r="T1441" s="114"/>
      <c r="Y1441" s="118"/>
      <c r="Z1441" s="29"/>
      <c r="AA1441" s="29"/>
      <c r="AB1441" s="29"/>
      <c r="AC1441" s="29"/>
      <c r="AD1441" s="29"/>
      <c r="AE1441" s="29"/>
      <c r="AF1441" s="29"/>
      <c r="AG1441" s="29"/>
      <c r="AH1441" s="123"/>
      <c r="AI1441" s="32"/>
      <c r="AJ1441" s="32"/>
      <c r="AK1441" s="32"/>
      <c r="AL1441" s="32"/>
      <c r="AM1441" s="32"/>
      <c r="AN1441" s="32"/>
      <c r="AO1441" s="32"/>
      <c r="AP1441" s="29"/>
    </row>
    <row r="1442">
      <c r="A1442" s="115"/>
      <c r="B1442" s="116"/>
      <c r="C1442" s="115"/>
      <c r="D1442" s="115"/>
      <c r="E1442" s="115"/>
      <c r="F1442" s="115"/>
      <c r="G1442" s="115"/>
      <c r="H1442" s="115"/>
      <c r="I1442" s="115"/>
      <c r="J1442" s="115"/>
      <c r="K1442" s="115"/>
      <c r="L1442" s="115"/>
      <c r="O1442" s="116"/>
      <c r="Q1442" s="116"/>
      <c r="T1442" s="114"/>
      <c r="Y1442" s="118"/>
      <c r="Z1442" s="29"/>
      <c r="AA1442" s="29"/>
      <c r="AB1442" s="29"/>
      <c r="AC1442" s="29"/>
      <c r="AD1442" s="29"/>
      <c r="AE1442" s="29"/>
      <c r="AF1442" s="29"/>
      <c r="AG1442" s="29"/>
      <c r="AH1442" s="123"/>
      <c r="AI1442" s="32"/>
      <c r="AJ1442" s="32"/>
      <c r="AK1442" s="32"/>
      <c r="AL1442" s="32"/>
      <c r="AM1442" s="32"/>
      <c r="AN1442" s="32"/>
      <c r="AO1442" s="32"/>
      <c r="AP1442" s="29"/>
    </row>
    <row r="1443">
      <c r="A1443" s="115"/>
      <c r="B1443" s="116"/>
      <c r="C1443" s="115"/>
      <c r="D1443" s="115"/>
      <c r="E1443" s="115"/>
      <c r="F1443" s="115"/>
      <c r="G1443" s="115"/>
      <c r="H1443" s="115"/>
      <c r="I1443" s="115"/>
      <c r="J1443" s="115"/>
      <c r="K1443" s="115"/>
      <c r="L1443" s="115"/>
      <c r="O1443" s="116"/>
      <c r="Q1443" s="116"/>
      <c r="T1443" s="114"/>
      <c r="Y1443" s="118"/>
      <c r="Z1443" s="29"/>
      <c r="AA1443" s="29"/>
      <c r="AB1443" s="29"/>
      <c r="AC1443" s="29"/>
      <c r="AD1443" s="29"/>
      <c r="AE1443" s="29"/>
      <c r="AF1443" s="29"/>
      <c r="AG1443" s="29"/>
      <c r="AH1443" s="123"/>
      <c r="AI1443" s="32"/>
      <c r="AJ1443" s="32"/>
      <c r="AK1443" s="32"/>
      <c r="AL1443" s="32"/>
      <c r="AM1443" s="32"/>
      <c r="AN1443" s="32"/>
      <c r="AO1443" s="32"/>
      <c r="AP1443" s="29"/>
    </row>
    <row r="1444">
      <c r="A1444" s="115"/>
      <c r="B1444" s="116"/>
      <c r="C1444" s="115"/>
      <c r="D1444" s="115"/>
      <c r="E1444" s="115"/>
      <c r="F1444" s="115"/>
      <c r="G1444" s="115"/>
      <c r="H1444" s="115"/>
      <c r="I1444" s="115"/>
      <c r="J1444" s="115"/>
      <c r="K1444" s="115"/>
      <c r="L1444" s="115"/>
      <c r="O1444" s="116"/>
      <c r="Q1444" s="116"/>
      <c r="T1444" s="114"/>
      <c r="Y1444" s="118"/>
      <c r="Z1444" s="29"/>
      <c r="AA1444" s="29"/>
      <c r="AB1444" s="29"/>
      <c r="AC1444" s="29"/>
      <c r="AD1444" s="29"/>
      <c r="AE1444" s="29"/>
      <c r="AF1444" s="29"/>
      <c r="AG1444" s="29"/>
      <c r="AH1444" s="123"/>
      <c r="AI1444" s="32"/>
      <c r="AJ1444" s="32"/>
      <c r="AK1444" s="32"/>
      <c r="AL1444" s="32"/>
      <c r="AM1444" s="32"/>
      <c r="AN1444" s="32"/>
      <c r="AO1444" s="32"/>
      <c r="AP1444" s="29"/>
    </row>
    <row r="1445">
      <c r="A1445" s="115"/>
      <c r="B1445" s="116"/>
      <c r="C1445" s="115"/>
      <c r="D1445" s="115"/>
      <c r="E1445" s="115"/>
      <c r="F1445" s="115"/>
      <c r="G1445" s="115"/>
      <c r="H1445" s="115"/>
      <c r="I1445" s="115"/>
      <c r="J1445" s="115"/>
      <c r="K1445" s="115"/>
      <c r="L1445" s="115"/>
      <c r="O1445" s="116"/>
      <c r="Q1445" s="116"/>
      <c r="T1445" s="114"/>
      <c r="Y1445" s="118"/>
      <c r="Z1445" s="29"/>
      <c r="AA1445" s="29"/>
      <c r="AB1445" s="29"/>
      <c r="AC1445" s="29"/>
      <c r="AD1445" s="29"/>
      <c r="AE1445" s="29"/>
      <c r="AF1445" s="29"/>
      <c r="AG1445" s="29"/>
      <c r="AH1445" s="123"/>
      <c r="AI1445" s="32"/>
      <c r="AJ1445" s="32"/>
      <c r="AK1445" s="32"/>
      <c r="AL1445" s="32"/>
      <c r="AM1445" s="32"/>
      <c r="AN1445" s="32"/>
      <c r="AO1445" s="32"/>
      <c r="AP1445" s="29"/>
    </row>
    <row r="1446">
      <c r="A1446" s="115"/>
      <c r="B1446" s="116"/>
      <c r="C1446" s="115"/>
      <c r="D1446" s="115"/>
      <c r="E1446" s="115"/>
      <c r="F1446" s="115"/>
      <c r="G1446" s="115"/>
      <c r="H1446" s="115"/>
      <c r="I1446" s="115"/>
      <c r="J1446" s="115"/>
      <c r="K1446" s="115"/>
      <c r="L1446" s="115"/>
      <c r="O1446" s="116"/>
      <c r="Q1446" s="116"/>
      <c r="T1446" s="114"/>
      <c r="Y1446" s="118"/>
      <c r="Z1446" s="29"/>
      <c r="AA1446" s="29"/>
      <c r="AB1446" s="29"/>
      <c r="AC1446" s="29"/>
      <c r="AD1446" s="29"/>
      <c r="AE1446" s="29"/>
      <c r="AF1446" s="29"/>
      <c r="AG1446" s="29"/>
      <c r="AH1446" s="123"/>
      <c r="AI1446" s="32"/>
      <c r="AJ1446" s="32"/>
      <c r="AK1446" s="32"/>
      <c r="AL1446" s="32"/>
      <c r="AM1446" s="32"/>
      <c r="AN1446" s="32"/>
      <c r="AO1446" s="32"/>
      <c r="AP1446" s="29"/>
    </row>
    <row r="1447">
      <c r="A1447" s="115"/>
      <c r="B1447" s="116"/>
      <c r="C1447" s="115"/>
      <c r="D1447" s="115"/>
      <c r="E1447" s="115"/>
      <c r="F1447" s="115"/>
      <c r="G1447" s="115"/>
      <c r="H1447" s="115"/>
      <c r="I1447" s="115"/>
      <c r="J1447" s="115"/>
      <c r="K1447" s="115"/>
      <c r="L1447" s="115"/>
      <c r="O1447" s="116"/>
      <c r="Q1447" s="116"/>
      <c r="T1447" s="114"/>
      <c r="Y1447" s="118"/>
      <c r="Z1447" s="29"/>
      <c r="AA1447" s="29"/>
      <c r="AB1447" s="29"/>
      <c r="AC1447" s="29"/>
      <c r="AD1447" s="29"/>
      <c r="AE1447" s="29"/>
      <c r="AF1447" s="29"/>
      <c r="AG1447" s="29"/>
      <c r="AH1447" s="123"/>
      <c r="AI1447" s="32"/>
      <c r="AJ1447" s="32"/>
      <c r="AK1447" s="32"/>
      <c r="AL1447" s="32"/>
      <c r="AM1447" s="32"/>
      <c r="AN1447" s="32"/>
      <c r="AO1447" s="32"/>
      <c r="AP1447" s="29"/>
    </row>
    <row r="1448">
      <c r="A1448" s="115"/>
      <c r="B1448" s="116"/>
      <c r="C1448" s="115"/>
      <c r="D1448" s="115"/>
      <c r="E1448" s="115"/>
      <c r="F1448" s="115"/>
      <c r="G1448" s="115"/>
      <c r="H1448" s="115"/>
      <c r="I1448" s="115"/>
      <c r="J1448" s="115"/>
      <c r="K1448" s="115"/>
      <c r="L1448" s="115"/>
      <c r="O1448" s="116"/>
      <c r="Q1448" s="116"/>
      <c r="T1448" s="114"/>
      <c r="Y1448" s="118"/>
      <c r="Z1448" s="29"/>
      <c r="AA1448" s="29"/>
      <c r="AB1448" s="29"/>
      <c r="AC1448" s="29"/>
      <c r="AD1448" s="29"/>
      <c r="AE1448" s="29"/>
      <c r="AF1448" s="29"/>
      <c r="AG1448" s="29"/>
      <c r="AH1448" s="123"/>
      <c r="AI1448" s="32"/>
      <c r="AJ1448" s="32"/>
      <c r="AK1448" s="32"/>
      <c r="AL1448" s="32"/>
      <c r="AM1448" s="32"/>
      <c r="AN1448" s="32"/>
      <c r="AO1448" s="32"/>
      <c r="AP1448" s="29"/>
    </row>
    <row r="1449">
      <c r="A1449" s="115"/>
      <c r="B1449" s="116"/>
      <c r="C1449" s="115"/>
      <c r="D1449" s="115"/>
      <c r="E1449" s="115"/>
      <c r="F1449" s="115"/>
      <c r="G1449" s="115"/>
      <c r="H1449" s="115"/>
      <c r="I1449" s="115"/>
      <c r="J1449" s="115"/>
      <c r="K1449" s="115"/>
      <c r="L1449" s="115"/>
      <c r="O1449" s="116"/>
      <c r="Q1449" s="116"/>
      <c r="T1449" s="114"/>
      <c r="Y1449" s="118"/>
      <c r="Z1449" s="29"/>
      <c r="AA1449" s="29"/>
      <c r="AB1449" s="29"/>
      <c r="AC1449" s="29"/>
      <c r="AD1449" s="29"/>
      <c r="AE1449" s="29"/>
      <c r="AF1449" s="29"/>
      <c r="AG1449" s="29"/>
      <c r="AH1449" s="123"/>
      <c r="AI1449" s="32"/>
      <c r="AJ1449" s="32"/>
      <c r="AK1449" s="32"/>
      <c r="AL1449" s="32"/>
      <c r="AM1449" s="32"/>
      <c r="AN1449" s="32"/>
      <c r="AO1449" s="32"/>
      <c r="AP1449" s="29"/>
    </row>
    <row r="1450">
      <c r="A1450" s="115"/>
      <c r="B1450" s="116"/>
      <c r="C1450" s="115"/>
      <c r="D1450" s="115"/>
      <c r="E1450" s="115"/>
      <c r="F1450" s="115"/>
      <c r="G1450" s="115"/>
      <c r="H1450" s="115"/>
      <c r="I1450" s="115"/>
      <c r="J1450" s="115"/>
      <c r="K1450" s="115"/>
      <c r="L1450" s="115"/>
      <c r="O1450" s="116"/>
      <c r="Q1450" s="116"/>
      <c r="T1450" s="114"/>
      <c r="Y1450" s="118"/>
      <c r="Z1450" s="29"/>
      <c r="AA1450" s="29"/>
      <c r="AB1450" s="29"/>
      <c r="AC1450" s="29"/>
      <c r="AD1450" s="29"/>
      <c r="AE1450" s="29"/>
      <c r="AF1450" s="29"/>
      <c r="AG1450" s="29"/>
      <c r="AH1450" s="123"/>
      <c r="AI1450" s="32"/>
      <c r="AJ1450" s="32"/>
      <c r="AK1450" s="32"/>
      <c r="AL1450" s="32"/>
      <c r="AM1450" s="32"/>
      <c r="AN1450" s="32"/>
      <c r="AO1450" s="32"/>
      <c r="AP1450" s="29"/>
    </row>
    <row r="1451">
      <c r="A1451" s="115"/>
      <c r="B1451" s="116"/>
      <c r="C1451" s="115"/>
      <c r="D1451" s="115"/>
      <c r="E1451" s="115"/>
      <c r="F1451" s="115"/>
      <c r="G1451" s="115"/>
      <c r="H1451" s="115"/>
      <c r="I1451" s="115"/>
      <c r="J1451" s="115"/>
      <c r="K1451" s="115"/>
      <c r="L1451" s="115"/>
      <c r="O1451" s="116"/>
      <c r="Q1451" s="116"/>
      <c r="T1451" s="114"/>
      <c r="Y1451" s="118"/>
      <c r="Z1451" s="29"/>
      <c r="AA1451" s="29"/>
      <c r="AB1451" s="29"/>
      <c r="AC1451" s="29"/>
      <c r="AD1451" s="29"/>
      <c r="AE1451" s="29"/>
      <c r="AF1451" s="29"/>
      <c r="AG1451" s="29"/>
      <c r="AH1451" s="123"/>
      <c r="AI1451" s="32"/>
      <c r="AJ1451" s="32"/>
      <c r="AK1451" s="32"/>
      <c r="AL1451" s="32"/>
      <c r="AM1451" s="32"/>
      <c r="AN1451" s="32"/>
      <c r="AO1451" s="32"/>
      <c r="AP1451" s="29"/>
    </row>
    <row r="1452">
      <c r="A1452" s="115"/>
      <c r="B1452" s="116"/>
      <c r="C1452" s="115"/>
      <c r="D1452" s="115"/>
      <c r="E1452" s="115"/>
      <c r="F1452" s="115"/>
      <c r="G1452" s="115"/>
      <c r="H1452" s="115"/>
      <c r="I1452" s="115"/>
      <c r="J1452" s="115"/>
      <c r="K1452" s="115"/>
      <c r="L1452" s="115"/>
      <c r="O1452" s="116"/>
      <c r="Q1452" s="116"/>
      <c r="T1452" s="114"/>
      <c r="Y1452" s="118"/>
      <c r="Z1452" s="29"/>
      <c r="AA1452" s="29"/>
      <c r="AB1452" s="29"/>
      <c r="AC1452" s="29"/>
      <c r="AD1452" s="29"/>
      <c r="AE1452" s="29"/>
      <c r="AF1452" s="29"/>
      <c r="AG1452" s="29"/>
      <c r="AH1452" s="123"/>
      <c r="AI1452" s="32"/>
      <c r="AJ1452" s="32"/>
      <c r="AK1452" s="32"/>
      <c r="AL1452" s="32"/>
      <c r="AM1452" s="32"/>
      <c r="AN1452" s="32"/>
      <c r="AO1452" s="32"/>
      <c r="AP1452" s="29"/>
    </row>
    <row r="1453">
      <c r="A1453" s="115"/>
      <c r="B1453" s="116"/>
      <c r="C1453" s="115"/>
      <c r="D1453" s="115"/>
      <c r="E1453" s="115"/>
      <c r="F1453" s="115"/>
      <c r="G1453" s="115"/>
      <c r="H1453" s="115"/>
      <c r="I1453" s="115"/>
      <c r="J1453" s="115"/>
      <c r="K1453" s="115"/>
      <c r="L1453" s="115"/>
      <c r="O1453" s="116"/>
      <c r="Q1453" s="116"/>
      <c r="T1453" s="114"/>
      <c r="Y1453" s="118"/>
      <c r="Z1453" s="29"/>
      <c r="AA1453" s="29"/>
      <c r="AB1453" s="29"/>
      <c r="AC1453" s="29"/>
      <c r="AD1453" s="29"/>
      <c r="AE1453" s="29"/>
      <c r="AF1453" s="29"/>
      <c r="AG1453" s="29"/>
      <c r="AH1453" s="123"/>
      <c r="AI1453" s="32"/>
      <c r="AJ1453" s="32"/>
      <c r="AK1453" s="32"/>
      <c r="AL1453" s="32"/>
      <c r="AM1453" s="32"/>
      <c r="AN1453" s="32"/>
      <c r="AO1453" s="32"/>
      <c r="AP1453" s="29"/>
    </row>
    <row r="1454">
      <c r="A1454" s="115"/>
      <c r="B1454" s="116"/>
      <c r="C1454" s="115"/>
      <c r="D1454" s="115"/>
      <c r="E1454" s="115"/>
      <c r="F1454" s="115"/>
      <c r="G1454" s="115"/>
      <c r="H1454" s="115"/>
      <c r="I1454" s="115"/>
      <c r="J1454" s="115"/>
      <c r="K1454" s="115"/>
      <c r="L1454" s="115"/>
      <c r="O1454" s="116"/>
      <c r="Q1454" s="116"/>
      <c r="T1454" s="114"/>
      <c r="Y1454" s="118"/>
      <c r="Z1454" s="29"/>
      <c r="AA1454" s="29"/>
      <c r="AB1454" s="29"/>
      <c r="AC1454" s="29"/>
      <c r="AD1454" s="29"/>
      <c r="AE1454" s="29"/>
      <c r="AF1454" s="29"/>
      <c r="AG1454" s="29"/>
      <c r="AH1454" s="123"/>
      <c r="AI1454" s="32"/>
      <c r="AJ1454" s="32"/>
      <c r="AK1454" s="32"/>
      <c r="AL1454" s="32"/>
      <c r="AM1454" s="32"/>
      <c r="AN1454" s="32"/>
      <c r="AO1454" s="32"/>
      <c r="AP1454" s="29"/>
    </row>
    <row r="1455">
      <c r="A1455" s="115"/>
      <c r="B1455" s="116"/>
      <c r="C1455" s="115"/>
      <c r="D1455" s="115"/>
      <c r="E1455" s="115"/>
      <c r="F1455" s="115"/>
      <c r="G1455" s="115"/>
      <c r="H1455" s="115"/>
      <c r="I1455" s="115"/>
      <c r="J1455" s="115"/>
      <c r="K1455" s="115"/>
      <c r="L1455" s="115"/>
      <c r="O1455" s="116"/>
      <c r="Q1455" s="116"/>
      <c r="T1455" s="114"/>
      <c r="Y1455" s="118"/>
      <c r="Z1455" s="29"/>
      <c r="AA1455" s="29"/>
      <c r="AB1455" s="29"/>
      <c r="AC1455" s="29"/>
      <c r="AD1455" s="29"/>
      <c r="AE1455" s="29"/>
      <c r="AF1455" s="29"/>
      <c r="AG1455" s="29"/>
      <c r="AH1455" s="123"/>
      <c r="AI1455" s="32"/>
      <c r="AJ1455" s="32"/>
      <c r="AK1455" s="32"/>
      <c r="AL1455" s="32"/>
      <c r="AM1455" s="32"/>
      <c r="AN1455" s="32"/>
      <c r="AO1455" s="32"/>
      <c r="AP1455" s="29"/>
    </row>
    <row r="1456">
      <c r="A1456" s="115"/>
      <c r="B1456" s="116"/>
      <c r="C1456" s="115"/>
      <c r="D1456" s="115"/>
      <c r="E1456" s="115"/>
      <c r="F1456" s="115"/>
      <c r="G1456" s="115"/>
      <c r="H1456" s="115"/>
      <c r="I1456" s="115"/>
      <c r="J1456" s="115"/>
      <c r="K1456" s="115"/>
      <c r="L1456" s="115"/>
      <c r="O1456" s="116"/>
      <c r="Q1456" s="116"/>
      <c r="T1456" s="114"/>
      <c r="Y1456" s="118"/>
      <c r="Z1456" s="29"/>
      <c r="AA1456" s="29"/>
      <c r="AB1456" s="29"/>
      <c r="AC1456" s="29"/>
      <c r="AD1456" s="29"/>
      <c r="AE1456" s="29"/>
      <c r="AF1456" s="29"/>
      <c r="AG1456" s="29"/>
      <c r="AH1456" s="123"/>
      <c r="AI1456" s="32"/>
      <c r="AJ1456" s="32"/>
      <c r="AK1456" s="32"/>
      <c r="AL1456" s="32"/>
      <c r="AM1456" s="32"/>
      <c r="AN1456" s="32"/>
      <c r="AO1456" s="32"/>
      <c r="AP1456" s="29"/>
    </row>
    <row r="1457">
      <c r="A1457" s="115"/>
      <c r="B1457" s="116"/>
      <c r="C1457" s="115"/>
      <c r="D1457" s="115"/>
      <c r="E1457" s="115"/>
      <c r="F1457" s="115"/>
      <c r="G1457" s="115"/>
      <c r="H1457" s="115"/>
      <c r="I1457" s="115"/>
      <c r="J1457" s="115"/>
      <c r="K1457" s="115"/>
      <c r="L1457" s="115"/>
      <c r="O1457" s="116"/>
      <c r="Q1457" s="116"/>
      <c r="T1457" s="114"/>
      <c r="Y1457" s="118"/>
      <c r="Z1457" s="29"/>
      <c r="AA1457" s="29"/>
      <c r="AB1457" s="29"/>
      <c r="AC1457" s="29"/>
      <c r="AD1457" s="29"/>
      <c r="AE1457" s="29"/>
      <c r="AF1457" s="29"/>
      <c r="AG1457" s="29"/>
      <c r="AH1457" s="123"/>
      <c r="AI1457" s="32"/>
      <c r="AJ1457" s="32"/>
      <c r="AK1457" s="32"/>
      <c r="AL1457" s="32"/>
      <c r="AM1457" s="32"/>
      <c r="AN1457" s="32"/>
      <c r="AO1457" s="32"/>
      <c r="AP1457" s="29"/>
    </row>
    <row r="1458">
      <c r="A1458" s="115"/>
      <c r="B1458" s="116"/>
      <c r="C1458" s="115"/>
      <c r="D1458" s="115"/>
      <c r="E1458" s="115"/>
      <c r="F1458" s="115"/>
      <c r="G1458" s="115"/>
      <c r="H1458" s="115"/>
      <c r="I1458" s="115"/>
      <c r="J1458" s="115"/>
      <c r="K1458" s="115"/>
      <c r="L1458" s="115"/>
      <c r="O1458" s="116"/>
      <c r="Q1458" s="116"/>
      <c r="T1458" s="114"/>
      <c r="Y1458" s="118"/>
      <c r="Z1458" s="29"/>
      <c r="AA1458" s="29"/>
      <c r="AB1458" s="29"/>
      <c r="AC1458" s="29"/>
      <c r="AD1458" s="29"/>
      <c r="AE1458" s="29"/>
      <c r="AF1458" s="29"/>
      <c r="AG1458" s="29"/>
      <c r="AH1458" s="123"/>
      <c r="AI1458" s="32"/>
      <c r="AJ1458" s="32"/>
      <c r="AK1458" s="32"/>
      <c r="AL1458" s="32"/>
      <c r="AM1458" s="32"/>
      <c r="AN1458" s="32"/>
      <c r="AO1458" s="32"/>
      <c r="AP1458" s="29"/>
    </row>
    <row r="1459">
      <c r="A1459" s="115"/>
      <c r="B1459" s="116"/>
      <c r="C1459" s="115"/>
      <c r="D1459" s="115"/>
      <c r="E1459" s="115"/>
      <c r="F1459" s="115"/>
      <c r="G1459" s="115"/>
      <c r="H1459" s="115"/>
      <c r="I1459" s="115"/>
      <c r="J1459" s="115"/>
      <c r="K1459" s="115"/>
      <c r="L1459" s="115"/>
      <c r="O1459" s="116"/>
      <c r="Q1459" s="116"/>
      <c r="T1459" s="114"/>
      <c r="Y1459" s="118"/>
      <c r="Z1459" s="29"/>
      <c r="AA1459" s="29"/>
      <c r="AB1459" s="29"/>
      <c r="AC1459" s="29"/>
      <c r="AD1459" s="29"/>
      <c r="AE1459" s="29"/>
      <c r="AF1459" s="29"/>
      <c r="AG1459" s="29"/>
      <c r="AH1459" s="123"/>
      <c r="AI1459" s="32"/>
      <c r="AJ1459" s="32"/>
      <c r="AK1459" s="32"/>
      <c r="AL1459" s="32"/>
      <c r="AM1459" s="32"/>
      <c r="AN1459" s="32"/>
      <c r="AO1459" s="32"/>
      <c r="AP1459" s="29"/>
    </row>
    <row r="1460">
      <c r="A1460" s="115"/>
      <c r="B1460" s="116"/>
      <c r="C1460" s="115"/>
      <c r="D1460" s="115"/>
      <c r="E1460" s="115"/>
      <c r="F1460" s="115"/>
      <c r="G1460" s="115"/>
      <c r="H1460" s="115"/>
      <c r="I1460" s="115"/>
      <c r="J1460" s="115"/>
      <c r="K1460" s="115"/>
      <c r="L1460" s="115"/>
      <c r="O1460" s="116"/>
      <c r="Q1460" s="116"/>
      <c r="T1460" s="114"/>
      <c r="Y1460" s="118"/>
      <c r="Z1460" s="29"/>
      <c r="AA1460" s="29"/>
      <c r="AB1460" s="29"/>
      <c r="AC1460" s="29"/>
      <c r="AD1460" s="29"/>
      <c r="AE1460" s="29"/>
      <c r="AF1460" s="29"/>
      <c r="AG1460" s="29"/>
      <c r="AH1460" s="123"/>
      <c r="AI1460" s="32"/>
      <c r="AJ1460" s="32"/>
      <c r="AK1460" s="32"/>
      <c r="AL1460" s="32"/>
      <c r="AM1460" s="32"/>
      <c r="AN1460" s="32"/>
      <c r="AO1460" s="32"/>
      <c r="AP1460" s="29"/>
    </row>
    <row r="1461">
      <c r="A1461" s="115"/>
      <c r="B1461" s="116"/>
      <c r="C1461" s="115"/>
      <c r="D1461" s="115"/>
      <c r="E1461" s="115"/>
      <c r="F1461" s="115"/>
      <c r="G1461" s="115"/>
      <c r="H1461" s="115"/>
      <c r="I1461" s="115"/>
      <c r="J1461" s="115"/>
      <c r="K1461" s="115"/>
      <c r="L1461" s="115"/>
      <c r="O1461" s="116"/>
      <c r="Q1461" s="116"/>
      <c r="T1461" s="114"/>
      <c r="Y1461" s="118"/>
      <c r="Z1461" s="29"/>
      <c r="AA1461" s="29"/>
      <c r="AB1461" s="29"/>
      <c r="AC1461" s="29"/>
      <c r="AD1461" s="29"/>
      <c r="AE1461" s="29"/>
      <c r="AF1461" s="29"/>
      <c r="AG1461" s="29"/>
      <c r="AH1461" s="123"/>
      <c r="AI1461" s="32"/>
      <c r="AJ1461" s="32"/>
      <c r="AK1461" s="32"/>
      <c r="AL1461" s="32"/>
      <c r="AM1461" s="32"/>
      <c r="AN1461" s="32"/>
      <c r="AO1461" s="32"/>
      <c r="AP1461" s="29"/>
    </row>
    <row r="1462">
      <c r="A1462" s="115"/>
      <c r="B1462" s="116"/>
      <c r="C1462" s="115"/>
      <c r="D1462" s="115"/>
      <c r="E1462" s="115"/>
      <c r="F1462" s="115"/>
      <c r="G1462" s="115"/>
      <c r="H1462" s="115"/>
      <c r="I1462" s="115"/>
      <c r="J1462" s="115"/>
      <c r="K1462" s="115"/>
      <c r="L1462" s="115"/>
      <c r="O1462" s="116"/>
      <c r="Q1462" s="116"/>
      <c r="T1462" s="114"/>
      <c r="Y1462" s="118"/>
      <c r="Z1462" s="29"/>
      <c r="AA1462" s="29"/>
      <c r="AB1462" s="29"/>
      <c r="AC1462" s="29"/>
      <c r="AD1462" s="29"/>
      <c r="AE1462" s="29"/>
      <c r="AF1462" s="29"/>
      <c r="AG1462" s="29"/>
      <c r="AH1462" s="123"/>
      <c r="AI1462" s="32"/>
      <c r="AJ1462" s="32"/>
      <c r="AK1462" s="32"/>
      <c r="AL1462" s="32"/>
      <c r="AM1462" s="32"/>
      <c r="AN1462" s="32"/>
      <c r="AO1462" s="32"/>
      <c r="AP1462" s="29"/>
    </row>
    <row r="1463">
      <c r="A1463" s="115"/>
      <c r="B1463" s="116"/>
      <c r="C1463" s="115"/>
      <c r="D1463" s="115"/>
      <c r="E1463" s="115"/>
      <c r="F1463" s="115"/>
      <c r="G1463" s="115"/>
      <c r="H1463" s="115"/>
      <c r="I1463" s="115"/>
      <c r="J1463" s="115"/>
      <c r="K1463" s="115"/>
      <c r="L1463" s="115"/>
      <c r="O1463" s="116"/>
      <c r="Q1463" s="116"/>
      <c r="T1463" s="114"/>
      <c r="Y1463" s="118"/>
      <c r="Z1463" s="29"/>
      <c r="AA1463" s="29"/>
      <c r="AB1463" s="29"/>
      <c r="AC1463" s="29"/>
      <c r="AD1463" s="29"/>
      <c r="AE1463" s="29"/>
      <c r="AF1463" s="29"/>
      <c r="AG1463" s="29"/>
      <c r="AH1463" s="123"/>
      <c r="AI1463" s="32"/>
      <c r="AJ1463" s="32"/>
      <c r="AK1463" s="32"/>
      <c r="AL1463" s="32"/>
      <c r="AM1463" s="32"/>
      <c r="AN1463" s="32"/>
      <c r="AO1463" s="32"/>
      <c r="AP1463" s="29"/>
    </row>
    <row r="1464">
      <c r="A1464" s="115"/>
      <c r="B1464" s="116"/>
      <c r="C1464" s="115"/>
      <c r="D1464" s="115"/>
      <c r="E1464" s="115"/>
      <c r="F1464" s="115"/>
      <c r="G1464" s="115"/>
      <c r="H1464" s="115"/>
      <c r="I1464" s="115"/>
      <c r="J1464" s="115"/>
      <c r="K1464" s="115"/>
      <c r="L1464" s="115"/>
      <c r="O1464" s="116"/>
      <c r="Q1464" s="116"/>
      <c r="T1464" s="114"/>
      <c r="Y1464" s="118"/>
      <c r="Z1464" s="29"/>
      <c r="AA1464" s="29"/>
      <c r="AB1464" s="29"/>
      <c r="AC1464" s="29"/>
      <c r="AD1464" s="29"/>
      <c r="AE1464" s="29"/>
      <c r="AF1464" s="29"/>
      <c r="AG1464" s="29"/>
      <c r="AH1464" s="123"/>
      <c r="AI1464" s="32"/>
      <c r="AJ1464" s="32"/>
      <c r="AK1464" s="32"/>
      <c r="AL1464" s="32"/>
      <c r="AM1464" s="32"/>
      <c r="AN1464" s="32"/>
      <c r="AO1464" s="32"/>
      <c r="AP1464" s="29"/>
    </row>
    <row r="1465">
      <c r="A1465" s="115"/>
      <c r="B1465" s="116"/>
      <c r="C1465" s="115"/>
      <c r="D1465" s="115"/>
      <c r="E1465" s="115"/>
      <c r="F1465" s="115"/>
      <c r="G1465" s="115"/>
      <c r="H1465" s="115"/>
      <c r="I1465" s="115"/>
      <c r="J1465" s="115"/>
      <c r="K1465" s="115"/>
      <c r="L1465" s="115"/>
      <c r="O1465" s="116"/>
      <c r="Q1465" s="116"/>
      <c r="T1465" s="114"/>
      <c r="Y1465" s="118"/>
      <c r="Z1465" s="29"/>
      <c r="AA1465" s="29"/>
      <c r="AB1465" s="29"/>
      <c r="AC1465" s="29"/>
      <c r="AD1465" s="29"/>
      <c r="AE1465" s="29"/>
      <c r="AF1465" s="29"/>
      <c r="AG1465" s="29"/>
      <c r="AH1465" s="123"/>
      <c r="AI1465" s="32"/>
      <c r="AJ1465" s="32"/>
      <c r="AK1465" s="32"/>
      <c r="AL1465" s="32"/>
      <c r="AM1465" s="32"/>
      <c r="AN1465" s="32"/>
      <c r="AO1465" s="32"/>
      <c r="AP1465" s="29"/>
    </row>
    <row r="1466">
      <c r="A1466" s="115"/>
      <c r="B1466" s="116"/>
      <c r="C1466" s="115"/>
      <c r="D1466" s="115"/>
      <c r="E1466" s="115"/>
      <c r="F1466" s="115"/>
      <c r="G1466" s="115"/>
      <c r="H1466" s="115"/>
      <c r="I1466" s="115"/>
      <c r="J1466" s="115"/>
      <c r="K1466" s="115"/>
      <c r="L1466" s="115"/>
      <c r="O1466" s="116"/>
      <c r="Q1466" s="116"/>
      <c r="T1466" s="114"/>
      <c r="Y1466" s="118"/>
      <c r="Z1466" s="29"/>
      <c r="AA1466" s="29"/>
      <c r="AB1466" s="29"/>
      <c r="AC1466" s="29"/>
      <c r="AD1466" s="29"/>
      <c r="AE1466" s="29"/>
      <c r="AF1466" s="29"/>
      <c r="AG1466" s="29"/>
      <c r="AH1466" s="123"/>
      <c r="AI1466" s="32"/>
      <c r="AJ1466" s="32"/>
      <c r="AK1466" s="32"/>
      <c r="AL1466" s="32"/>
      <c r="AM1466" s="32"/>
      <c r="AN1466" s="32"/>
      <c r="AO1466" s="32"/>
      <c r="AP1466" s="29"/>
    </row>
    <row r="1467">
      <c r="A1467" s="115"/>
      <c r="B1467" s="116"/>
      <c r="C1467" s="115"/>
      <c r="D1467" s="115"/>
      <c r="E1467" s="115"/>
      <c r="F1467" s="115"/>
      <c r="G1467" s="115"/>
      <c r="H1467" s="115"/>
      <c r="I1467" s="115"/>
      <c r="J1467" s="115"/>
      <c r="K1467" s="115"/>
      <c r="L1467" s="115"/>
      <c r="O1467" s="116"/>
      <c r="Q1467" s="116"/>
      <c r="T1467" s="114"/>
      <c r="Y1467" s="118"/>
      <c r="Z1467" s="29"/>
      <c r="AA1467" s="29"/>
      <c r="AB1467" s="29"/>
      <c r="AC1467" s="29"/>
      <c r="AD1467" s="29"/>
      <c r="AE1467" s="29"/>
      <c r="AF1467" s="29"/>
      <c r="AG1467" s="29"/>
      <c r="AH1467" s="123"/>
      <c r="AI1467" s="32"/>
      <c r="AJ1467" s="32"/>
      <c r="AK1467" s="32"/>
      <c r="AL1467" s="32"/>
      <c r="AM1467" s="32"/>
      <c r="AN1467" s="32"/>
      <c r="AO1467" s="32"/>
      <c r="AP1467" s="29"/>
    </row>
    <row r="1468">
      <c r="A1468" s="115"/>
      <c r="B1468" s="116"/>
      <c r="C1468" s="115"/>
      <c r="D1468" s="115"/>
      <c r="E1468" s="115"/>
      <c r="F1468" s="115"/>
      <c r="G1468" s="115"/>
      <c r="H1468" s="115"/>
      <c r="I1468" s="115"/>
      <c r="J1468" s="115"/>
      <c r="K1468" s="115"/>
      <c r="L1468" s="115"/>
      <c r="O1468" s="116"/>
      <c r="Q1468" s="116"/>
      <c r="T1468" s="114"/>
      <c r="Y1468" s="118"/>
      <c r="Z1468" s="29"/>
      <c r="AA1468" s="29"/>
      <c r="AB1468" s="29"/>
      <c r="AC1468" s="29"/>
      <c r="AD1468" s="29"/>
      <c r="AE1468" s="29"/>
      <c r="AF1468" s="29"/>
      <c r="AG1468" s="29"/>
      <c r="AH1468" s="123"/>
      <c r="AI1468" s="32"/>
      <c r="AJ1468" s="32"/>
      <c r="AK1468" s="32"/>
      <c r="AL1468" s="32"/>
      <c r="AM1468" s="32"/>
      <c r="AN1468" s="32"/>
      <c r="AO1468" s="32"/>
      <c r="AP1468" s="29"/>
    </row>
    <row r="1469">
      <c r="A1469" s="115"/>
      <c r="B1469" s="116"/>
      <c r="C1469" s="115"/>
      <c r="D1469" s="115"/>
      <c r="E1469" s="115"/>
      <c r="F1469" s="115"/>
      <c r="G1469" s="115"/>
      <c r="H1469" s="115"/>
      <c r="I1469" s="115"/>
      <c r="J1469" s="115"/>
      <c r="K1469" s="115"/>
      <c r="L1469" s="115"/>
      <c r="O1469" s="116"/>
      <c r="Q1469" s="116"/>
      <c r="T1469" s="114"/>
      <c r="Y1469" s="118"/>
      <c r="Z1469" s="29"/>
      <c r="AA1469" s="29"/>
      <c r="AB1469" s="29"/>
      <c r="AC1469" s="29"/>
      <c r="AD1469" s="29"/>
      <c r="AE1469" s="29"/>
      <c r="AF1469" s="29"/>
      <c r="AG1469" s="29"/>
      <c r="AH1469" s="123"/>
      <c r="AI1469" s="32"/>
      <c r="AJ1469" s="32"/>
      <c r="AK1469" s="32"/>
      <c r="AL1469" s="32"/>
      <c r="AM1469" s="32"/>
      <c r="AN1469" s="32"/>
      <c r="AO1469" s="32"/>
      <c r="AP1469" s="29"/>
    </row>
    <row r="1470">
      <c r="A1470" s="115"/>
      <c r="B1470" s="116"/>
      <c r="C1470" s="115"/>
      <c r="D1470" s="115"/>
      <c r="E1470" s="115"/>
      <c r="F1470" s="115"/>
      <c r="G1470" s="115"/>
      <c r="H1470" s="115"/>
      <c r="I1470" s="115"/>
      <c r="J1470" s="115"/>
      <c r="K1470" s="115"/>
      <c r="L1470" s="115"/>
      <c r="O1470" s="116"/>
      <c r="Q1470" s="116"/>
      <c r="T1470" s="114"/>
      <c r="Y1470" s="118"/>
      <c r="Z1470" s="29"/>
      <c r="AA1470" s="29"/>
      <c r="AB1470" s="29"/>
      <c r="AC1470" s="29"/>
      <c r="AD1470" s="29"/>
      <c r="AE1470" s="29"/>
      <c r="AF1470" s="29"/>
      <c r="AG1470" s="29"/>
      <c r="AH1470" s="123"/>
      <c r="AI1470" s="32"/>
      <c r="AJ1470" s="32"/>
      <c r="AK1470" s="32"/>
      <c r="AL1470" s="32"/>
      <c r="AM1470" s="32"/>
      <c r="AN1470" s="32"/>
      <c r="AO1470" s="32"/>
      <c r="AP1470" s="29"/>
    </row>
    <row r="1471">
      <c r="A1471" s="115"/>
      <c r="B1471" s="116"/>
      <c r="C1471" s="115"/>
      <c r="D1471" s="115"/>
      <c r="E1471" s="115"/>
      <c r="F1471" s="115"/>
      <c r="G1471" s="115"/>
      <c r="H1471" s="115"/>
      <c r="I1471" s="115"/>
      <c r="J1471" s="115"/>
      <c r="K1471" s="115"/>
      <c r="L1471" s="115"/>
      <c r="O1471" s="116"/>
      <c r="Q1471" s="116"/>
      <c r="T1471" s="114"/>
      <c r="Y1471" s="118"/>
      <c r="Z1471" s="29"/>
      <c r="AA1471" s="29"/>
      <c r="AB1471" s="29"/>
      <c r="AC1471" s="29"/>
      <c r="AD1471" s="29"/>
      <c r="AE1471" s="29"/>
      <c r="AF1471" s="29"/>
      <c r="AG1471" s="29"/>
      <c r="AH1471" s="123"/>
      <c r="AI1471" s="32"/>
      <c r="AJ1471" s="32"/>
      <c r="AK1471" s="32"/>
      <c r="AL1471" s="32"/>
      <c r="AM1471" s="32"/>
      <c r="AN1471" s="32"/>
      <c r="AO1471" s="32"/>
      <c r="AP1471" s="29"/>
    </row>
    <row r="1472">
      <c r="A1472" s="115"/>
      <c r="B1472" s="116"/>
      <c r="C1472" s="115"/>
      <c r="D1472" s="115"/>
      <c r="E1472" s="115"/>
      <c r="F1472" s="115"/>
      <c r="G1472" s="115"/>
      <c r="H1472" s="115"/>
      <c r="I1472" s="115"/>
      <c r="J1472" s="115"/>
      <c r="K1472" s="115"/>
      <c r="L1472" s="115"/>
      <c r="O1472" s="116"/>
      <c r="Q1472" s="116"/>
      <c r="T1472" s="114"/>
      <c r="Y1472" s="118"/>
      <c r="Z1472" s="29"/>
      <c r="AA1472" s="29"/>
      <c r="AB1472" s="29"/>
      <c r="AC1472" s="29"/>
      <c r="AD1472" s="29"/>
      <c r="AE1472" s="29"/>
      <c r="AF1472" s="29"/>
      <c r="AG1472" s="29"/>
      <c r="AH1472" s="123"/>
      <c r="AI1472" s="32"/>
      <c r="AJ1472" s="32"/>
      <c r="AK1472" s="32"/>
      <c r="AL1472" s="32"/>
      <c r="AM1472" s="32"/>
      <c r="AN1472" s="32"/>
      <c r="AO1472" s="32"/>
      <c r="AP1472" s="29"/>
    </row>
    <row r="1473">
      <c r="A1473" s="115"/>
      <c r="B1473" s="116"/>
      <c r="C1473" s="115"/>
      <c r="D1473" s="115"/>
      <c r="E1473" s="115"/>
      <c r="F1473" s="115"/>
      <c r="G1473" s="115"/>
      <c r="H1473" s="115"/>
      <c r="I1473" s="115"/>
      <c r="J1473" s="115"/>
      <c r="K1473" s="115"/>
      <c r="L1473" s="115"/>
      <c r="O1473" s="116"/>
      <c r="Q1473" s="116"/>
      <c r="T1473" s="114"/>
      <c r="Y1473" s="118"/>
      <c r="Z1473" s="29"/>
      <c r="AA1473" s="29"/>
      <c r="AB1473" s="29"/>
      <c r="AC1473" s="29"/>
      <c r="AD1473" s="29"/>
      <c r="AE1473" s="29"/>
      <c r="AF1473" s="29"/>
      <c r="AG1473" s="29"/>
      <c r="AH1473" s="123"/>
      <c r="AI1473" s="32"/>
      <c r="AJ1473" s="32"/>
      <c r="AK1473" s="32"/>
      <c r="AL1473" s="32"/>
      <c r="AM1473" s="32"/>
      <c r="AN1473" s="32"/>
      <c r="AO1473" s="32"/>
      <c r="AP1473" s="29"/>
    </row>
    <row r="1474">
      <c r="A1474" s="115"/>
      <c r="B1474" s="116"/>
      <c r="C1474" s="115"/>
      <c r="D1474" s="115"/>
      <c r="E1474" s="115"/>
      <c r="F1474" s="115"/>
      <c r="G1474" s="115"/>
      <c r="H1474" s="115"/>
      <c r="I1474" s="115"/>
      <c r="J1474" s="115"/>
      <c r="K1474" s="115"/>
      <c r="L1474" s="115"/>
      <c r="O1474" s="116"/>
      <c r="Q1474" s="116"/>
      <c r="T1474" s="114"/>
      <c r="Y1474" s="118"/>
      <c r="Z1474" s="29"/>
      <c r="AA1474" s="29"/>
      <c r="AB1474" s="29"/>
      <c r="AC1474" s="29"/>
      <c r="AD1474" s="29"/>
      <c r="AE1474" s="29"/>
      <c r="AF1474" s="29"/>
      <c r="AG1474" s="29"/>
      <c r="AH1474" s="123"/>
      <c r="AI1474" s="32"/>
      <c r="AJ1474" s="32"/>
      <c r="AK1474" s="32"/>
      <c r="AL1474" s="32"/>
      <c r="AM1474" s="32"/>
      <c r="AN1474" s="32"/>
      <c r="AO1474" s="32"/>
      <c r="AP1474" s="29"/>
    </row>
    <row r="1475">
      <c r="A1475" s="115"/>
      <c r="B1475" s="116"/>
      <c r="C1475" s="115"/>
      <c r="D1475" s="115"/>
      <c r="E1475" s="115"/>
      <c r="F1475" s="115"/>
      <c r="G1475" s="115"/>
      <c r="H1475" s="115"/>
      <c r="I1475" s="115"/>
      <c r="J1475" s="115"/>
      <c r="K1475" s="115"/>
      <c r="L1475" s="115"/>
      <c r="O1475" s="116"/>
      <c r="Q1475" s="116"/>
      <c r="T1475" s="114"/>
      <c r="Y1475" s="118"/>
      <c r="Z1475" s="29"/>
      <c r="AA1475" s="29"/>
      <c r="AB1475" s="29"/>
      <c r="AC1475" s="29"/>
      <c r="AD1475" s="29"/>
      <c r="AE1475" s="29"/>
      <c r="AF1475" s="29"/>
      <c r="AG1475" s="29"/>
      <c r="AH1475" s="123"/>
      <c r="AI1475" s="32"/>
      <c r="AJ1475" s="32"/>
      <c r="AK1475" s="32"/>
      <c r="AL1475" s="32"/>
      <c r="AM1475" s="32"/>
      <c r="AN1475" s="32"/>
      <c r="AO1475" s="32"/>
      <c r="AP1475" s="29"/>
    </row>
    <row r="1476">
      <c r="A1476" s="115"/>
      <c r="B1476" s="116"/>
      <c r="C1476" s="115"/>
      <c r="D1476" s="115"/>
      <c r="E1476" s="115"/>
      <c r="F1476" s="115"/>
      <c r="G1476" s="115"/>
      <c r="H1476" s="115"/>
      <c r="I1476" s="115"/>
      <c r="J1476" s="115"/>
      <c r="K1476" s="115"/>
      <c r="L1476" s="115"/>
      <c r="O1476" s="116"/>
      <c r="Q1476" s="116"/>
      <c r="T1476" s="114"/>
      <c r="Y1476" s="118"/>
      <c r="Z1476" s="29"/>
      <c r="AA1476" s="29"/>
      <c r="AB1476" s="29"/>
      <c r="AC1476" s="29"/>
      <c r="AD1476" s="29"/>
      <c r="AE1476" s="29"/>
      <c r="AF1476" s="29"/>
      <c r="AG1476" s="29"/>
      <c r="AH1476" s="123"/>
      <c r="AI1476" s="32"/>
      <c r="AJ1476" s="32"/>
      <c r="AK1476" s="32"/>
      <c r="AL1476" s="32"/>
      <c r="AM1476" s="32"/>
      <c r="AN1476" s="32"/>
      <c r="AO1476" s="32"/>
      <c r="AP1476" s="29"/>
    </row>
    <row r="1477">
      <c r="A1477" s="115"/>
      <c r="B1477" s="116"/>
      <c r="C1477" s="115"/>
      <c r="D1477" s="115"/>
      <c r="E1477" s="115"/>
      <c r="F1477" s="115"/>
      <c r="G1477" s="115"/>
      <c r="H1477" s="115"/>
      <c r="I1477" s="115"/>
      <c r="J1477" s="115"/>
      <c r="K1477" s="115"/>
      <c r="L1477" s="115"/>
      <c r="O1477" s="116"/>
      <c r="Q1477" s="116"/>
      <c r="T1477" s="114"/>
      <c r="Y1477" s="118"/>
      <c r="Z1477" s="29"/>
      <c r="AA1477" s="29"/>
      <c r="AB1477" s="29"/>
      <c r="AC1477" s="29"/>
      <c r="AD1477" s="29"/>
      <c r="AE1477" s="29"/>
      <c r="AF1477" s="29"/>
      <c r="AG1477" s="29"/>
      <c r="AH1477" s="123"/>
      <c r="AI1477" s="32"/>
      <c r="AJ1477" s="32"/>
      <c r="AK1477" s="32"/>
      <c r="AL1477" s="32"/>
      <c r="AM1477" s="32"/>
      <c r="AN1477" s="32"/>
      <c r="AO1477" s="32"/>
      <c r="AP1477" s="29"/>
    </row>
    <row r="1478">
      <c r="A1478" s="115"/>
      <c r="B1478" s="116"/>
      <c r="C1478" s="115"/>
      <c r="D1478" s="115"/>
      <c r="E1478" s="115"/>
      <c r="F1478" s="115"/>
      <c r="G1478" s="115"/>
      <c r="H1478" s="115"/>
      <c r="I1478" s="115"/>
      <c r="J1478" s="115"/>
      <c r="K1478" s="115"/>
      <c r="L1478" s="115"/>
      <c r="O1478" s="116"/>
      <c r="Q1478" s="116"/>
      <c r="T1478" s="114"/>
      <c r="Y1478" s="118"/>
      <c r="Z1478" s="29"/>
      <c r="AA1478" s="29"/>
      <c r="AB1478" s="29"/>
      <c r="AC1478" s="29"/>
      <c r="AD1478" s="29"/>
      <c r="AE1478" s="29"/>
      <c r="AF1478" s="29"/>
      <c r="AG1478" s="29"/>
      <c r="AH1478" s="123"/>
      <c r="AI1478" s="32"/>
      <c r="AJ1478" s="32"/>
      <c r="AK1478" s="32"/>
      <c r="AL1478" s="32"/>
      <c r="AM1478" s="32"/>
      <c r="AN1478" s="32"/>
      <c r="AO1478" s="32"/>
      <c r="AP1478" s="29"/>
    </row>
    <row r="1479">
      <c r="A1479" s="115"/>
      <c r="B1479" s="116"/>
      <c r="C1479" s="115"/>
      <c r="D1479" s="115"/>
      <c r="E1479" s="115"/>
      <c r="F1479" s="115"/>
      <c r="G1479" s="115"/>
      <c r="H1479" s="115"/>
      <c r="I1479" s="115"/>
      <c r="J1479" s="115"/>
      <c r="K1479" s="115"/>
      <c r="L1479" s="115"/>
      <c r="O1479" s="116"/>
      <c r="Q1479" s="116"/>
      <c r="T1479" s="114"/>
      <c r="Y1479" s="118"/>
      <c r="Z1479" s="29"/>
      <c r="AA1479" s="29"/>
      <c r="AB1479" s="29"/>
      <c r="AC1479" s="29"/>
      <c r="AD1479" s="29"/>
      <c r="AE1479" s="29"/>
      <c r="AF1479" s="29"/>
      <c r="AG1479" s="29"/>
      <c r="AH1479" s="123"/>
      <c r="AI1479" s="32"/>
      <c r="AJ1479" s="32"/>
      <c r="AK1479" s="32"/>
      <c r="AL1479" s="32"/>
      <c r="AM1479" s="32"/>
      <c r="AN1479" s="32"/>
      <c r="AO1479" s="32"/>
      <c r="AP1479" s="29"/>
    </row>
    <row r="1480">
      <c r="A1480" s="115"/>
      <c r="B1480" s="116"/>
      <c r="C1480" s="115"/>
      <c r="D1480" s="115"/>
      <c r="E1480" s="115"/>
      <c r="F1480" s="115"/>
      <c r="G1480" s="115"/>
      <c r="H1480" s="115"/>
      <c r="I1480" s="115"/>
      <c r="J1480" s="115"/>
      <c r="K1480" s="115"/>
      <c r="L1480" s="115"/>
      <c r="O1480" s="116"/>
      <c r="Q1480" s="116"/>
      <c r="T1480" s="114"/>
      <c r="Y1480" s="118"/>
      <c r="Z1480" s="29"/>
      <c r="AA1480" s="29"/>
      <c r="AB1480" s="29"/>
      <c r="AC1480" s="29"/>
      <c r="AD1480" s="29"/>
      <c r="AE1480" s="29"/>
      <c r="AF1480" s="29"/>
      <c r="AG1480" s="29"/>
      <c r="AH1480" s="123"/>
      <c r="AI1480" s="32"/>
      <c r="AJ1480" s="32"/>
      <c r="AK1480" s="32"/>
      <c r="AL1480" s="32"/>
      <c r="AM1480" s="32"/>
      <c r="AN1480" s="32"/>
      <c r="AO1480" s="32"/>
      <c r="AP1480" s="29"/>
    </row>
    <row r="1481">
      <c r="A1481" s="115"/>
      <c r="B1481" s="116"/>
      <c r="C1481" s="115"/>
      <c r="D1481" s="115"/>
      <c r="E1481" s="115"/>
      <c r="F1481" s="115"/>
      <c r="G1481" s="115"/>
      <c r="H1481" s="115"/>
      <c r="I1481" s="115"/>
      <c r="J1481" s="115"/>
      <c r="K1481" s="115"/>
      <c r="L1481" s="115"/>
      <c r="O1481" s="116"/>
      <c r="Q1481" s="116"/>
      <c r="T1481" s="114"/>
      <c r="Y1481" s="118"/>
      <c r="Z1481" s="29"/>
      <c r="AA1481" s="29"/>
      <c r="AB1481" s="29"/>
      <c r="AC1481" s="29"/>
      <c r="AD1481" s="29"/>
      <c r="AE1481" s="29"/>
      <c r="AF1481" s="29"/>
      <c r="AG1481" s="29"/>
      <c r="AH1481" s="123"/>
      <c r="AI1481" s="32"/>
      <c r="AJ1481" s="32"/>
      <c r="AK1481" s="32"/>
      <c r="AL1481" s="32"/>
      <c r="AM1481" s="32"/>
      <c r="AN1481" s="32"/>
      <c r="AO1481" s="32"/>
      <c r="AP1481" s="29"/>
    </row>
    <row r="1482">
      <c r="A1482" s="115"/>
      <c r="B1482" s="116"/>
      <c r="C1482" s="115"/>
      <c r="D1482" s="115"/>
      <c r="E1482" s="115"/>
      <c r="F1482" s="115"/>
      <c r="G1482" s="115"/>
      <c r="H1482" s="115"/>
      <c r="I1482" s="115"/>
      <c r="J1482" s="115"/>
      <c r="K1482" s="115"/>
      <c r="L1482" s="115"/>
      <c r="O1482" s="116"/>
      <c r="Q1482" s="116"/>
      <c r="T1482" s="114"/>
      <c r="Y1482" s="118"/>
      <c r="Z1482" s="29"/>
      <c r="AA1482" s="29"/>
      <c r="AB1482" s="29"/>
      <c r="AC1482" s="29"/>
      <c r="AD1482" s="29"/>
      <c r="AE1482" s="29"/>
      <c r="AF1482" s="29"/>
      <c r="AG1482" s="29"/>
      <c r="AH1482" s="123"/>
      <c r="AI1482" s="32"/>
      <c r="AJ1482" s="32"/>
      <c r="AK1482" s="32"/>
      <c r="AL1482" s="32"/>
      <c r="AM1482" s="32"/>
      <c r="AN1482" s="32"/>
      <c r="AO1482" s="32"/>
      <c r="AP1482" s="29"/>
    </row>
    <row r="1483">
      <c r="A1483" s="115"/>
      <c r="B1483" s="116"/>
      <c r="C1483" s="115"/>
      <c r="D1483" s="115"/>
      <c r="E1483" s="115"/>
      <c r="F1483" s="115"/>
      <c r="G1483" s="115"/>
      <c r="H1483" s="115"/>
      <c r="I1483" s="115"/>
      <c r="J1483" s="115"/>
      <c r="K1483" s="115"/>
      <c r="L1483" s="115"/>
      <c r="O1483" s="116"/>
      <c r="Q1483" s="116"/>
      <c r="T1483" s="114"/>
      <c r="Y1483" s="118"/>
      <c r="Z1483" s="29"/>
      <c r="AA1483" s="29"/>
      <c r="AB1483" s="29"/>
      <c r="AC1483" s="29"/>
      <c r="AD1483" s="29"/>
      <c r="AE1483" s="29"/>
      <c r="AF1483" s="29"/>
      <c r="AG1483" s="29"/>
      <c r="AH1483" s="123"/>
      <c r="AI1483" s="32"/>
      <c r="AJ1483" s="32"/>
      <c r="AK1483" s="32"/>
      <c r="AL1483" s="32"/>
      <c r="AM1483" s="32"/>
      <c r="AN1483" s="32"/>
      <c r="AO1483" s="32"/>
      <c r="AP1483" s="29"/>
    </row>
    <row r="1484">
      <c r="A1484" s="115"/>
      <c r="B1484" s="116"/>
      <c r="C1484" s="115"/>
      <c r="D1484" s="115"/>
      <c r="E1484" s="115"/>
      <c r="F1484" s="115"/>
      <c r="G1484" s="115"/>
      <c r="H1484" s="115"/>
      <c r="I1484" s="115"/>
      <c r="J1484" s="115"/>
      <c r="K1484" s="115"/>
      <c r="L1484" s="115"/>
      <c r="O1484" s="116"/>
      <c r="Q1484" s="116"/>
      <c r="T1484" s="114"/>
      <c r="Y1484" s="118"/>
      <c r="Z1484" s="29"/>
      <c r="AA1484" s="29"/>
      <c r="AB1484" s="29"/>
      <c r="AC1484" s="29"/>
      <c r="AD1484" s="29"/>
      <c r="AE1484" s="29"/>
      <c r="AF1484" s="29"/>
      <c r="AG1484" s="29"/>
      <c r="AH1484" s="123"/>
      <c r="AI1484" s="32"/>
      <c r="AJ1484" s="32"/>
      <c r="AK1484" s="32"/>
      <c r="AL1484" s="32"/>
      <c r="AM1484" s="32"/>
      <c r="AN1484" s="32"/>
      <c r="AO1484" s="32"/>
      <c r="AP1484" s="29"/>
    </row>
    <row r="1485">
      <c r="A1485" s="115"/>
      <c r="B1485" s="116"/>
      <c r="C1485" s="115"/>
      <c r="D1485" s="115"/>
      <c r="E1485" s="115"/>
      <c r="F1485" s="115"/>
      <c r="G1485" s="115"/>
      <c r="H1485" s="115"/>
      <c r="I1485" s="115"/>
      <c r="J1485" s="115"/>
      <c r="K1485" s="115"/>
      <c r="L1485" s="115"/>
      <c r="O1485" s="116"/>
      <c r="Q1485" s="116"/>
      <c r="T1485" s="114"/>
      <c r="Y1485" s="118"/>
      <c r="Z1485" s="29"/>
      <c r="AA1485" s="29"/>
      <c r="AB1485" s="29"/>
      <c r="AC1485" s="29"/>
      <c r="AD1485" s="29"/>
      <c r="AE1485" s="29"/>
      <c r="AF1485" s="29"/>
      <c r="AG1485" s="29"/>
      <c r="AH1485" s="123"/>
      <c r="AI1485" s="32"/>
      <c r="AJ1485" s="32"/>
      <c r="AK1485" s="32"/>
      <c r="AL1485" s="32"/>
      <c r="AM1485" s="32"/>
      <c r="AN1485" s="32"/>
      <c r="AO1485" s="32"/>
      <c r="AP1485" s="29"/>
    </row>
    <row r="1486">
      <c r="A1486" s="115"/>
      <c r="B1486" s="116"/>
      <c r="C1486" s="115"/>
      <c r="D1486" s="115"/>
      <c r="E1486" s="115"/>
      <c r="F1486" s="115"/>
      <c r="G1486" s="115"/>
      <c r="H1486" s="115"/>
      <c r="I1486" s="115"/>
      <c r="J1486" s="115"/>
      <c r="K1486" s="115"/>
      <c r="L1486" s="115"/>
      <c r="O1486" s="116"/>
      <c r="Q1486" s="116"/>
      <c r="T1486" s="114"/>
      <c r="Y1486" s="118"/>
      <c r="Z1486" s="29"/>
      <c r="AA1486" s="29"/>
      <c r="AB1486" s="29"/>
      <c r="AC1486" s="29"/>
      <c r="AD1486" s="29"/>
      <c r="AE1486" s="29"/>
      <c r="AF1486" s="29"/>
      <c r="AG1486" s="29"/>
      <c r="AH1486" s="123"/>
      <c r="AI1486" s="32"/>
      <c r="AJ1486" s="32"/>
      <c r="AK1486" s="32"/>
      <c r="AL1486" s="32"/>
      <c r="AM1486" s="32"/>
      <c r="AN1486" s="32"/>
      <c r="AO1486" s="32"/>
      <c r="AP1486" s="29"/>
    </row>
    <row r="1487">
      <c r="A1487" s="115"/>
      <c r="B1487" s="116"/>
      <c r="C1487" s="115"/>
      <c r="D1487" s="115"/>
      <c r="E1487" s="115"/>
      <c r="F1487" s="115"/>
      <c r="G1487" s="115"/>
      <c r="H1487" s="115"/>
      <c r="I1487" s="115"/>
      <c r="J1487" s="115"/>
      <c r="K1487" s="115"/>
      <c r="L1487" s="115"/>
      <c r="O1487" s="116"/>
      <c r="Q1487" s="116"/>
      <c r="T1487" s="114"/>
      <c r="Y1487" s="118"/>
      <c r="Z1487" s="29"/>
      <c r="AA1487" s="29"/>
      <c r="AB1487" s="29"/>
      <c r="AC1487" s="29"/>
      <c r="AD1487" s="29"/>
      <c r="AE1487" s="29"/>
      <c r="AF1487" s="29"/>
      <c r="AG1487" s="29"/>
      <c r="AH1487" s="123"/>
      <c r="AI1487" s="32"/>
      <c r="AJ1487" s="32"/>
      <c r="AK1487" s="32"/>
      <c r="AL1487" s="32"/>
      <c r="AM1487" s="32"/>
      <c r="AN1487" s="32"/>
      <c r="AO1487" s="32"/>
      <c r="AP1487" s="29"/>
    </row>
    <row r="1488">
      <c r="A1488" s="115"/>
      <c r="B1488" s="116"/>
      <c r="C1488" s="115"/>
      <c r="D1488" s="115"/>
      <c r="E1488" s="115"/>
      <c r="F1488" s="115"/>
      <c r="G1488" s="115"/>
      <c r="H1488" s="115"/>
      <c r="I1488" s="115"/>
      <c r="J1488" s="115"/>
      <c r="K1488" s="115"/>
      <c r="L1488" s="115"/>
      <c r="O1488" s="116"/>
      <c r="Q1488" s="116"/>
      <c r="T1488" s="114"/>
      <c r="Y1488" s="118"/>
      <c r="Z1488" s="29"/>
      <c r="AA1488" s="29"/>
      <c r="AB1488" s="29"/>
      <c r="AC1488" s="29"/>
      <c r="AD1488" s="29"/>
      <c r="AE1488" s="29"/>
      <c r="AF1488" s="29"/>
      <c r="AG1488" s="29"/>
      <c r="AH1488" s="123"/>
      <c r="AI1488" s="32"/>
      <c r="AJ1488" s="32"/>
      <c r="AK1488" s="32"/>
      <c r="AL1488" s="32"/>
      <c r="AM1488" s="32"/>
      <c r="AN1488" s="32"/>
      <c r="AO1488" s="32"/>
      <c r="AP1488" s="29"/>
    </row>
    <row r="1489">
      <c r="A1489" s="115"/>
      <c r="B1489" s="116"/>
      <c r="C1489" s="115"/>
      <c r="D1489" s="115"/>
      <c r="E1489" s="115"/>
      <c r="F1489" s="115"/>
      <c r="G1489" s="115"/>
      <c r="H1489" s="115"/>
      <c r="I1489" s="115"/>
      <c r="J1489" s="115"/>
      <c r="K1489" s="115"/>
      <c r="L1489" s="115"/>
      <c r="O1489" s="116"/>
      <c r="Q1489" s="116"/>
      <c r="T1489" s="114"/>
      <c r="Y1489" s="118"/>
      <c r="Z1489" s="29"/>
      <c r="AA1489" s="29"/>
      <c r="AB1489" s="29"/>
      <c r="AC1489" s="29"/>
      <c r="AD1489" s="29"/>
      <c r="AE1489" s="29"/>
      <c r="AF1489" s="29"/>
      <c r="AG1489" s="29"/>
      <c r="AH1489" s="123"/>
      <c r="AI1489" s="32"/>
      <c r="AJ1489" s="32"/>
      <c r="AK1489" s="32"/>
      <c r="AL1489" s="32"/>
      <c r="AM1489" s="32"/>
      <c r="AN1489" s="32"/>
      <c r="AO1489" s="32"/>
      <c r="AP1489" s="29"/>
    </row>
    <row r="1490">
      <c r="A1490" s="115"/>
      <c r="B1490" s="116"/>
      <c r="C1490" s="115"/>
      <c r="D1490" s="115"/>
      <c r="E1490" s="115"/>
      <c r="F1490" s="115"/>
      <c r="G1490" s="115"/>
      <c r="H1490" s="115"/>
      <c r="I1490" s="115"/>
      <c r="J1490" s="115"/>
      <c r="K1490" s="115"/>
      <c r="L1490" s="115"/>
      <c r="O1490" s="116"/>
      <c r="Q1490" s="116"/>
      <c r="T1490" s="114"/>
      <c r="Y1490" s="118"/>
      <c r="Z1490" s="29"/>
      <c r="AA1490" s="29"/>
      <c r="AB1490" s="29"/>
      <c r="AC1490" s="29"/>
      <c r="AD1490" s="29"/>
      <c r="AE1490" s="29"/>
      <c r="AF1490" s="29"/>
      <c r="AG1490" s="29"/>
      <c r="AH1490" s="123"/>
      <c r="AI1490" s="32"/>
      <c r="AJ1490" s="32"/>
      <c r="AK1490" s="32"/>
      <c r="AL1490" s="32"/>
      <c r="AM1490" s="32"/>
      <c r="AN1490" s="32"/>
      <c r="AO1490" s="32"/>
      <c r="AP1490" s="29"/>
    </row>
    <row r="1491">
      <c r="A1491" s="115"/>
      <c r="B1491" s="116"/>
      <c r="C1491" s="115"/>
      <c r="D1491" s="115"/>
      <c r="E1491" s="115"/>
      <c r="F1491" s="115"/>
      <c r="G1491" s="115"/>
      <c r="H1491" s="115"/>
      <c r="I1491" s="115"/>
      <c r="J1491" s="115"/>
      <c r="K1491" s="115"/>
      <c r="L1491" s="115"/>
      <c r="O1491" s="116"/>
      <c r="Q1491" s="116"/>
      <c r="T1491" s="114"/>
      <c r="Y1491" s="118"/>
      <c r="Z1491" s="29"/>
      <c r="AA1491" s="29"/>
      <c r="AB1491" s="29"/>
      <c r="AC1491" s="29"/>
      <c r="AD1491" s="29"/>
      <c r="AE1491" s="29"/>
      <c r="AF1491" s="29"/>
      <c r="AG1491" s="29"/>
      <c r="AH1491" s="123"/>
      <c r="AI1491" s="32"/>
      <c r="AJ1491" s="32"/>
      <c r="AK1491" s="32"/>
      <c r="AL1491" s="32"/>
      <c r="AM1491" s="32"/>
      <c r="AN1491" s="32"/>
      <c r="AO1491" s="32"/>
      <c r="AP1491" s="29"/>
    </row>
    <row r="1492">
      <c r="A1492" s="115"/>
      <c r="B1492" s="116"/>
      <c r="C1492" s="115"/>
      <c r="D1492" s="115"/>
      <c r="E1492" s="115"/>
      <c r="F1492" s="115"/>
      <c r="G1492" s="115"/>
      <c r="H1492" s="115"/>
      <c r="I1492" s="115"/>
      <c r="J1492" s="115"/>
      <c r="K1492" s="115"/>
      <c r="L1492" s="115"/>
      <c r="O1492" s="116"/>
      <c r="Q1492" s="116"/>
      <c r="T1492" s="114"/>
      <c r="Y1492" s="118"/>
      <c r="Z1492" s="29"/>
      <c r="AA1492" s="29"/>
      <c r="AB1492" s="29"/>
      <c r="AC1492" s="29"/>
      <c r="AD1492" s="29"/>
      <c r="AE1492" s="29"/>
      <c r="AF1492" s="29"/>
      <c r="AG1492" s="29"/>
      <c r="AH1492" s="123"/>
      <c r="AI1492" s="32"/>
      <c r="AJ1492" s="32"/>
      <c r="AK1492" s="32"/>
      <c r="AL1492" s="32"/>
      <c r="AM1492" s="32"/>
      <c r="AN1492" s="32"/>
      <c r="AO1492" s="32"/>
      <c r="AP1492" s="29"/>
    </row>
    <row r="1493">
      <c r="A1493" s="115"/>
      <c r="B1493" s="116"/>
      <c r="C1493" s="115"/>
      <c r="D1493" s="115"/>
      <c r="E1493" s="115"/>
      <c r="F1493" s="115"/>
      <c r="G1493" s="115"/>
      <c r="H1493" s="115"/>
      <c r="I1493" s="115"/>
      <c r="J1493" s="115"/>
      <c r="K1493" s="115"/>
      <c r="L1493" s="115"/>
      <c r="O1493" s="116"/>
      <c r="Q1493" s="116"/>
      <c r="T1493" s="114"/>
      <c r="Y1493" s="118"/>
      <c r="Z1493" s="29"/>
      <c r="AA1493" s="29"/>
      <c r="AB1493" s="29"/>
      <c r="AC1493" s="29"/>
      <c r="AD1493" s="29"/>
      <c r="AE1493" s="29"/>
      <c r="AF1493" s="29"/>
      <c r="AG1493" s="29"/>
      <c r="AH1493" s="123"/>
      <c r="AI1493" s="32"/>
      <c r="AJ1493" s="32"/>
      <c r="AK1493" s="32"/>
      <c r="AL1493" s="32"/>
      <c r="AM1493" s="32"/>
      <c r="AN1493" s="32"/>
      <c r="AO1493" s="32"/>
      <c r="AP1493" s="29"/>
    </row>
    <row r="1494">
      <c r="A1494" s="115"/>
      <c r="B1494" s="116"/>
      <c r="C1494" s="115"/>
      <c r="D1494" s="115"/>
      <c r="E1494" s="115"/>
      <c r="F1494" s="115"/>
      <c r="G1494" s="115"/>
      <c r="H1494" s="115"/>
      <c r="I1494" s="115"/>
      <c r="J1494" s="115"/>
      <c r="K1494" s="115"/>
      <c r="L1494" s="115"/>
      <c r="O1494" s="116"/>
      <c r="Q1494" s="116"/>
      <c r="T1494" s="114"/>
      <c r="Y1494" s="118"/>
      <c r="Z1494" s="29"/>
      <c r="AA1494" s="29"/>
      <c r="AB1494" s="29"/>
      <c r="AC1494" s="29"/>
      <c r="AD1494" s="29"/>
      <c r="AE1494" s="29"/>
      <c r="AF1494" s="29"/>
      <c r="AG1494" s="29"/>
      <c r="AH1494" s="123"/>
      <c r="AI1494" s="32"/>
      <c r="AJ1494" s="32"/>
      <c r="AK1494" s="32"/>
      <c r="AL1494" s="32"/>
      <c r="AM1494" s="32"/>
      <c r="AN1494" s="32"/>
      <c r="AO1494" s="32"/>
      <c r="AP1494" s="29"/>
    </row>
    <row r="1495">
      <c r="A1495" s="115"/>
      <c r="B1495" s="116"/>
      <c r="C1495" s="115"/>
      <c r="D1495" s="115"/>
      <c r="E1495" s="115"/>
      <c r="F1495" s="115"/>
      <c r="G1495" s="115"/>
      <c r="H1495" s="115"/>
      <c r="I1495" s="115"/>
      <c r="J1495" s="115"/>
      <c r="K1495" s="115"/>
      <c r="L1495" s="115"/>
      <c r="O1495" s="116"/>
      <c r="Q1495" s="116"/>
      <c r="T1495" s="114"/>
      <c r="Y1495" s="118"/>
      <c r="Z1495" s="29"/>
      <c r="AA1495" s="29"/>
      <c r="AB1495" s="29"/>
      <c r="AC1495" s="29"/>
      <c r="AD1495" s="29"/>
      <c r="AE1495" s="29"/>
      <c r="AF1495" s="29"/>
      <c r="AG1495" s="29"/>
      <c r="AH1495" s="123"/>
      <c r="AI1495" s="32"/>
      <c r="AJ1495" s="32"/>
      <c r="AK1495" s="32"/>
      <c r="AL1495" s="32"/>
      <c r="AM1495" s="32"/>
      <c r="AN1495" s="32"/>
      <c r="AO1495" s="32"/>
      <c r="AP1495" s="29"/>
    </row>
    <row r="1496">
      <c r="A1496" s="115"/>
      <c r="B1496" s="116"/>
      <c r="C1496" s="115"/>
      <c r="D1496" s="115"/>
      <c r="E1496" s="115"/>
      <c r="F1496" s="115"/>
      <c r="G1496" s="115"/>
      <c r="H1496" s="115"/>
      <c r="I1496" s="115"/>
      <c r="J1496" s="115"/>
      <c r="K1496" s="115"/>
      <c r="L1496" s="115"/>
      <c r="O1496" s="116"/>
      <c r="Q1496" s="116"/>
      <c r="T1496" s="114"/>
      <c r="Y1496" s="118"/>
      <c r="Z1496" s="29"/>
      <c r="AA1496" s="29"/>
      <c r="AB1496" s="29"/>
      <c r="AC1496" s="29"/>
      <c r="AD1496" s="29"/>
      <c r="AE1496" s="29"/>
      <c r="AF1496" s="29"/>
      <c r="AG1496" s="29"/>
      <c r="AH1496" s="123"/>
      <c r="AI1496" s="32"/>
      <c r="AJ1496" s="32"/>
      <c r="AK1496" s="32"/>
      <c r="AL1496" s="32"/>
      <c r="AM1496" s="32"/>
      <c r="AN1496" s="32"/>
      <c r="AO1496" s="32"/>
      <c r="AP1496" s="29"/>
    </row>
    <row r="1497">
      <c r="A1497" s="115"/>
      <c r="B1497" s="116"/>
      <c r="C1497" s="115"/>
      <c r="D1497" s="115"/>
      <c r="E1497" s="115"/>
      <c r="F1497" s="115"/>
      <c r="G1497" s="115"/>
      <c r="H1497" s="115"/>
      <c r="I1497" s="115"/>
      <c r="J1497" s="115"/>
      <c r="K1497" s="115"/>
      <c r="L1497" s="115"/>
      <c r="O1497" s="116"/>
      <c r="Q1497" s="116"/>
      <c r="T1497" s="114"/>
      <c r="Y1497" s="118"/>
      <c r="Z1497" s="29"/>
      <c r="AA1497" s="29"/>
      <c r="AB1497" s="29"/>
      <c r="AC1497" s="29"/>
      <c r="AD1497" s="29"/>
      <c r="AE1497" s="29"/>
      <c r="AF1497" s="29"/>
      <c r="AG1497" s="29"/>
      <c r="AH1497" s="123"/>
      <c r="AI1497" s="32"/>
      <c r="AJ1497" s="32"/>
      <c r="AK1497" s="32"/>
      <c r="AL1497" s="32"/>
      <c r="AM1497" s="32"/>
      <c r="AN1497" s="32"/>
      <c r="AO1497" s="32"/>
      <c r="AP1497" s="29"/>
    </row>
    <row r="1498">
      <c r="A1498" s="115"/>
      <c r="B1498" s="116"/>
      <c r="C1498" s="115"/>
      <c r="D1498" s="115"/>
      <c r="E1498" s="115"/>
      <c r="F1498" s="115"/>
      <c r="G1498" s="115"/>
      <c r="H1498" s="115"/>
      <c r="I1498" s="115"/>
      <c r="J1498" s="115"/>
      <c r="K1498" s="115"/>
      <c r="L1498" s="115"/>
      <c r="O1498" s="116"/>
      <c r="Q1498" s="116"/>
      <c r="T1498" s="114"/>
      <c r="Y1498" s="118"/>
      <c r="Z1498" s="29"/>
      <c r="AA1498" s="29"/>
      <c r="AB1498" s="29"/>
      <c r="AC1498" s="29"/>
      <c r="AD1498" s="29"/>
      <c r="AE1498" s="29"/>
      <c r="AF1498" s="29"/>
      <c r="AG1498" s="29"/>
      <c r="AH1498" s="123"/>
      <c r="AI1498" s="32"/>
      <c r="AJ1498" s="32"/>
      <c r="AK1498" s="32"/>
      <c r="AL1498" s="32"/>
      <c r="AM1498" s="32"/>
      <c r="AN1498" s="32"/>
      <c r="AO1498" s="32"/>
      <c r="AP1498" s="29"/>
    </row>
    <row r="1499">
      <c r="A1499" s="115"/>
      <c r="B1499" s="116"/>
      <c r="C1499" s="115"/>
      <c r="D1499" s="115"/>
      <c r="E1499" s="115"/>
      <c r="F1499" s="115"/>
      <c r="G1499" s="115"/>
      <c r="H1499" s="115"/>
      <c r="I1499" s="115"/>
      <c r="J1499" s="115"/>
      <c r="K1499" s="115"/>
      <c r="L1499" s="115"/>
      <c r="O1499" s="116"/>
      <c r="Q1499" s="116"/>
      <c r="T1499" s="114"/>
      <c r="Y1499" s="118"/>
      <c r="Z1499" s="29"/>
      <c r="AA1499" s="29"/>
      <c r="AB1499" s="29"/>
      <c r="AC1499" s="29"/>
      <c r="AD1499" s="29"/>
      <c r="AE1499" s="29"/>
      <c r="AF1499" s="29"/>
      <c r="AG1499" s="29"/>
      <c r="AH1499" s="123"/>
      <c r="AI1499" s="32"/>
      <c r="AJ1499" s="32"/>
      <c r="AK1499" s="32"/>
      <c r="AL1499" s="32"/>
      <c r="AM1499" s="32"/>
      <c r="AN1499" s="32"/>
      <c r="AO1499" s="32"/>
      <c r="AP1499" s="29"/>
    </row>
    <row r="1500">
      <c r="A1500" s="115"/>
      <c r="B1500" s="116"/>
      <c r="C1500" s="115"/>
      <c r="D1500" s="115"/>
      <c r="E1500" s="115"/>
      <c r="F1500" s="115"/>
      <c r="G1500" s="115"/>
      <c r="H1500" s="115"/>
      <c r="I1500" s="115"/>
      <c r="J1500" s="115"/>
      <c r="K1500" s="115"/>
      <c r="L1500" s="115"/>
      <c r="O1500" s="116"/>
      <c r="Q1500" s="116"/>
      <c r="T1500" s="114"/>
      <c r="Y1500" s="118"/>
      <c r="Z1500" s="29"/>
      <c r="AA1500" s="29"/>
      <c r="AB1500" s="29"/>
      <c r="AC1500" s="29"/>
      <c r="AD1500" s="29"/>
      <c r="AE1500" s="29"/>
      <c r="AF1500" s="29"/>
      <c r="AG1500" s="29"/>
      <c r="AH1500" s="123"/>
      <c r="AI1500" s="32"/>
      <c r="AJ1500" s="32"/>
      <c r="AK1500" s="32"/>
      <c r="AL1500" s="32"/>
      <c r="AM1500" s="32"/>
      <c r="AN1500" s="32"/>
      <c r="AO1500" s="32"/>
      <c r="AP1500" s="29"/>
    </row>
    <row r="1501">
      <c r="A1501" s="115"/>
      <c r="B1501" s="116"/>
      <c r="C1501" s="115"/>
      <c r="D1501" s="115"/>
      <c r="E1501" s="115"/>
      <c r="F1501" s="115"/>
      <c r="G1501" s="115"/>
      <c r="H1501" s="115"/>
      <c r="I1501" s="115"/>
      <c r="J1501" s="115"/>
      <c r="K1501" s="115"/>
      <c r="L1501" s="115"/>
      <c r="O1501" s="116"/>
      <c r="Q1501" s="116"/>
      <c r="T1501" s="114"/>
      <c r="Y1501" s="118"/>
      <c r="Z1501" s="29"/>
      <c r="AA1501" s="29"/>
      <c r="AB1501" s="29"/>
      <c r="AC1501" s="29"/>
      <c r="AD1501" s="29"/>
      <c r="AE1501" s="29"/>
      <c r="AF1501" s="29"/>
      <c r="AG1501" s="29"/>
      <c r="AH1501" s="123"/>
      <c r="AI1501" s="32"/>
      <c r="AJ1501" s="32"/>
      <c r="AK1501" s="32"/>
      <c r="AL1501" s="32"/>
      <c r="AM1501" s="32"/>
      <c r="AN1501" s="32"/>
      <c r="AO1501" s="32"/>
      <c r="AP1501" s="29"/>
    </row>
    <row r="1502">
      <c r="A1502" s="115"/>
      <c r="B1502" s="116"/>
      <c r="C1502" s="115"/>
      <c r="D1502" s="115"/>
      <c r="E1502" s="115"/>
      <c r="F1502" s="115"/>
      <c r="G1502" s="115"/>
      <c r="H1502" s="115"/>
      <c r="I1502" s="115"/>
      <c r="J1502" s="115"/>
      <c r="K1502" s="115"/>
      <c r="L1502" s="115"/>
      <c r="O1502" s="116"/>
      <c r="Q1502" s="116"/>
      <c r="T1502" s="114"/>
      <c r="Y1502" s="118"/>
      <c r="Z1502" s="29"/>
      <c r="AA1502" s="29"/>
      <c r="AB1502" s="29"/>
      <c r="AC1502" s="29"/>
      <c r="AD1502" s="29"/>
      <c r="AE1502" s="29"/>
      <c r="AF1502" s="29"/>
      <c r="AG1502" s="29"/>
      <c r="AH1502" s="123"/>
      <c r="AI1502" s="32"/>
      <c r="AJ1502" s="32"/>
      <c r="AK1502" s="32"/>
      <c r="AL1502" s="32"/>
      <c r="AM1502" s="32"/>
      <c r="AN1502" s="32"/>
      <c r="AO1502" s="32"/>
      <c r="AP1502" s="29"/>
    </row>
    <row r="1503">
      <c r="A1503" s="115"/>
      <c r="B1503" s="116"/>
      <c r="C1503" s="115"/>
      <c r="D1503" s="115"/>
      <c r="E1503" s="115"/>
      <c r="F1503" s="115"/>
      <c r="G1503" s="115"/>
      <c r="H1503" s="115"/>
      <c r="I1503" s="115"/>
      <c r="J1503" s="115"/>
      <c r="K1503" s="115"/>
      <c r="L1503" s="115"/>
      <c r="O1503" s="116"/>
      <c r="Q1503" s="116"/>
      <c r="T1503" s="114"/>
      <c r="Y1503" s="118"/>
      <c r="Z1503" s="29"/>
      <c r="AA1503" s="29"/>
      <c r="AB1503" s="29"/>
      <c r="AC1503" s="29"/>
      <c r="AD1503" s="29"/>
      <c r="AE1503" s="29"/>
      <c r="AF1503" s="29"/>
      <c r="AG1503" s="29"/>
      <c r="AH1503" s="123"/>
      <c r="AI1503" s="32"/>
      <c r="AJ1503" s="32"/>
      <c r="AK1503" s="32"/>
      <c r="AL1503" s="32"/>
      <c r="AM1503" s="32"/>
      <c r="AN1503" s="32"/>
      <c r="AO1503" s="32"/>
      <c r="AP1503" s="29"/>
    </row>
    <row r="1504">
      <c r="A1504" s="115"/>
      <c r="B1504" s="116"/>
      <c r="C1504" s="115"/>
      <c r="D1504" s="115"/>
      <c r="E1504" s="115"/>
      <c r="F1504" s="115"/>
      <c r="G1504" s="115"/>
      <c r="H1504" s="115"/>
      <c r="I1504" s="115"/>
      <c r="J1504" s="115"/>
      <c r="K1504" s="115"/>
      <c r="L1504" s="115"/>
      <c r="O1504" s="116"/>
      <c r="Q1504" s="116"/>
      <c r="T1504" s="114"/>
      <c r="Y1504" s="118"/>
      <c r="Z1504" s="29"/>
      <c r="AA1504" s="29"/>
      <c r="AB1504" s="29"/>
      <c r="AC1504" s="29"/>
      <c r="AD1504" s="29"/>
      <c r="AE1504" s="29"/>
      <c r="AF1504" s="29"/>
      <c r="AG1504" s="29"/>
      <c r="AH1504" s="123"/>
      <c r="AI1504" s="32"/>
      <c r="AJ1504" s="32"/>
      <c r="AK1504" s="32"/>
      <c r="AL1504" s="32"/>
      <c r="AM1504" s="32"/>
      <c r="AN1504" s="32"/>
      <c r="AO1504" s="32"/>
      <c r="AP1504" s="29"/>
    </row>
    <row r="1505">
      <c r="A1505" s="115"/>
      <c r="B1505" s="116"/>
      <c r="C1505" s="115"/>
      <c r="D1505" s="115"/>
      <c r="E1505" s="115"/>
      <c r="F1505" s="115"/>
      <c r="G1505" s="115"/>
      <c r="H1505" s="115"/>
      <c r="I1505" s="115"/>
      <c r="J1505" s="115"/>
      <c r="K1505" s="115"/>
      <c r="L1505" s="115"/>
      <c r="O1505" s="116"/>
      <c r="Q1505" s="116"/>
      <c r="T1505" s="114"/>
      <c r="Y1505" s="118"/>
      <c r="Z1505" s="29"/>
      <c r="AA1505" s="29"/>
      <c r="AB1505" s="29"/>
      <c r="AC1505" s="29"/>
      <c r="AD1505" s="29"/>
      <c r="AE1505" s="29"/>
      <c r="AF1505" s="29"/>
      <c r="AG1505" s="29"/>
      <c r="AH1505" s="123"/>
      <c r="AI1505" s="32"/>
      <c r="AJ1505" s="32"/>
      <c r="AK1505" s="32"/>
      <c r="AL1505" s="32"/>
      <c r="AM1505" s="32"/>
      <c r="AN1505" s="32"/>
      <c r="AO1505" s="32"/>
      <c r="AP1505" s="29"/>
    </row>
    <row r="1506">
      <c r="A1506" s="115"/>
      <c r="B1506" s="116"/>
      <c r="C1506" s="115"/>
      <c r="D1506" s="115"/>
      <c r="E1506" s="115"/>
      <c r="F1506" s="115"/>
      <c r="G1506" s="115"/>
      <c r="H1506" s="115"/>
      <c r="I1506" s="115"/>
      <c r="J1506" s="115"/>
      <c r="K1506" s="115"/>
      <c r="L1506" s="115"/>
      <c r="O1506" s="116"/>
      <c r="Q1506" s="116"/>
      <c r="T1506" s="114"/>
      <c r="Y1506" s="118"/>
      <c r="Z1506" s="29"/>
      <c r="AA1506" s="29"/>
      <c r="AB1506" s="29"/>
      <c r="AC1506" s="29"/>
      <c r="AD1506" s="29"/>
      <c r="AE1506" s="29"/>
      <c r="AF1506" s="29"/>
      <c r="AG1506" s="29"/>
      <c r="AH1506" s="123"/>
      <c r="AI1506" s="32"/>
      <c r="AJ1506" s="32"/>
      <c r="AK1506" s="32"/>
      <c r="AL1506" s="32"/>
      <c r="AM1506" s="32"/>
      <c r="AN1506" s="32"/>
      <c r="AO1506" s="32"/>
      <c r="AP1506" s="29"/>
    </row>
    <row r="1507">
      <c r="A1507" s="115"/>
      <c r="B1507" s="116"/>
      <c r="C1507" s="115"/>
      <c r="D1507" s="115"/>
      <c r="E1507" s="115"/>
      <c r="F1507" s="115"/>
      <c r="G1507" s="115"/>
      <c r="H1507" s="115"/>
      <c r="I1507" s="115"/>
      <c r="J1507" s="115"/>
      <c r="K1507" s="115"/>
      <c r="L1507" s="115"/>
      <c r="O1507" s="116"/>
      <c r="Q1507" s="116"/>
      <c r="T1507" s="114"/>
      <c r="Y1507" s="118"/>
      <c r="Z1507" s="29"/>
      <c r="AA1507" s="29"/>
      <c r="AB1507" s="29"/>
      <c r="AC1507" s="29"/>
      <c r="AD1507" s="29"/>
      <c r="AE1507" s="29"/>
      <c r="AF1507" s="29"/>
      <c r="AG1507" s="29"/>
      <c r="AH1507" s="123"/>
      <c r="AI1507" s="32"/>
      <c r="AJ1507" s="32"/>
      <c r="AK1507" s="32"/>
      <c r="AL1507" s="32"/>
      <c r="AM1507" s="32"/>
      <c r="AN1507" s="32"/>
      <c r="AO1507" s="32"/>
      <c r="AP1507" s="29"/>
    </row>
    <row r="1508">
      <c r="A1508" s="115"/>
      <c r="B1508" s="116"/>
      <c r="C1508" s="115"/>
      <c r="D1508" s="115"/>
      <c r="E1508" s="115"/>
      <c r="F1508" s="115"/>
      <c r="G1508" s="115"/>
      <c r="H1508" s="115"/>
      <c r="I1508" s="115"/>
      <c r="J1508" s="115"/>
      <c r="K1508" s="115"/>
      <c r="L1508" s="115"/>
      <c r="O1508" s="116"/>
      <c r="Q1508" s="116"/>
      <c r="T1508" s="114"/>
      <c r="Y1508" s="118"/>
      <c r="Z1508" s="29"/>
      <c r="AA1508" s="29"/>
      <c r="AB1508" s="29"/>
      <c r="AC1508" s="29"/>
      <c r="AD1508" s="29"/>
      <c r="AE1508" s="29"/>
      <c r="AF1508" s="29"/>
      <c r="AG1508" s="29"/>
      <c r="AH1508" s="123"/>
      <c r="AI1508" s="32"/>
      <c r="AJ1508" s="32"/>
      <c r="AK1508" s="32"/>
      <c r="AL1508" s="32"/>
      <c r="AM1508" s="32"/>
      <c r="AN1508" s="32"/>
      <c r="AO1508" s="32"/>
      <c r="AP1508" s="29"/>
    </row>
    <row r="1509">
      <c r="A1509" s="115"/>
      <c r="B1509" s="116"/>
      <c r="C1509" s="115"/>
      <c r="D1509" s="115"/>
      <c r="E1509" s="115"/>
      <c r="F1509" s="115"/>
      <c r="G1509" s="115"/>
      <c r="H1509" s="115"/>
      <c r="I1509" s="115"/>
      <c r="J1509" s="115"/>
      <c r="K1509" s="115"/>
      <c r="L1509" s="115"/>
      <c r="O1509" s="116"/>
      <c r="Q1509" s="116"/>
      <c r="T1509" s="114"/>
      <c r="Y1509" s="118"/>
      <c r="Z1509" s="29"/>
      <c r="AA1509" s="29"/>
      <c r="AB1509" s="29"/>
      <c r="AC1509" s="29"/>
      <c r="AD1509" s="29"/>
      <c r="AE1509" s="29"/>
      <c r="AF1509" s="29"/>
      <c r="AG1509" s="29"/>
      <c r="AH1509" s="123"/>
      <c r="AI1509" s="32"/>
      <c r="AJ1509" s="32"/>
      <c r="AK1509" s="32"/>
      <c r="AL1509" s="32"/>
      <c r="AM1509" s="32"/>
      <c r="AN1509" s="32"/>
      <c r="AO1509" s="32"/>
      <c r="AP1509" s="29"/>
    </row>
    <row r="1510">
      <c r="A1510" s="115"/>
      <c r="B1510" s="116"/>
      <c r="C1510" s="115"/>
      <c r="D1510" s="115"/>
      <c r="E1510" s="115"/>
      <c r="F1510" s="115"/>
      <c r="G1510" s="115"/>
      <c r="H1510" s="115"/>
      <c r="I1510" s="115"/>
      <c r="J1510" s="115"/>
      <c r="K1510" s="115"/>
      <c r="L1510" s="115"/>
      <c r="O1510" s="116"/>
      <c r="Q1510" s="116"/>
      <c r="T1510" s="114"/>
      <c r="Y1510" s="118"/>
      <c r="Z1510" s="29"/>
      <c r="AA1510" s="29"/>
      <c r="AB1510" s="29"/>
      <c r="AC1510" s="29"/>
      <c r="AD1510" s="29"/>
      <c r="AE1510" s="29"/>
      <c r="AF1510" s="29"/>
      <c r="AG1510" s="29"/>
      <c r="AH1510" s="123"/>
      <c r="AI1510" s="32"/>
      <c r="AJ1510" s="32"/>
      <c r="AK1510" s="32"/>
      <c r="AL1510" s="32"/>
      <c r="AM1510" s="32"/>
      <c r="AN1510" s="32"/>
      <c r="AO1510" s="32"/>
      <c r="AP1510" s="29"/>
    </row>
    <row r="1511">
      <c r="A1511" s="115"/>
      <c r="B1511" s="116"/>
      <c r="C1511" s="115"/>
      <c r="D1511" s="115"/>
      <c r="E1511" s="115"/>
      <c r="F1511" s="115"/>
      <c r="G1511" s="115"/>
      <c r="H1511" s="115"/>
      <c r="I1511" s="115"/>
      <c r="J1511" s="115"/>
      <c r="K1511" s="115"/>
      <c r="L1511" s="115"/>
      <c r="O1511" s="116"/>
      <c r="Q1511" s="116"/>
      <c r="T1511" s="114"/>
      <c r="Y1511" s="118"/>
      <c r="Z1511" s="29"/>
      <c r="AA1511" s="29"/>
      <c r="AB1511" s="29"/>
      <c r="AC1511" s="29"/>
      <c r="AD1511" s="29"/>
      <c r="AE1511" s="29"/>
      <c r="AF1511" s="29"/>
      <c r="AG1511" s="29"/>
      <c r="AH1511" s="123"/>
      <c r="AI1511" s="32"/>
      <c r="AJ1511" s="32"/>
      <c r="AK1511" s="32"/>
      <c r="AL1511" s="32"/>
      <c r="AM1511" s="32"/>
      <c r="AN1511" s="32"/>
      <c r="AO1511" s="32"/>
      <c r="AP1511" s="29"/>
    </row>
    <row r="1512">
      <c r="A1512" s="115"/>
      <c r="B1512" s="116"/>
      <c r="C1512" s="115"/>
      <c r="D1512" s="115"/>
      <c r="E1512" s="115"/>
      <c r="F1512" s="115"/>
      <c r="G1512" s="115"/>
      <c r="H1512" s="115"/>
      <c r="I1512" s="115"/>
      <c r="J1512" s="115"/>
      <c r="K1512" s="115"/>
      <c r="L1512" s="115"/>
      <c r="O1512" s="116"/>
      <c r="Q1512" s="116"/>
      <c r="T1512" s="114"/>
      <c r="Y1512" s="118"/>
      <c r="Z1512" s="29"/>
      <c r="AA1512" s="29"/>
      <c r="AB1512" s="29"/>
      <c r="AC1512" s="29"/>
      <c r="AD1512" s="29"/>
      <c r="AE1512" s="29"/>
      <c r="AF1512" s="29"/>
      <c r="AG1512" s="29"/>
      <c r="AH1512" s="123"/>
      <c r="AI1512" s="32"/>
      <c r="AJ1512" s="32"/>
      <c r="AK1512" s="32"/>
      <c r="AL1512" s="32"/>
      <c r="AM1512" s="32"/>
      <c r="AN1512" s="32"/>
      <c r="AO1512" s="32"/>
      <c r="AP1512" s="29"/>
    </row>
    <row r="1513">
      <c r="A1513" s="115"/>
      <c r="B1513" s="116"/>
      <c r="C1513" s="115"/>
      <c r="D1513" s="115"/>
      <c r="E1513" s="115"/>
      <c r="F1513" s="115"/>
      <c r="G1513" s="115"/>
      <c r="H1513" s="115"/>
      <c r="I1513" s="115"/>
      <c r="J1513" s="115"/>
      <c r="K1513" s="115"/>
      <c r="L1513" s="115"/>
      <c r="O1513" s="116"/>
      <c r="Q1513" s="116"/>
      <c r="T1513" s="114"/>
      <c r="Y1513" s="118"/>
      <c r="Z1513" s="29"/>
      <c r="AA1513" s="29"/>
      <c r="AB1513" s="29"/>
      <c r="AC1513" s="29"/>
      <c r="AD1513" s="29"/>
      <c r="AE1513" s="29"/>
      <c r="AF1513" s="29"/>
      <c r="AG1513" s="29"/>
      <c r="AH1513" s="123"/>
      <c r="AI1513" s="32"/>
      <c r="AJ1513" s="32"/>
      <c r="AK1513" s="32"/>
      <c r="AL1513" s="32"/>
      <c r="AM1513" s="32"/>
      <c r="AN1513" s="32"/>
      <c r="AO1513" s="32"/>
      <c r="AP1513" s="29"/>
    </row>
    <row r="1514">
      <c r="A1514" s="115"/>
      <c r="B1514" s="116"/>
      <c r="C1514" s="115"/>
      <c r="D1514" s="115"/>
      <c r="E1514" s="115"/>
      <c r="F1514" s="115"/>
      <c r="G1514" s="115"/>
      <c r="H1514" s="115"/>
      <c r="I1514" s="115"/>
      <c r="J1514" s="115"/>
      <c r="K1514" s="115"/>
      <c r="L1514" s="115"/>
      <c r="O1514" s="116"/>
      <c r="Q1514" s="116"/>
      <c r="T1514" s="114"/>
      <c r="Y1514" s="118"/>
      <c r="Z1514" s="29"/>
      <c r="AA1514" s="29"/>
      <c r="AB1514" s="29"/>
      <c r="AC1514" s="29"/>
      <c r="AD1514" s="29"/>
      <c r="AE1514" s="29"/>
      <c r="AF1514" s="29"/>
      <c r="AG1514" s="29"/>
      <c r="AH1514" s="123"/>
      <c r="AI1514" s="32"/>
      <c r="AJ1514" s="32"/>
      <c r="AK1514" s="32"/>
      <c r="AL1514" s="32"/>
      <c r="AM1514" s="32"/>
      <c r="AN1514" s="32"/>
      <c r="AO1514" s="32"/>
      <c r="AP1514" s="29"/>
    </row>
    <row r="1515">
      <c r="A1515" s="115"/>
      <c r="B1515" s="116"/>
      <c r="C1515" s="115"/>
      <c r="D1515" s="115"/>
      <c r="E1515" s="115"/>
      <c r="F1515" s="115"/>
      <c r="G1515" s="115"/>
      <c r="H1515" s="115"/>
      <c r="I1515" s="115"/>
      <c r="J1515" s="115"/>
      <c r="K1515" s="115"/>
      <c r="L1515" s="115"/>
      <c r="O1515" s="116"/>
      <c r="Q1515" s="116"/>
      <c r="T1515" s="114"/>
      <c r="Y1515" s="118"/>
      <c r="Z1515" s="29"/>
      <c r="AA1515" s="29"/>
      <c r="AB1515" s="29"/>
      <c r="AC1515" s="29"/>
      <c r="AD1515" s="29"/>
      <c r="AE1515" s="29"/>
      <c r="AF1515" s="29"/>
      <c r="AG1515" s="29"/>
      <c r="AH1515" s="123"/>
      <c r="AI1515" s="32"/>
      <c r="AJ1515" s="32"/>
      <c r="AK1515" s="32"/>
      <c r="AL1515" s="32"/>
      <c r="AM1515" s="32"/>
      <c r="AN1515" s="32"/>
      <c r="AO1515" s="32"/>
      <c r="AP1515" s="29"/>
    </row>
    <row r="1516">
      <c r="A1516" s="115"/>
      <c r="B1516" s="116"/>
      <c r="C1516" s="115"/>
      <c r="D1516" s="115"/>
      <c r="E1516" s="115"/>
      <c r="F1516" s="115"/>
      <c r="G1516" s="115"/>
      <c r="H1516" s="115"/>
      <c r="I1516" s="115"/>
      <c r="J1516" s="115"/>
      <c r="K1516" s="115"/>
      <c r="L1516" s="115"/>
      <c r="O1516" s="116"/>
      <c r="Q1516" s="116"/>
      <c r="T1516" s="114"/>
      <c r="Y1516" s="118"/>
      <c r="Z1516" s="29"/>
      <c r="AA1516" s="29"/>
      <c r="AB1516" s="29"/>
      <c r="AC1516" s="29"/>
      <c r="AD1516" s="29"/>
      <c r="AE1516" s="29"/>
      <c r="AF1516" s="29"/>
      <c r="AG1516" s="29"/>
      <c r="AH1516" s="123"/>
      <c r="AI1516" s="32"/>
      <c r="AJ1516" s="32"/>
      <c r="AK1516" s="32"/>
      <c r="AL1516" s="32"/>
      <c r="AM1516" s="32"/>
      <c r="AN1516" s="32"/>
      <c r="AO1516" s="32"/>
      <c r="AP1516" s="29"/>
    </row>
    <row r="1517">
      <c r="A1517" s="115"/>
      <c r="B1517" s="116"/>
      <c r="C1517" s="115"/>
      <c r="D1517" s="115"/>
      <c r="E1517" s="115"/>
      <c r="F1517" s="115"/>
      <c r="G1517" s="115"/>
      <c r="H1517" s="115"/>
      <c r="I1517" s="115"/>
      <c r="J1517" s="115"/>
      <c r="K1517" s="115"/>
      <c r="L1517" s="115"/>
      <c r="O1517" s="116"/>
      <c r="Q1517" s="116"/>
      <c r="T1517" s="114"/>
      <c r="Y1517" s="118"/>
      <c r="Z1517" s="29"/>
      <c r="AA1517" s="29"/>
      <c r="AB1517" s="29"/>
      <c r="AC1517" s="29"/>
      <c r="AD1517" s="29"/>
      <c r="AE1517" s="29"/>
      <c r="AF1517" s="29"/>
      <c r="AG1517" s="29"/>
      <c r="AH1517" s="123"/>
      <c r="AI1517" s="32"/>
      <c r="AJ1517" s="32"/>
      <c r="AK1517" s="32"/>
      <c r="AL1517" s="32"/>
      <c r="AM1517" s="32"/>
      <c r="AN1517" s="32"/>
      <c r="AO1517" s="32"/>
      <c r="AP1517" s="29"/>
    </row>
    <row r="1518">
      <c r="A1518" s="115"/>
      <c r="B1518" s="116"/>
      <c r="C1518" s="115"/>
      <c r="D1518" s="115"/>
      <c r="E1518" s="115"/>
      <c r="F1518" s="115"/>
      <c r="G1518" s="115"/>
      <c r="H1518" s="115"/>
      <c r="I1518" s="115"/>
      <c r="J1518" s="115"/>
      <c r="K1518" s="115"/>
      <c r="L1518" s="115"/>
      <c r="O1518" s="116"/>
      <c r="Q1518" s="116"/>
      <c r="T1518" s="114"/>
      <c r="Y1518" s="118"/>
      <c r="Z1518" s="29"/>
      <c r="AA1518" s="29"/>
      <c r="AB1518" s="29"/>
      <c r="AC1518" s="29"/>
      <c r="AD1518" s="29"/>
      <c r="AE1518" s="29"/>
      <c r="AF1518" s="29"/>
      <c r="AG1518" s="29"/>
      <c r="AH1518" s="123"/>
      <c r="AI1518" s="32"/>
      <c r="AJ1518" s="32"/>
      <c r="AK1518" s="32"/>
      <c r="AL1518" s="32"/>
      <c r="AM1518" s="32"/>
      <c r="AN1518" s="32"/>
      <c r="AO1518" s="32"/>
      <c r="AP1518" s="29"/>
    </row>
    <row r="1519">
      <c r="A1519" s="115"/>
      <c r="B1519" s="116"/>
      <c r="C1519" s="115"/>
      <c r="D1519" s="115"/>
      <c r="E1519" s="115"/>
      <c r="F1519" s="115"/>
      <c r="G1519" s="115"/>
      <c r="H1519" s="115"/>
      <c r="I1519" s="115"/>
      <c r="J1519" s="115"/>
      <c r="K1519" s="115"/>
      <c r="L1519" s="115"/>
      <c r="O1519" s="116"/>
      <c r="Q1519" s="116"/>
      <c r="T1519" s="114"/>
      <c r="Y1519" s="118"/>
      <c r="Z1519" s="29"/>
      <c r="AA1519" s="29"/>
      <c r="AB1519" s="29"/>
      <c r="AC1519" s="29"/>
      <c r="AD1519" s="29"/>
      <c r="AE1519" s="29"/>
      <c r="AF1519" s="29"/>
      <c r="AG1519" s="29"/>
      <c r="AH1519" s="123"/>
      <c r="AI1519" s="32"/>
      <c r="AJ1519" s="32"/>
      <c r="AK1519" s="32"/>
      <c r="AL1519" s="32"/>
      <c r="AM1519" s="32"/>
      <c r="AN1519" s="32"/>
      <c r="AO1519" s="32"/>
      <c r="AP1519" s="29"/>
    </row>
    <row r="1520">
      <c r="A1520" s="115"/>
      <c r="B1520" s="116"/>
      <c r="C1520" s="115"/>
      <c r="D1520" s="115"/>
      <c r="E1520" s="115"/>
      <c r="F1520" s="115"/>
      <c r="G1520" s="115"/>
      <c r="H1520" s="115"/>
      <c r="I1520" s="115"/>
      <c r="J1520" s="115"/>
      <c r="K1520" s="115"/>
      <c r="L1520" s="115"/>
      <c r="O1520" s="116"/>
      <c r="Q1520" s="116"/>
      <c r="T1520" s="114"/>
      <c r="Y1520" s="118"/>
      <c r="Z1520" s="29"/>
      <c r="AA1520" s="29"/>
      <c r="AB1520" s="29"/>
      <c r="AC1520" s="29"/>
      <c r="AD1520" s="29"/>
      <c r="AE1520" s="29"/>
      <c r="AF1520" s="29"/>
      <c r="AG1520" s="29"/>
      <c r="AH1520" s="123"/>
      <c r="AI1520" s="32"/>
      <c r="AJ1520" s="32"/>
      <c r="AK1520" s="32"/>
      <c r="AL1520" s="32"/>
      <c r="AM1520" s="32"/>
      <c r="AN1520" s="32"/>
      <c r="AO1520" s="32"/>
      <c r="AP1520" s="29"/>
    </row>
    <row r="1521">
      <c r="A1521" s="115"/>
      <c r="B1521" s="116"/>
      <c r="C1521" s="115"/>
      <c r="D1521" s="115"/>
      <c r="E1521" s="115"/>
      <c r="F1521" s="115"/>
      <c r="G1521" s="115"/>
      <c r="H1521" s="115"/>
      <c r="I1521" s="115"/>
      <c r="J1521" s="115"/>
      <c r="K1521" s="115"/>
      <c r="L1521" s="115"/>
      <c r="O1521" s="116"/>
      <c r="Q1521" s="116"/>
      <c r="T1521" s="114"/>
      <c r="Y1521" s="118"/>
      <c r="Z1521" s="29"/>
      <c r="AA1521" s="29"/>
      <c r="AB1521" s="29"/>
      <c r="AC1521" s="29"/>
      <c r="AD1521" s="29"/>
      <c r="AE1521" s="29"/>
      <c r="AF1521" s="29"/>
      <c r="AG1521" s="29"/>
      <c r="AH1521" s="123"/>
      <c r="AI1521" s="32"/>
      <c r="AJ1521" s="32"/>
      <c r="AK1521" s="32"/>
      <c r="AL1521" s="32"/>
      <c r="AM1521" s="32"/>
      <c r="AN1521" s="32"/>
      <c r="AO1521" s="32"/>
      <c r="AP1521" s="29"/>
    </row>
    <row r="1522">
      <c r="A1522" s="115"/>
      <c r="B1522" s="116"/>
      <c r="C1522" s="115"/>
      <c r="D1522" s="115"/>
      <c r="E1522" s="115"/>
      <c r="F1522" s="115"/>
      <c r="G1522" s="115"/>
      <c r="H1522" s="115"/>
      <c r="I1522" s="115"/>
      <c r="J1522" s="115"/>
      <c r="K1522" s="115"/>
      <c r="L1522" s="115"/>
      <c r="O1522" s="116"/>
      <c r="Q1522" s="116"/>
      <c r="T1522" s="114"/>
      <c r="Y1522" s="118"/>
      <c r="Z1522" s="29"/>
      <c r="AA1522" s="29"/>
      <c r="AB1522" s="29"/>
      <c r="AC1522" s="29"/>
      <c r="AD1522" s="29"/>
      <c r="AE1522" s="29"/>
      <c r="AF1522" s="29"/>
      <c r="AG1522" s="29"/>
      <c r="AH1522" s="123"/>
      <c r="AI1522" s="32"/>
      <c r="AJ1522" s="32"/>
      <c r="AK1522" s="32"/>
      <c r="AL1522" s="32"/>
      <c r="AM1522" s="32"/>
      <c r="AN1522" s="32"/>
      <c r="AO1522" s="32"/>
      <c r="AP1522" s="29"/>
    </row>
    <row r="1523">
      <c r="A1523" s="115"/>
      <c r="B1523" s="116"/>
      <c r="C1523" s="115"/>
      <c r="D1523" s="115"/>
      <c r="E1523" s="115"/>
      <c r="F1523" s="115"/>
      <c r="G1523" s="115"/>
      <c r="H1523" s="115"/>
      <c r="I1523" s="115"/>
      <c r="J1523" s="115"/>
      <c r="K1523" s="115"/>
      <c r="L1523" s="115"/>
      <c r="O1523" s="116"/>
      <c r="Q1523" s="116"/>
      <c r="T1523" s="114"/>
      <c r="Y1523" s="118"/>
      <c r="Z1523" s="29"/>
      <c r="AA1523" s="29"/>
      <c r="AB1523" s="29"/>
      <c r="AC1523" s="29"/>
      <c r="AD1523" s="29"/>
      <c r="AE1523" s="29"/>
      <c r="AF1523" s="29"/>
      <c r="AG1523" s="29"/>
      <c r="AH1523" s="123"/>
      <c r="AI1523" s="32"/>
      <c r="AJ1523" s="32"/>
      <c r="AK1523" s="32"/>
      <c r="AL1523" s="32"/>
      <c r="AM1523" s="32"/>
      <c r="AN1523" s="32"/>
      <c r="AO1523" s="32"/>
      <c r="AP1523" s="29"/>
    </row>
    <row r="1524">
      <c r="A1524" s="115"/>
      <c r="B1524" s="116"/>
      <c r="C1524" s="115"/>
      <c r="D1524" s="115"/>
      <c r="E1524" s="115"/>
      <c r="F1524" s="115"/>
      <c r="G1524" s="115"/>
      <c r="H1524" s="115"/>
      <c r="I1524" s="115"/>
      <c r="J1524" s="115"/>
      <c r="K1524" s="115"/>
      <c r="L1524" s="115"/>
      <c r="O1524" s="116"/>
      <c r="Q1524" s="116"/>
      <c r="T1524" s="114"/>
      <c r="Y1524" s="118"/>
      <c r="Z1524" s="29"/>
      <c r="AA1524" s="29"/>
      <c r="AB1524" s="29"/>
      <c r="AC1524" s="29"/>
      <c r="AD1524" s="29"/>
      <c r="AE1524" s="29"/>
      <c r="AF1524" s="29"/>
      <c r="AG1524" s="29"/>
      <c r="AH1524" s="123"/>
      <c r="AI1524" s="32"/>
      <c r="AJ1524" s="32"/>
      <c r="AK1524" s="32"/>
      <c r="AL1524" s="32"/>
      <c r="AM1524" s="32"/>
      <c r="AN1524" s="32"/>
      <c r="AO1524" s="32"/>
      <c r="AP1524" s="29"/>
    </row>
    <row r="1525">
      <c r="A1525" s="115"/>
      <c r="B1525" s="116"/>
      <c r="C1525" s="115"/>
      <c r="D1525" s="115"/>
      <c r="E1525" s="115"/>
      <c r="F1525" s="115"/>
      <c r="G1525" s="115"/>
      <c r="H1525" s="115"/>
      <c r="I1525" s="115"/>
      <c r="J1525" s="115"/>
      <c r="K1525" s="115"/>
      <c r="L1525" s="115"/>
      <c r="O1525" s="116"/>
      <c r="Q1525" s="116"/>
      <c r="T1525" s="114"/>
      <c r="Y1525" s="118"/>
      <c r="Z1525" s="29"/>
      <c r="AA1525" s="29"/>
      <c r="AB1525" s="29"/>
      <c r="AC1525" s="29"/>
      <c r="AD1525" s="29"/>
      <c r="AE1525" s="29"/>
      <c r="AF1525" s="29"/>
      <c r="AG1525" s="29"/>
      <c r="AH1525" s="123"/>
      <c r="AI1525" s="32"/>
      <c r="AJ1525" s="32"/>
      <c r="AK1525" s="32"/>
      <c r="AL1525" s="32"/>
      <c r="AM1525" s="32"/>
      <c r="AN1525" s="32"/>
      <c r="AO1525" s="32"/>
      <c r="AP1525" s="29"/>
    </row>
    <row r="1526">
      <c r="A1526" s="115"/>
      <c r="B1526" s="116"/>
      <c r="C1526" s="115"/>
      <c r="D1526" s="115"/>
      <c r="E1526" s="115"/>
      <c r="F1526" s="115"/>
      <c r="G1526" s="115"/>
      <c r="H1526" s="115"/>
      <c r="I1526" s="115"/>
      <c r="J1526" s="115"/>
      <c r="K1526" s="115"/>
      <c r="L1526" s="115"/>
      <c r="O1526" s="116"/>
      <c r="Q1526" s="116"/>
      <c r="T1526" s="114"/>
      <c r="Y1526" s="118"/>
      <c r="Z1526" s="29"/>
      <c r="AA1526" s="29"/>
      <c r="AB1526" s="29"/>
      <c r="AC1526" s="29"/>
      <c r="AD1526" s="29"/>
      <c r="AE1526" s="29"/>
      <c r="AF1526" s="29"/>
      <c r="AG1526" s="29"/>
      <c r="AH1526" s="123"/>
      <c r="AI1526" s="32"/>
      <c r="AJ1526" s="32"/>
      <c r="AK1526" s="32"/>
      <c r="AL1526" s="32"/>
      <c r="AM1526" s="32"/>
      <c r="AN1526" s="32"/>
      <c r="AO1526" s="32"/>
      <c r="AP1526" s="29"/>
    </row>
    <row r="1527">
      <c r="A1527" s="115"/>
      <c r="B1527" s="116"/>
      <c r="C1527" s="115"/>
      <c r="D1527" s="115"/>
      <c r="E1527" s="115"/>
      <c r="F1527" s="115"/>
      <c r="G1527" s="115"/>
      <c r="H1527" s="115"/>
      <c r="I1527" s="115"/>
      <c r="J1527" s="115"/>
      <c r="K1527" s="115"/>
      <c r="L1527" s="115"/>
      <c r="O1527" s="116"/>
      <c r="Q1527" s="116"/>
      <c r="T1527" s="114"/>
      <c r="Y1527" s="118"/>
      <c r="Z1527" s="29"/>
      <c r="AA1527" s="29"/>
      <c r="AB1527" s="29"/>
      <c r="AC1527" s="29"/>
      <c r="AD1527" s="29"/>
      <c r="AE1527" s="29"/>
      <c r="AF1527" s="29"/>
      <c r="AG1527" s="29"/>
      <c r="AH1527" s="123"/>
      <c r="AI1527" s="32"/>
      <c r="AJ1527" s="32"/>
      <c r="AK1527" s="32"/>
      <c r="AL1527" s="32"/>
      <c r="AM1527" s="32"/>
      <c r="AN1527" s="32"/>
      <c r="AO1527" s="32"/>
      <c r="AP1527" s="29"/>
    </row>
    <row r="1528">
      <c r="A1528" s="115"/>
      <c r="B1528" s="116"/>
      <c r="C1528" s="115"/>
      <c r="D1528" s="115"/>
      <c r="E1528" s="115"/>
      <c r="F1528" s="115"/>
      <c r="G1528" s="115"/>
      <c r="H1528" s="115"/>
      <c r="I1528" s="115"/>
      <c r="J1528" s="115"/>
      <c r="K1528" s="115"/>
      <c r="L1528" s="115"/>
      <c r="O1528" s="116"/>
      <c r="Q1528" s="116"/>
      <c r="T1528" s="114"/>
      <c r="Y1528" s="118"/>
      <c r="Z1528" s="29"/>
      <c r="AA1528" s="29"/>
      <c r="AB1528" s="29"/>
      <c r="AC1528" s="29"/>
      <c r="AD1528" s="29"/>
      <c r="AE1528" s="29"/>
      <c r="AF1528" s="29"/>
      <c r="AG1528" s="29"/>
      <c r="AH1528" s="123"/>
      <c r="AI1528" s="32"/>
      <c r="AJ1528" s="32"/>
      <c r="AK1528" s="32"/>
      <c r="AL1528" s="32"/>
      <c r="AM1528" s="32"/>
      <c r="AN1528" s="32"/>
      <c r="AO1528" s="32"/>
      <c r="AP1528" s="29"/>
    </row>
    <row r="1529">
      <c r="A1529" s="115"/>
      <c r="B1529" s="116"/>
      <c r="C1529" s="115"/>
      <c r="D1529" s="115"/>
      <c r="E1529" s="115"/>
      <c r="F1529" s="115"/>
      <c r="G1529" s="115"/>
      <c r="H1529" s="115"/>
      <c r="I1529" s="115"/>
      <c r="J1529" s="115"/>
      <c r="K1529" s="115"/>
      <c r="L1529" s="115"/>
      <c r="O1529" s="116"/>
      <c r="Q1529" s="116"/>
      <c r="T1529" s="114"/>
      <c r="Y1529" s="118"/>
      <c r="Z1529" s="29"/>
      <c r="AA1529" s="29"/>
      <c r="AB1529" s="29"/>
      <c r="AC1529" s="29"/>
      <c r="AD1529" s="29"/>
      <c r="AE1529" s="29"/>
      <c r="AF1529" s="29"/>
      <c r="AG1529" s="29"/>
      <c r="AH1529" s="123"/>
      <c r="AI1529" s="32"/>
      <c r="AJ1529" s="32"/>
      <c r="AK1529" s="32"/>
      <c r="AL1529" s="32"/>
      <c r="AM1529" s="32"/>
      <c r="AN1529" s="32"/>
      <c r="AO1529" s="32"/>
      <c r="AP1529" s="29"/>
    </row>
    <row r="1530">
      <c r="A1530" s="115"/>
      <c r="B1530" s="116"/>
      <c r="C1530" s="115"/>
      <c r="D1530" s="115"/>
      <c r="E1530" s="115"/>
      <c r="F1530" s="115"/>
      <c r="G1530" s="115"/>
      <c r="H1530" s="115"/>
      <c r="I1530" s="115"/>
      <c r="J1530" s="115"/>
      <c r="K1530" s="115"/>
      <c r="L1530" s="115"/>
      <c r="O1530" s="116"/>
      <c r="Q1530" s="116"/>
      <c r="T1530" s="114"/>
      <c r="Y1530" s="118"/>
      <c r="Z1530" s="29"/>
      <c r="AA1530" s="29"/>
      <c r="AB1530" s="29"/>
      <c r="AC1530" s="29"/>
      <c r="AD1530" s="29"/>
      <c r="AE1530" s="29"/>
      <c r="AF1530" s="29"/>
      <c r="AG1530" s="29"/>
      <c r="AH1530" s="123"/>
      <c r="AI1530" s="32"/>
      <c r="AJ1530" s="32"/>
      <c r="AK1530" s="32"/>
      <c r="AL1530" s="32"/>
      <c r="AM1530" s="32"/>
      <c r="AN1530" s="32"/>
      <c r="AO1530" s="32"/>
      <c r="AP1530" s="29"/>
    </row>
    <row r="1531">
      <c r="A1531" s="115"/>
      <c r="B1531" s="116"/>
      <c r="C1531" s="115"/>
      <c r="D1531" s="115"/>
      <c r="E1531" s="115"/>
      <c r="F1531" s="115"/>
      <c r="G1531" s="115"/>
      <c r="H1531" s="115"/>
      <c r="I1531" s="115"/>
      <c r="J1531" s="115"/>
      <c r="K1531" s="115"/>
      <c r="L1531" s="115"/>
      <c r="O1531" s="116"/>
      <c r="Q1531" s="116"/>
      <c r="T1531" s="114"/>
      <c r="Y1531" s="118"/>
      <c r="Z1531" s="29"/>
      <c r="AA1531" s="29"/>
      <c r="AB1531" s="29"/>
      <c r="AC1531" s="29"/>
      <c r="AD1531" s="29"/>
      <c r="AE1531" s="29"/>
      <c r="AF1531" s="29"/>
      <c r="AG1531" s="29"/>
      <c r="AH1531" s="123"/>
      <c r="AI1531" s="32"/>
      <c r="AJ1531" s="32"/>
      <c r="AK1531" s="32"/>
      <c r="AL1531" s="32"/>
      <c r="AM1531" s="32"/>
      <c r="AN1531" s="32"/>
      <c r="AO1531" s="32"/>
      <c r="AP1531" s="29"/>
    </row>
    <row r="1532">
      <c r="A1532" s="115"/>
      <c r="B1532" s="116"/>
      <c r="C1532" s="115"/>
      <c r="D1532" s="115"/>
      <c r="E1532" s="115"/>
      <c r="F1532" s="115"/>
      <c r="G1532" s="115"/>
      <c r="H1532" s="115"/>
      <c r="I1532" s="115"/>
      <c r="J1532" s="115"/>
      <c r="K1532" s="115"/>
      <c r="L1532" s="115"/>
      <c r="O1532" s="116"/>
      <c r="Q1532" s="116"/>
      <c r="T1532" s="114"/>
      <c r="Y1532" s="118"/>
      <c r="Z1532" s="29"/>
      <c r="AA1532" s="29"/>
      <c r="AB1532" s="29"/>
      <c r="AC1532" s="29"/>
      <c r="AD1532" s="29"/>
      <c r="AE1532" s="29"/>
      <c r="AF1532" s="29"/>
      <c r="AG1532" s="29"/>
      <c r="AH1532" s="123"/>
      <c r="AI1532" s="32"/>
      <c r="AJ1532" s="32"/>
      <c r="AK1532" s="32"/>
      <c r="AL1532" s="32"/>
      <c r="AM1532" s="32"/>
      <c r="AN1532" s="32"/>
      <c r="AO1532" s="32"/>
      <c r="AP1532" s="29"/>
    </row>
    <row r="1533">
      <c r="A1533" s="115"/>
      <c r="B1533" s="116"/>
      <c r="C1533" s="115"/>
      <c r="D1533" s="115"/>
      <c r="E1533" s="115"/>
      <c r="F1533" s="115"/>
      <c r="G1533" s="115"/>
      <c r="H1533" s="115"/>
      <c r="I1533" s="115"/>
      <c r="J1533" s="115"/>
      <c r="K1533" s="115"/>
      <c r="L1533" s="115"/>
      <c r="O1533" s="116"/>
      <c r="Q1533" s="116"/>
      <c r="T1533" s="114"/>
      <c r="Y1533" s="118"/>
      <c r="Z1533" s="29"/>
      <c r="AA1533" s="29"/>
      <c r="AB1533" s="29"/>
      <c r="AC1533" s="29"/>
      <c r="AD1533" s="29"/>
      <c r="AE1533" s="29"/>
      <c r="AF1533" s="29"/>
      <c r="AG1533" s="29"/>
      <c r="AH1533" s="123"/>
      <c r="AI1533" s="32"/>
      <c r="AJ1533" s="32"/>
      <c r="AK1533" s="32"/>
      <c r="AL1533" s="32"/>
      <c r="AM1533" s="32"/>
      <c r="AN1533" s="32"/>
      <c r="AO1533" s="32"/>
      <c r="AP1533" s="29"/>
    </row>
    <row r="1534">
      <c r="A1534" s="115"/>
      <c r="B1534" s="116"/>
      <c r="C1534" s="115"/>
      <c r="D1534" s="115"/>
      <c r="E1534" s="115"/>
      <c r="F1534" s="115"/>
      <c r="G1534" s="115"/>
      <c r="H1534" s="115"/>
      <c r="I1534" s="115"/>
      <c r="J1534" s="115"/>
      <c r="K1534" s="115"/>
      <c r="L1534" s="115"/>
      <c r="O1534" s="116"/>
      <c r="Q1534" s="116"/>
      <c r="T1534" s="114"/>
      <c r="Y1534" s="118"/>
      <c r="Z1534" s="29"/>
      <c r="AA1534" s="29"/>
      <c r="AB1534" s="29"/>
      <c r="AC1534" s="29"/>
      <c r="AD1534" s="29"/>
      <c r="AE1534" s="29"/>
      <c r="AF1534" s="29"/>
      <c r="AG1534" s="29"/>
      <c r="AH1534" s="123"/>
      <c r="AI1534" s="32"/>
      <c r="AJ1534" s="32"/>
      <c r="AK1534" s="32"/>
      <c r="AL1534" s="32"/>
      <c r="AM1534" s="32"/>
      <c r="AN1534" s="32"/>
      <c r="AO1534" s="32"/>
      <c r="AP1534" s="29"/>
    </row>
    <row r="1535">
      <c r="A1535" s="115"/>
      <c r="B1535" s="116"/>
      <c r="C1535" s="115"/>
      <c r="D1535" s="115"/>
      <c r="E1535" s="115"/>
      <c r="F1535" s="115"/>
      <c r="G1535" s="115"/>
      <c r="H1535" s="115"/>
      <c r="I1535" s="115"/>
      <c r="J1535" s="115"/>
      <c r="K1535" s="115"/>
      <c r="L1535" s="115"/>
      <c r="O1535" s="116"/>
      <c r="Q1535" s="116"/>
      <c r="T1535" s="114"/>
      <c r="Y1535" s="118"/>
      <c r="Z1535" s="29"/>
      <c r="AA1535" s="29"/>
      <c r="AB1535" s="29"/>
      <c r="AC1535" s="29"/>
      <c r="AD1535" s="29"/>
      <c r="AE1535" s="29"/>
      <c r="AF1535" s="29"/>
      <c r="AG1535" s="29"/>
      <c r="AH1535" s="123"/>
      <c r="AI1535" s="32"/>
      <c r="AJ1535" s="32"/>
      <c r="AK1535" s="32"/>
      <c r="AL1535" s="32"/>
      <c r="AM1535" s="32"/>
      <c r="AN1535" s="32"/>
      <c r="AO1535" s="32"/>
      <c r="AP1535" s="29"/>
    </row>
    <row r="1536">
      <c r="A1536" s="115"/>
      <c r="B1536" s="116"/>
      <c r="C1536" s="115"/>
      <c r="D1536" s="115"/>
      <c r="E1536" s="115"/>
      <c r="F1536" s="115"/>
      <c r="G1536" s="115"/>
      <c r="H1536" s="115"/>
      <c r="I1536" s="115"/>
      <c r="J1536" s="115"/>
      <c r="K1536" s="115"/>
      <c r="L1536" s="115"/>
      <c r="O1536" s="116"/>
      <c r="Q1536" s="116"/>
      <c r="T1536" s="114"/>
      <c r="Y1536" s="118"/>
      <c r="Z1536" s="29"/>
      <c r="AA1536" s="29"/>
      <c r="AB1536" s="29"/>
      <c r="AC1536" s="29"/>
      <c r="AD1536" s="29"/>
      <c r="AE1536" s="29"/>
      <c r="AF1536" s="29"/>
      <c r="AG1536" s="29"/>
      <c r="AH1536" s="123"/>
      <c r="AI1536" s="32"/>
      <c r="AJ1536" s="32"/>
      <c r="AK1536" s="32"/>
      <c r="AL1536" s="32"/>
      <c r="AM1536" s="32"/>
      <c r="AN1536" s="32"/>
      <c r="AO1536" s="32"/>
      <c r="AP1536" s="29"/>
    </row>
    <row r="1537">
      <c r="A1537" s="115"/>
      <c r="B1537" s="116"/>
      <c r="C1537" s="115"/>
      <c r="D1537" s="115"/>
      <c r="E1537" s="115"/>
      <c r="F1537" s="115"/>
      <c r="G1537" s="115"/>
      <c r="H1537" s="115"/>
      <c r="I1537" s="115"/>
      <c r="J1537" s="115"/>
      <c r="K1537" s="115"/>
      <c r="L1537" s="115"/>
      <c r="O1537" s="116"/>
      <c r="Q1537" s="116"/>
      <c r="T1537" s="114"/>
      <c r="Y1537" s="118"/>
      <c r="Z1537" s="29"/>
      <c r="AA1537" s="29"/>
      <c r="AB1537" s="29"/>
      <c r="AC1537" s="29"/>
      <c r="AD1537" s="29"/>
      <c r="AE1537" s="29"/>
      <c r="AF1537" s="29"/>
      <c r="AG1537" s="29"/>
      <c r="AH1537" s="123"/>
      <c r="AI1537" s="32"/>
      <c r="AJ1537" s="32"/>
      <c r="AK1537" s="32"/>
      <c r="AL1537" s="32"/>
      <c r="AM1537" s="32"/>
      <c r="AN1537" s="32"/>
      <c r="AO1537" s="32"/>
      <c r="AP1537" s="29"/>
    </row>
    <row r="1538">
      <c r="A1538" s="115"/>
      <c r="B1538" s="116"/>
      <c r="C1538" s="115"/>
      <c r="D1538" s="115"/>
      <c r="E1538" s="115"/>
      <c r="F1538" s="115"/>
      <c r="G1538" s="115"/>
      <c r="H1538" s="115"/>
      <c r="I1538" s="115"/>
      <c r="J1538" s="115"/>
      <c r="K1538" s="115"/>
      <c r="L1538" s="115"/>
      <c r="O1538" s="116"/>
      <c r="Q1538" s="116"/>
      <c r="T1538" s="114"/>
      <c r="Y1538" s="118"/>
      <c r="Z1538" s="29"/>
      <c r="AA1538" s="29"/>
      <c r="AB1538" s="29"/>
      <c r="AC1538" s="29"/>
      <c r="AD1538" s="29"/>
      <c r="AE1538" s="29"/>
      <c r="AF1538" s="29"/>
      <c r="AG1538" s="29"/>
      <c r="AH1538" s="123"/>
      <c r="AI1538" s="32"/>
      <c r="AJ1538" s="32"/>
      <c r="AK1538" s="32"/>
      <c r="AL1538" s="32"/>
      <c r="AM1538" s="32"/>
      <c r="AN1538" s="32"/>
      <c r="AO1538" s="32"/>
      <c r="AP1538" s="29"/>
    </row>
    <row r="1539">
      <c r="A1539" s="115"/>
      <c r="B1539" s="116"/>
      <c r="C1539" s="115"/>
      <c r="D1539" s="115"/>
      <c r="E1539" s="115"/>
      <c r="F1539" s="115"/>
      <c r="G1539" s="115"/>
      <c r="H1539" s="115"/>
      <c r="I1539" s="115"/>
      <c r="J1539" s="115"/>
      <c r="K1539" s="115"/>
      <c r="L1539" s="115"/>
      <c r="O1539" s="116"/>
      <c r="Q1539" s="116"/>
      <c r="T1539" s="114"/>
      <c r="Y1539" s="118"/>
      <c r="Z1539" s="29"/>
      <c r="AA1539" s="29"/>
      <c r="AB1539" s="29"/>
      <c r="AC1539" s="29"/>
      <c r="AD1539" s="29"/>
      <c r="AE1539" s="29"/>
      <c r="AF1539" s="29"/>
      <c r="AG1539" s="29"/>
      <c r="AH1539" s="123"/>
      <c r="AI1539" s="32"/>
      <c r="AJ1539" s="32"/>
      <c r="AK1539" s="32"/>
      <c r="AL1539" s="32"/>
      <c r="AM1539" s="32"/>
      <c r="AN1539" s="32"/>
      <c r="AO1539" s="32"/>
      <c r="AP1539" s="29"/>
    </row>
    <row r="1540">
      <c r="A1540" s="115"/>
      <c r="B1540" s="116"/>
      <c r="C1540" s="115"/>
      <c r="D1540" s="115"/>
      <c r="E1540" s="115"/>
      <c r="F1540" s="115"/>
      <c r="G1540" s="115"/>
      <c r="H1540" s="115"/>
      <c r="I1540" s="115"/>
      <c r="J1540" s="115"/>
      <c r="K1540" s="115"/>
      <c r="L1540" s="115"/>
      <c r="O1540" s="116"/>
      <c r="Q1540" s="116"/>
      <c r="T1540" s="114"/>
      <c r="Y1540" s="118"/>
      <c r="Z1540" s="29"/>
      <c r="AA1540" s="29"/>
      <c r="AB1540" s="29"/>
      <c r="AC1540" s="29"/>
      <c r="AD1540" s="29"/>
      <c r="AE1540" s="29"/>
      <c r="AF1540" s="29"/>
      <c r="AG1540" s="29"/>
      <c r="AH1540" s="123"/>
      <c r="AI1540" s="32"/>
      <c r="AJ1540" s="32"/>
      <c r="AK1540" s="32"/>
      <c r="AL1540" s="32"/>
      <c r="AM1540" s="32"/>
      <c r="AN1540" s="32"/>
      <c r="AO1540" s="32"/>
      <c r="AP1540" s="29"/>
    </row>
    <row r="1541">
      <c r="A1541" s="115"/>
      <c r="B1541" s="116"/>
      <c r="C1541" s="115"/>
      <c r="D1541" s="115"/>
      <c r="E1541" s="115"/>
      <c r="F1541" s="115"/>
      <c r="G1541" s="115"/>
      <c r="H1541" s="115"/>
      <c r="I1541" s="115"/>
      <c r="J1541" s="115"/>
      <c r="K1541" s="115"/>
      <c r="L1541" s="115"/>
      <c r="O1541" s="116"/>
      <c r="Q1541" s="116"/>
      <c r="T1541" s="114"/>
      <c r="Y1541" s="118"/>
      <c r="Z1541" s="29"/>
      <c r="AA1541" s="29"/>
      <c r="AB1541" s="29"/>
      <c r="AC1541" s="29"/>
      <c r="AD1541" s="29"/>
      <c r="AE1541" s="29"/>
      <c r="AF1541" s="29"/>
      <c r="AG1541" s="29"/>
      <c r="AH1541" s="123"/>
      <c r="AI1541" s="32"/>
      <c r="AJ1541" s="32"/>
      <c r="AK1541" s="32"/>
      <c r="AL1541" s="32"/>
      <c r="AM1541" s="32"/>
      <c r="AN1541" s="32"/>
      <c r="AO1541" s="32"/>
      <c r="AP1541" s="29"/>
    </row>
    <row r="1542">
      <c r="A1542" s="115"/>
      <c r="B1542" s="116"/>
      <c r="C1542" s="115"/>
      <c r="D1542" s="115"/>
      <c r="E1542" s="115"/>
      <c r="F1542" s="115"/>
      <c r="G1542" s="115"/>
      <c r="H1542" s="115"/>
      <c r="I1542" s="115"/>
      <c r="J1542" s="115"/>
      <c r="K1542" s="115"/>
      <c r="L1542" s="115"/>
      <c r="O1542" s="116"/>
      <c r="Q1542" s="116"/>
      <c r="T1542" s="114"/>
      <c r="Y1542" s="118"/>
      <c r="Z1542" s="29"/>
      <c r="AA1542" s="29"/>
      <c r="AB1542" s="29"/>
      <c r="AC1542" s="29"/>
      <c r="AD1542" s="29"/>
      <c r="AE1542" s="29"/>
      <c r="AF1542" s="29"/>
      <c r="AG1542" s="29"/>
      <c r="AH1542" s="123"/>
      <c r="AI1542" s="32"/>
      <c r="AJ1542" s="32"/>
      <c r="AK1542" s="32"/>
      <c r="AL1542" s="32"/>
      <c r="AM1542" s="32"/>
      <c r="AN1542" s="32"/>
      <c r="AO1542" s="32"/>
      <c r="AP1542" s="29"/>
    </row>
    <row r="1543">
      <c r="A1543" s="115"/>
      <c r="B1543" s="116"/>
      <c r="C1543" s="115"/>
      <c r="D1543" s="115"/>
      <c r="E1543" s="115"/>
      <c r="F1543" s="115"/>
      <c r="G1543" s="115"/>
      <c r="H1543" s="115"/>
      <c r="I1543" s="115"/>
      <c r="J1543" s="115"/>
      <c r="K1543" s="115"/>
      <c r="L1543" s="115"/>
      <c r="O1543" s="116"/>
      <c r="Q1543" s="116"/>
      <c r="T1543" s="114"/>
      <c r="Y1543" s="118"/>
      <c r="Z1543" s="29"/>
      <c r="AA1543" s="29"/>
      <c r="AB1543" s="29"/>
      <c r="AC1543" s="29"/>
      <c r="AD1543" s="29"/>
      <c r="AE1543" s="29"/>
      <c r="AF1543" s="29"/>
      <c r="AG1543" s="29"/>
      <c r="AH1543" s="123"/>
      <c r="AI1543" s="32"/>
      <c r="AJ1543" s="32"/>
      <c r="AK1543" s="32"/>
      <c r="AL1543" s="32"/>
      <c r="AM1543" s="32"/>
      <c r="AN1543" s="32"/>
      <c r="AO1543" s="32"/>
      <c r="AP1543" s="29"/>
    </row>
    <row r="1544">
      <c r="A1544" s="115"/>
      <c r="B1544" s="116"/>
      <c r="C1544" s="115"/>
      <c r="D1544" s="115"/>
      <c r="E1544" s="115"/>
      <c r="F1544" s="115"/>
      <c r="G1544" s="115"/>
      <c r="H1544" s="115"/>
      <c r="I1544" s="115"/>
      <c r="J1544" s="115"/>
      <c r="K1544" s="115"/>
      <c r="L1544" s="115"/>
      <c r="O1544" s="116"/>
      <c r="Q1544" s="116"/>
      <c r="T1544" s="114"/>
      <c r="Y1544" s="118"/>
      <c r="Z1544" s="29"/>
      <c r="AA1544" s="29"/>
      <c r="AB1544" s="29"/>
      <c r="AC1544" s="29"/>
      <c r="AD1544" s="29"/>
      <c r="AE1544" s="29"/>
      <c r="AF1544" s="29"/>
      <c r="AG1544" s="29"/>
      <c r="AH1544" s="123"/>
      <c r="AI1544" s="32"/>
      <c r="AJ1544" s="32"/>
      <c r="AK1544" s="32"/>
      <c r="AL1544" s="32"/>
      <c r="AM1544" s="32"/>
      <c r="AN1544" s="32"/>
      <c r="AO1544" s="32"/>
      <c r="AP1544" s="29"/>
    </row>
    <row r="1545">
      <c r="A1545" s="115"/>
      <c r="B1545" s="116"/>
      <c r="C1545" s="115"/>
      <c r="D1545" s="115"/>
      <c r="E1545" s="115"/>
      <c r="F1545" s="115"/>
      <c r="G1545" s="115"/>
      <c r="H1545" s="115"/>
      <c r="I1545" s="115"/>
      <c r="J1545" s="115"/>
      <c r="K1545" s="115"/>
      <c r="L1545" s="115"/>
      <c r="O1545" s="116"/>
      <c r="Q1545" s="116"/>
      <c r="T1545" s="114"/>
      <c r="Y1545" s="118"/>
      <c r="Z1545" s="29"/>
      <c r="AA1545" s="29"/>
      <c r="AB1545" s="29"/>
      <c r="AC1545" s="29"/>
      <c r="AD1545" s="29"/>
      <c r="AE1545" s="29"/>
      <c r="AF1545" s="29"/>
      <c r="AG1545" s="29"/>
      <c r="AH1545" s="123"/>
      <c r="AI1545" s="32"/>
      <c r="AJ1545" s="32"/>
      <c r="AK1545" s="32"/>
      <c r="AL1545" s="32"/>
      <c r="AM1545" s="32"/>
      <c r="AN1545" s="32"/>
      <c r="AO1545" s="32"/>
      <c r="AP1545" s="29"/>
    </row>
    <row r="1546">
      <c r="A1546" s="115"/>
      <c r="B1546" s="116"/>
      <c r="C1546" s="115"/>
      <c r="D1546" s="115"/>
      <c r="E1546" s="115"/>
      <c r="F1546" s="115"/>
      <c r="G1546" s="115"/>
      <c r="H1546" s="115"/>
      <c r="I1546" s="115"/>
      <c r="J1546" s="115"/>
      <c r="K1546" s="115"/>
      <c r="L1546" s="115"/>
      <c r="O1546" s="116"/>
      <c r="Q1546" s="116"/>
      <c r="T1546" s="114"/>
      <c r="Y1546" s="118"/>
      <c r="Z1546" s="29"/>
      <c r="AA1546" s="29"/>
      <c r="AB1546" s="29"/>
      <c r="AC1546" s="29"/>
      <c r="AD1546" s="29"/>
      <c r="AE1546" s="29"/>
      <c r="AF1546" s="29"/>
      <c r="AG1546" s="29"/>
      <c r="AH1546" s="123"/>
      <c r="AI1546" s="32"/>
      <c r="AJ1546" s="32"/>
      <c r="AK1546" s="32"/>
      <c r="AL1546" s="32"/>
      <c r="AM1546" s="32"/>
      <c r="AN1546" s="32"/>
      <c r="AO1546" s="32"/>
      <c r="AP1546" s="29"/>
    </row>
    <row r="1547">
      <c r="A1547" s="115"/>
      <c r="B1547" s="116"/>
      <c r="C1547" s="115"/>
      <c r="D1547" s="115"/>
      <c r="E1547" s="115"/>
      <c r="F1547" s="115"/>
      <c r="G1547" s="115"/>
      <c r="H1547" s="115"/>
      <c r="I1547" s="115"/>
      <c r="J1547" s="115"/>
      <c r="K1547" s="115"/>
      <c r="L1547" s="115"/>
      <c r="O1547" s="116"/>
      <c r="Q1547" s="116"/>
      <c r="T1547" s="114"/>
      <c r="Y1547" s="118"/>
      <c r="Z1547" s="29"/>
      <c r="AA1547" s="29"/>
      <c r="AB1547" s="29"/>
      <c r="AC1547" s="29"/>
      <c r="AD1547" s="29"/>
      <c r="AE1547" s="29"/>
      <c r="AF1547" s="29"/>
      <c r="AG1547" s="29"/>
      <c r="AH1547" s="123"/>
      <c r="AI1547" s="32"/>
      <c r="AJ1547" s="32"/>
      <c r="AK1547" s="32"/>
      <c r="AL1547" s="32"/>
      <c r="AM1547" s="32"/>
      <c r="AN1547" s="32"/>
      <c r="AO1547" s="32"/>
      <c r="AP1547" s="29"/>
    </row>
    <row r="1548">
      <c r="A1548" s="115"/>
      <c r="B1548" s="116"/>
      <c r="C1548" s="115"/>
      <c r="D1548" s="115"/>
      <c r="E1548" s="115"/>
      <c r="F1548" s="115"/>
      <c r="G1548" s="115"/>
      <c r="H1548" s="115"/>
      <c r="I1548" s="115"/>
      <c r="J1548" s="115"/>
      <c r="K1548" s="115"/>
      <c r="L1548" s="115"/>
      <c r="O1548" s="116"/>
      <c r="Q1548" s="116"/>
      <c r="T1548" s="114"/>
      <c r="Y1548" s="118"/>
      <c r="Z1548" s="29"/>
      <c r="AA1548" s="29"/>
      <c r="AB1548" s="29"/>
      <c r="AC1548" s="29"/>
      <c r="AD1548" s="29"/>
      <c r="AE1548" s="29"/>
      <c r="AF1548" s="29"/>
      <c r="AG1548" s="29"/>
      <c r="AH1548" s="123"/>
      <c r="AI1548" s="32"/>
      <c r="AJ1548" s="32"/>
      <c r="AK1548" s="32"/>
      <c r="AL1548" s="32"/>
      <c r="AM1548" s="32"/>
      <c r="AN1548" s="32"/>
      <c r="AO1548" s="32"/>
      <c r="AP1548" s="29"/>
    </row>
    <row r="1549">
      <c r="A1549" s="115"/>
      <c r="B1549" s="116"/>
      <c r="C1549" s="115"/>
      <c r="D1549" s="115"/>
      <c r="E1549" s="115"/>
      <c r="F1549" s="115"/>
      <c r="G1549" s="115"/>
      <c r="H1549" s="115"/>
      <c r="I1549" s="115"/>
      <c r="J1549" s="115"/>
      <c r="K1549" s="115"/>
      <c r="L1549" s="115"/>
      <c r="O1549" s="116"/>
      <c r="Q1549" s="116"/>
      <c r="T1549" s="114"/>
      <c r="Y1549" s="118"/>
      <c r="Z1549" s="29"/>
      <c r="AA1549" s="29"/>
      <c r="AB1549" s="29"/>
      <c r="AC1549" s="29"/>
      <c r="AD1549" s="29"/>
      <c r="AE1549" s="29"/>
      <c r="AF1549" s="29"/>
      <c r="AG1549" s="29"/>
      <c r="AH1549" s="123"/>
      <c r="AI1549" s="32"/>
      <c r="AJ1549" s="32"/>
      <c r="AK1549" s="32"/>
      <c r="AL1549" s="32"/>
      <c r="AM1549" s="32"/>
      <c r="AN1549" s="32"/>
      <c r="AO1549" s="32"/>
      <c r="AP1549" s="29"/>
    </row>
    <row r="1550">
      <c r="A1550" s="115"/>
      <c r="B1550" s="116"/>
      <c r="C1550" s="115"/>
      <c r="D1550" s="115"/>
      <c r="E1550" s="115"/>
      <c r="F1550" s="115"/>
      <c r="G1550" s="115"/>
      <c r="H1550" s="115"/>
      <c r="I1550" s="115"/>
      <c r="J1550" s="115"/>
      <c r="K1550" s="115"/>
      <c r="L1550" s="115"/>
      <c r="O1550" s="116"/>
      <c r="Q1550" s="116"/>
      <c r="T1550" s="114"/>
      <c r="Y1550" s="118"/>
      <c r="Z1550" s="29"/>
      <c r="AA1550" s="29"/>
      <c r="AB1550" s="29"/>
      <c r="AC1550" s="29"/>
      <c r="AD1550" s="29"/>
      <c r="AE1550" s="29"/>
      <c r="AF1550" s="29"/>
      <c r="AG1550" s="29"/>
      <c r="AH1550" s="123"/>
      <c r="AI1550" s="32"/>
      <c r="AJ1550" s="32"/>
      <c r="AK1550" s="32"/>
      <c r="AL1550" s="32"/>
      <c r="AM1550" s="32"/>
      <c r="AN1550" s="32"/>
      <c r="AO1550" s="32"/>
      <c r="AP1550" s="29"/>
    </row>
    <row r="1551">
      <c r="A1551" s="115"/>
      <c r="B1551" s="116"/>
      <c r="C1551" s="115"/>
      <c r="D1551" s="115"/>
      <c r="E1551" s="115"/>
      <c r="F1551" s="115"/>
      <c r="G1551" s="115"/>
      <c r="H1551" s="115"/>
      <c r="I1551" s="115"/>
      <c r="J1551" s="115"/>
      <c r="K1551" s="115"/>
      <c r="L1551" s="115"/>
      <c r="O1551" s="116"/>
      <c r="Q1551" s="116"/>
      <c r="T1551" s="114"/>
      <c r="Y1551" s="118"/>
      <c r="Z1551" s="29"/>
      <c r="AA1551" s="29"/>
      <c r="AB1551" s="29"/>
      <c r="AC1551" s="29"/>
      <c r="AD1551" s="29"/>
      <c r="AE1551" s="29"/>
      <c r="AF1551" s="29"/>
      <c r="AG1551" s="29"/>
      <c r="AH1551" s="123"/>
      <c r="AI1551" s="32"/>
      <c r="AJ1551" s="32"/>
      <c r="AK1551" s="32"/>
      <c r="AL1551" s="32"/>
      <c r="AM1551" s="32"/>
      <c r="AN1551" s="32"/>
      <c r="AO1551" s="32"/>
      <c r="AP1551" s="29"/>
    </row>
    <row r="1552">
      <c r="A1552" s="115"/>
      <c r="B1552" s="116"/>
      <c r="C1552" s="115"/>
      <c r="D1552" s="115"/>
      <c r="E1552" s="115"/>
      <c r="F1552" s="115"/>
      <c r="G1552" s="115"/>
      <c r="H1552" s="115"/>
      <c r="I1552" s="115"/>
      <c r="J1552" s="115"/>
      <c r="K1552" s="115"/>
      <c r="L1552" s="115"/>
      <c r="O1552" s="116"/>
      <c r="Q1552" s="116"/>
      <c r="T1552" s="114"/>
      <c r="Y1552" s="118"/>
      <c r="Z1552" s="29"/>
      <c r="AA1552" s="29"/>
      <c r="AB1552" s="29"/>
      <c r="AC1552" s="29"/>
      <c r="AD1552" s="29"/>
      <c r="AE1552" s="29"/>
      <c r="AF1552" s="29"/>
      <c r="AG1552" s="29"/>
      <c r="AH1552" s="123"/>
      <c r="AI1552" s="32"/>
      <c r="AJ1552" s="32"/>
      <c r="AK1552" s="32"/>
      <c r="AL1552" s="32"/>
      <c r="AM1552" s="32"/>
      <c r="AN1552" s="32"/>
      <c r="AO1552" s="32"/>
      <c r="AP1552" s="29"/>
    </row>
    <row r="1553">
      <c r="A1553" s="115"/>
      <c r="B1553" s="116"/>
      <c r="C1553" s="115"/>
      <c r="D1553" s="115"/>
      <c r="E1553" s="115"/>
      <c r="F1553" s="115"/>
      <c r="G1553" s="115"/>
      <c r="H1553" s="115"/>
      <c r="I1553" s="115"/>
      <c r="J1553" s="115"/>
      <c r="K1553" s="115"/>
      <c r="L1553" s="115"/>
      <c r="O1553" s="116"/>
      <c r="Q1553" s="116"/>
      <c r="T1553" s="114"/>
      <c r="Y1553" s="118"/>
      <c r="Z1553" s="29"/>
      <c r="AA1553" s="29"/>
      <c r="AB1553" s="29"/>
      <c r="AC1553" s="29"/>
      <c r="AD1553" s="29"/>
      <c r="AE1553" s="29"/>
      <c r="AF1553" s="29"/>
      <c r="AG1553" s="29"/>
      <c r="AH1553" s="123"/>
      <c r="AI1553" s="32"/>
      <c r="AJ1553" s="32"/>
      <c r="AK1553" s="32"/>
      <c r="AL1553" s="32"/>
      <c r="AM1553" s="32"/>
      <c r="AN1553" s="32"/>
      <c r="AO1553" s="32"/>
      <c r="AP1553" s="29"/>
    </row>
    <row r="1554">
      <c r="A1554" s="115"/>
      <c r="B1554" s="116"/>
      <c r="C1554" s="115"/>
      <c r="D1554" s="115"/>
      <c r="E1554" s="115"/>
      <c r="F1554" s="115"/>
      <c r="G1554" s="115"/>
      <c r="H1554" s="115"/>
      <c r="I1554" s="115"/>
      <c r="J1554" s="115"/>
      <c r="K1554" s="115"/>
      <c r="L1554" s="115"/>
      <c r="O1554" s="116"/>
      <c r="Q1554" s="116"/>
      <c r="T1554" s="114"/>
      <c r="Y1554" s="118"/>
      <c r="Z1554" s="29"/>
      <c r="AA1554" s="29"/>
      <c r="AB1554" s="29"/>
      <c r="AC1554" s="29"/>
      <c r="AD1554" s="29"/>
      <c r="AE1554" s="29"/>
      <c r="AF1554" s="29"/>
      <c r="AG1554" s="29"/>
      <c r="AH1554" s="123"/>
      <c r="AI1554" s="32"/>
      <c r="AJ1554" s="32"/>
      <c r="AK1554" s="32"/>
      <c r="AL1554" s="32"/>
      <c r="AM1554" s="32"/>
      <c r="AN1554" s="32"/>
      <c r="AO1554" s="32"/>
      <c r="AP1554" s="29"/>
    </row>
    <row r="1555">
      <c r="A1555" s="115"/>
      <c r="B1555" s="116"/>
      <c r="C1555" s="115"/>
      <c r="D1555" s="115"/>
      <c r="E1555" s="115"/>
      <c r="F1555" s="115"/>
      <c r="G1555" s="115"/>
      <c r="H1555" s="115"/>
      <c r="I1555" s="115"/>
      <c r="J1555" s="115"/>
      <c r="K1555" s="115"/>
      <c r="L1555" s="115"/>
      <c r="O1555" s="116"/>
      <c r="Q1555" s="116"/>
      <c r="T1555" s="114"/>
      <c r="Y1555" s="118"/>
      <c r="Z1555" s="29"/>
      <c r="AA1555" s="29"/>
      <c r="AB1555" s="29"/>
      <c r="AC1555" s="29"/>
      <c r="AD1555" s="29"/>
      <c r="AE1555" s="29"/>
      <c r="AF1555" s="29"/>
      <c r="AG1555" s="29"/>
      <c r="AH1555" s="123"/>
      <c r="AI1555" s="32"/>
      <c r="AJ1555" s="32"/>
      <c r="AK1555" s="32"/>
      <c r="AL1555" s="32"/>
      <c r="AM1555" s="32"/>
      <c r="AN1555" s="32"/>
      <c r="AO1555" s="32"/>
      <c r="AP1555" s="29"/>
    </row>
    <row r="1556">
      <c r="A1556" s="115"/>
      <c r="B1556" s="116"/>
      <c r="C1556" s="115"/>
      <c r="D1556" s="115"/>
      <c r="E1556" s="115"/>
      <c r="F1556" s="115"/>
      <c r="G1556" s="115"/>
      <c r="H1556" s="115"/>
      <c r="I1556" s="115"/>
      <c r="J1556" s="115"/>
      <c r="K1556" s="115"/>
      <c r="L1556" s="115"/>
      <c r="O1556" s="116"/>
      <c r="Q1556" s="116"/>
      <c r="T1556" s="114"/>
      <c r="Y1556" s="118"/>
      <c r="Z1556" s="29"/>
      <c r="AA1556" s="29"/>
      <c r="AB1556" s="29"/>
      <c r="AC1556" s="29"/>
      <c r="AD1556" s="29"/>
      <c r="AE1556" s="29"/>
      <c r="AF1556" s="29"/>
      <c r="AG1556" s="29"/>
      <c r="AH1556" s="123"/>
      <c r="AI1556" s="32"/>
      <c r="AJ1556" s="32"/>
      <c r="AK1556" s="32"/>
      <c r="AL1556" s="32"/>
      <c r="AM1556" s="32"/>
      <c r="AN1556" s="32"/>
      <c r="AO1556" s="32"/>
      <c r="AP1556" s="29"/>
    </row>
    <row r="1557">
      <c r="A1557" s="115"/>
      <c r="B1557" s="116"/>
      <c r="C1557" s="115"/>
      <c r="D1557" s="115"/>
      <c r="E1557" s="115"/>
      <c r="F1557" s="115"/>
      <c r="G1557" s="115"/>
      <c r="H1557" s="115"/>
      <c r="I1557" s="115"/>
      <c r="J1557" s="115"/>
      <c r="K1557" s="115"/>
      <c r="L1557" s="115"/>
      <c r="O1557" s="116"/>
      <c r="Q1557" s="116"/>
      <c r="T1557" s="114"/>
      <c r="Y1557" s="118"/>
      <c r="Z1557" s="29"/>
      <c r="AA1557" s="29"/>
      <c r="AB1557" s="29"/>
      <c r="AC1557" s="29"/>
      <c r="AD1557" s="29"/>
      <c r="AE1557" s="29"/>
      <c r="AF1557" s="29"/>
      <c r="AG1557" s="29"/>
      <c r="AH1557" s="123"/>
      <c r="AI1557" s="32"/>
      <c r="AJ1557" s="32"/>
      <c r="AK1557" s="32"/>
      <c r="AL1557" s="32"/>
      <c r="AM1557" s="32"/>
      <c r="AN1557" s="32"/>
      <c r="AO1557" s="32"/>
      <c r="AP1557" s="29"/>
    </row>
    <row r="1558">
      <c r="A1558" s="115"/>
      <c r="B1558" s="116"/>
      <c r="C1558" s="115"/>
      <c r="D1558" s="115"/>
      <c r="E1558" s="115"/>
      <c r="F1558" s="115"/>
      <c r="G1558" s="115"/>
      <c r="H1558" s="115"/>
      <c r="I1558" s="115"/>
      <c r="J1558" s="115"/>
      <c r="K1558" s="115"/>
      <c r="L1558" s="115"/>
      <c r="O1558" s="116"/>
      <c r="Q1558" s="116"/>
      <c r="T1558" s="114"/>
      <c r="Y1558" s="118"/>
      <c r="Z1558" s="29"/>
      <c r="AA1558" s="29"/>
      <c r="AB1558" s="29"/>
      <c r="AC1558" s="29"/>
      <c r="AD1558" s="29"/>
      <c r="AE1558" s="29"/>
      <c r="AF1558" s="29"/>
      <c r="AG1558" s="29"/>
      <c r="AH1558" s="123"/>
      <c r="AI1558" s="32"/>
      <c r="AJ1558" s="32"/>
      <c r="AK1558" s="32"/>
      <c r="AL1558" s="32"/>
      <c r="AM1558" s="32"/>
      <c r="AN1558" s="32"/>
      <c r="AO1558" s="32"/>
      <c r="AP1558" s="29"/>
    </row>
    <row r="1559">
      <c r="A1559" s="115"/>
      <c r="B1559" s="116"/>
      <c r="C1559" s="115"/>
      <c r="D1559" s="115"/>
      <c r="E1559" s="115"/>
      <c r="F1559" s="115"/>
      <c r="G1559" s="115"/>
      <c r="H1559" s="115"/>
      <c r="I1559" s="115"/>
      <c r="J1559" s="115"/>
      <c r="K1559" s="115"/>
      <c r="L1559" s="115"/>
      <c r="O1559" s="116"/>
      <c r="Q1559" s="116"/>
      <c r="T1559" s="114"/>
      <c r="Y1559" s="118"/>
      <c r="Z1559" s="29"/>
      <c r="AA1559" s="29"/>
      <c r="AB1559" s="29"/>
      <c r="AC1559" s="29"/>
      <c r="AD1559" s="29"/>
      <c r="AE1559" s="29"/>
      <c r="AF1559" s="29"/>
      <c r="AG1559" s="29"/>
      <c r="AH1559" s="123"/>
      <c r="AI1559" s="32"/>
      <c r="AJ1559" s="32"/>
      <c r="AK1559" s="32"/>
      <c r="AL1559" s="32"/>
      <c r="AM1559" s="32"/>
      <c r="AN1559" s="32"/>
      <c r="AO1559" s="32"/>
      <c r="AP1559" s="29"/>
    </row>
    <row r="1560">
      <c r="A1560" s="115"/>
      <c r="B1560" s="116"/>
      <c r="C1560" s="115"/>
      <c r="D1560" s="115"/>
      <c r="E1560" s="115"/>
      <c r="F1560" s="115"/>
      <c r="G1560" s="115"/>
      <c r="H1560" s="115"/>
      <c r="I1560" s="115"/>
      <c r="J1560" s="115"/>
      <c r="K1560" s="115"/>
      <c r="L1560" s="115"/>
      <c r="O1560" s="116"/>
      <c r="Q1560" s="116"/>
      <c r="T1560" s="114"/>
      <c r="Y1560" s="118"/>
      <c r="Z1560" s="29"/>
      <c r="AA1560" s="29"/>
      <c r="AB1560" s="29"/>
      <c r="AC1560" s="29"/>
      <c r="AD1560" s="29"/>
      <c r="AE1560" s="29"/>
      <c r="AF1560" s="29"/>
      <c r="AG1560" s="29"/>
      <c r="AH1560" s="123"/>
      <c r="AI1560" s="32"/>
      <c r="AJ1560" s="32"/>
      <c r="AK1560" s="32"/>
      <c r="AL1560" s="32"/>
      <c r="AM1560" s="32"/>
      <c r="AN1560" s="32"/>
      <c r="AO1560" s="32"/>
      <c r="AP1560" s="29"/>
    </row>
    <row r="1561">
      <c r="A1561" s="115"/>
      <c r="B1561" s="116"/>
      <c r="C1561" s="115"/>
      <c r="D1561" s="115"/>
      <c r="E1561" s="115"/>
      <c r="F1561" s="115"/>
      <c r="G1561" s="115"/>
      <c r="H1561" s="115"/>
      <c r="I1561" s="115"/>
      <c r="J1561" s="115"/>
      <c r="K1561" s="115"/>
      <c r="L1561" s="115"/>
      <c r="O1561" s="116"/>
      <c r="Q1561" s="116"/>
      <c r="T1561" s="114"/>
      <c r="Y1561" s="118"/>
      <c r="Z1561" s="29"/>
      <c r="AA1561" s="29"/>
      <c r="AB1561" s="29"/>
      <c r="AC1561" s="29"/>
      <c r="AD1561" s="29"/>
      <c r="AE1561" s="29"/>
      <c r="AF1561" s="29"/>
      <c r="AG1561" s="29"/>
      <c r="AH1561" s="123"/>
      <c r="AI1561" s="32"/>
      <c r="AJ1561" s="32"/>
      <c r="AK1561" s="32"/>
      <c r="AL1561" s="32"/>
      <c r="AM1561" s="32"/>
      <c r="AN1561" s="32"/>
      <c r="AO1561" s="32"/>
      <c r="AP1561" s="29"/>
    </row>
    <row r="1562">
      <c r="A1562" s="115"/>
      <c r="B1562" s="116"/>
      <c r="C1562" s="115"/>
      <c r="D1562" s="115"/>
      <c r="E1562" s="115"/>
      <c r="F1562" s="115"/>
      <c r="G1562" s="115"/>
      <c r="H1562" s="115"/>
      <c r="I1562" s="115"/>
      <c r="J1562" s="115"/>
      <c r="K1562" s="115"/>
      <c r="L1562" s="115"/>
      <c r="O1562" s="116"/>
      <c r="Q1562" s="116"/>
      <c r="T1562" s="114"/>
      <c r="Y1562" s="118"/>
      <c r="Z1562" s="29"/>
      <c r="AA1562" s="29"/>
      <c r="AB1562" s="29"/>
      <c r="AC1562" s="29"/>
      <c r="AD1562" s="29"/>
      <c r="AE1562" s="29"/>
      <c r="AF1562" s="29"/>
      <c r="AG1562" s="29"/>
      <c r="AH1562" s="123"/>
      <c r="AI1562" s="32"/>
      <c r="AJ1562" s="32"/>
      <c r="AK1562" s="32"/>
      <c r="AL1562" s="32"/>
      <c r="AM1562" s="32"/>
      <c r="AN1562" s="32"/>
      <c r="AO1562" s="32"/>
      <c r="AP1562" s="29"/>
    </row>
    <row r="1563">
      <c r="A1563" s="115"/>
      <c r="B1563" s="116"/>
      <c r="C1563" s="115"/>
      <c r="D1563" s="115"/>
      <c r="E1563" s="115"/>
      <c r="F1563" s="115"/>
      <c r="G1563" s="115"/>
      <c r="H1563" s="115"/>
      <c r="I1563" s="115"/>
      <c r="J1563" s="115"/>
      <c r="K1563" s="115"/>
      <c r="L1563" s="115"/>
      <c r="O1563" s="116"/>
      <c r="Q1563" s="116"/>
      <c r="T1563" s="114"/>
      <c r="Y1563" s="118"/>
      <c r="Z1563" s="29"/>
      <c r="AA1563" s="29"/>
      <c r="AB1563" s="29"/>
      <c r="AC1563" s="29"/>
      <c r="AD1563" s="29"/>
      <c r="AE1563" s="29"/>
      <c r="AF1563" s="29"/>
      <c r="AG1563" s="29"/>
      <c r="AH1563" s="123"/>
      <c r="AI1563" s="32"/>
      <c r="AJ1563" s="32"/>
      <c r="AK1563" s="32"/>
      <c r="AL1563" s="32"/>
      <c r="AM1563" s="32"/>
      <c r="AN1563" s="32"/>
      <c r="AO1563" s="32"/>
      <c r="AP1563" s="29"/>
    </row>
    <row r="1564">
      <c r="A1564" s="115"/>
      <c r="B1564" s="116"/>
      <c r="C1564" s="115"/>
      <c r="D1564" s="115"/>
      <c r="E1564" s="115"/>
      <c r="F1564" s="115"/>
      <c r="G1564" s="115"/>
      <c r="H1564" s="115"/>
      <c r="I1564" s="115"/>
      <c r="J1564" s="115"/>
      <c r="K1564" s="115"/>
      <c r="L1564" s="115"/>
      <c r="O1564" s="116"/>
      <c r="Q1564" s="116"/>
      <c r="T1564" s="114"/>
      <c r="Y1564" s="118"/>
      <c r="Z1564" s="29"/>
      <c r="AA1564" s="29"/>
      <c r="AB1564" s="29"/>
      <c r="AC1564" s="29"/>
      <c r="AD1564" s="29"/>
      <c r="AE1564" s="29"/>
      <c r="AF1564" s="29"/>
      <c r="AG1564" s="29"/>
      <c r="AH1564" s="123"/>
      <c r="AI1564" s="32"/>
      <c r="AJ1564" s="32"/>
      <c r="AK1564" s="32"/>
      <c r="AL1564" s="32"/>
      <c r="AM1564" s="32"/>
      <c r="AN1564" s="32"/>
      <c r="AO1564" s="32"/>
      <c r="AP1564" s="29"/>
    </row>
    <row r="1565">
      <c r="A1565" s="115"/>
      <c r="B1565" s="116"/>
      <c r="C1565" s="115"/>
      <c r="D1565" s="115"/>
      <c r="E1565" s="115"/>
      <c r="F1565" s="115"/>
      <c r="G1565" s="115"/>
      <c r="H1565" s="115"/>
      <c r="I1565" s="115"/>
      <c r="J1565" s="115"/>
      <c r="K1565" s="115"/>
      <c r="L1565" s="115"/>
      <c r="O1565" s="116"/>
      <c r="Q1565" s="116"/>
      <c r="T1565" s="114"/>
      <c r="Y1565" s="118"/>
      <c r="Z1565" s="29"/>
      <c r="AA1565" s="29"/>
      <c r="AB1565" s="29"/>
      <c r="AC1565" s="29"/>
      <c r="AD1565" s="29"/>
      <c r="AE1565" s="29"/>
      <c r="AF1565" s="29"/>
      <c r="AG1565" s="29"/>
      <c r="AH1565" s="123"/>
      <c r="AI1565" s="32"/>
      <c r="AJ1565" s="32"/>
      <c r="AK1565" s="32"/>
      <c r="AL1565" s="32"/>
      <c r="AM1565" s="32"/>
      <c r="AN1565" s="32"/>
      <c r="AO1565" s="32"/>
      <c r="AP1565" s="29"/>
    </row>
    <row r="1566">
      <c r="A1566" s="115"/>
      <c r="B1566" s="116"/>
      <c r="C1566" s="115"/>
      <c r="D1566" s="115"/>
      <c r="E1566" s="115"/>
      <c r="F1566" s="115"/>
      <c r="G1566" s="115"/>
      <c r="H1566" s="115"/>
      <c r="I1566" s="115"/>
      <c r="J1566" s="115"/>
      <c r="K1566" s="115"/>
      <c r="L1566" s="115"/>
      <c r="O1566" s="116"/>
      <c r="Q1566" s="116"/>
      <c r="T1566" s="114"/>
      <c r="Y1566" s="118"/>
      <c r="Z1566" s="29"/>
      <c r="AA1566" s="29"/>
      <c r="AB1566" s="29"/>
      <c r="AC1566" s="29"/>
      <c r="AD1566" s="29"/>
      <c r="AE1566" s="29"/>
      <c r="AF1566" s="29"/>
      <c r="AG1566" s="29"/>
      <c r="AH1566" s="123"/>
      <c r="AI1566" s="32"/>
      <c r="AJ1566" s="32"/>
      <c r="AK1566" s="32"/>
      <c r="AL1566" s="32"/>
      <c r="AM1566" s="32"/>
      <c r="AN1566" s="32"/>
      <c r="AO1566" s="32"/>
      <c r="AP1566" s="29"/>
    </row>
    <row r="1567">
      <c r="A1567" s="115"/>
      <c r="B1567" s="116"/>
      <c r="C1567" s="115"/>
      <c r="D1567" s="115"/>
      <c r="E1567" s="115"/>
      <c r="F1567" s="115"/>
      <c r="G1567" s="115"/>
      <c r="H1567" s="115"/>
      <c r="I1567" s="115"/>
      <c r="J1567" s="115"/>
      <c r="K1567" s="115"/>
      <c r="L1567" s="115"/>
      <c r="O1567" s="116"/>
      <c r="Q1567" s="116"/>
      <c r="T1567" s="114"/>
      <c r="Y1567" s="118"/>
      <c r="Z1567" s="29"/>
      <c r="AA1567" s="29"/>
      <c r="AB1567" s="29"/>
      <c r="AC1567" s="29"/>
      <c r="AD1567" s="29"/>
      <c r="AE1567" s="29"/>
      <c r="AF1567" s="29"/>
      <c r="AG1567" s="29"/>
      <c r="AH1567" s="123"/>
      <c r="AI1567" s="32"/>
      <c r="AJ1567" s="32"/>
      <c r="AK1567" s="32"/>
      <c r="AL1567" s="32"/>
      <c r="AM1567" s="32"/>
      <c r="AN1567" s="32"/>
      <c r="AO1567" s="32"/>
      <c r="AP1567" s="29"/>
    </row>
    <row r="1568">
      <c r="A1568" s="115"/>
      <c r="B1568" s="116"/>
      <c r="C1568" s="115"/>
      <c r="D1568" s="115"/>
      <c r="E1568" s="115"/>
      <c r="F1568" s="115"/>
      <c r="G1568" s="115"/>
      <c r="H1568" s="115"/>
      <c r="I1568" s="115"/>
      <c r="J1568" s="115"/>
      <c r="K1568" s="115"/>
      <c r="L1568" s="115"/>
      <c r="O1568" s="116"/>
      <c r="Q1568" s="116"/>
      <c r="T1568" s="114"/>
      <c r="Y1568" s="118"/>
      <c r="Z1568" s="29"/>
      <c r="AA1568" s="29"/>
      <c r="AB1568" s="29"/>
      <c r="AC1568" s="29"/>
      <c r="AD1568" s="29"/>
      <c r="AE1568" s="29"/>
      <c r="AF1568" s="29"/>
      <c r="AG1568" s="29"/>
      <c r="AH1568" s="123"/>
      <c r="AI1568" s="32"/>
      <c r="AJ1568" s="32"/>
      <c r="AK1568" s="32"/>
      <c r="AL1568" s="32"/>
      <c r="AM1568" s="32"/>
      <c r="AN1568" s="32"/>
      <c r="AO1568" s="32"/>
      <c r="AP1568" s="29"/>
    </row>
    <row r="1569">
      <c r="A1569" s="115"/>
      <c r="B1569" s="116"/>
      <c r="C1569" s="115"/>
      <c r="D1569" s="115"/>
      <c r="E1569" s="115"/>
      <c r="F1569" s="115"/>
      <c r="G1569" s="115"/>
      <c r="H1569" s="115"/>
      <c r="I1569" s="115"/>
      <c r="J1569" s="115"/>
      <c r="K1569" s="115"/>
      <c r="L1569" s="115"/>
      <c r="O1569" s="116"/>
      <c r="Q1569" s="116"/>
      <c r="T1569" s="114"/>
      <c r="Y1569" s="118"/>
      <c r="Z1569" s="29"/>
      <c r="AA1569" s="29"/>
      <c r="AB1569" s="29"/>
      <c r="AC1569" s="29"/>
      <c r="AD1569" s="29"/>
      <c r="AE1569" s="29"/>
      <c r="AF1569" s="29"/>
      <c r="AG1569" s="29"/>
      <c r="AH1569" s="123"/>
      <c r="AI1569" s="32"/>
      <c r="AJ1569" s="32"/>
      <c r="AK1569" s="32"/>
      <c r="AL1569" s="32"/>
      <c r="AM1569" s="32"/>
      <c r="AN1569" s="32"/>
      <c r="AO1569" s="32"/>
      <c r="AP1569" s="29"/>
    </row>
    <row r="1570">
      <c r="A1570" s="115"/>
      <c r="B1570" s="116"/>
      <c r="C1570" s="115"/>
      <c r="D1570" s="115"/>
      <c r="E1570" s="115"/>
      <c r="F1570" s="115"/>
      <c r="G1570" s="115"/>
      <c r="H1570" s="115"/>
      <c r="I1570" s="115"/>
      <c r="J1570" s="115"/>
      <c r="K1570" s="115"/>
      <c r="L1570" s="115"/>
      <c r="O1570" s="116"/>
      <c r="Q1570" s="116"/>
      <c r="T1570" s="114"/>
      <c r="Y1570" s="118"/>
      <c r="Z1570" s="29"/>
      <c r="AA1570" s="29"/>
      <c r="AB1570" s="29"/>
      <c r="AC1570" s="29"/>
      <c r="AD1570" s="29"/>
      <c r="AE1570" s="29"/>
      <c r="AF1570" s="29"/>
      <c r="AG1570" s="29"/>
      <c r="AH1570" s="123"/>
      <c r="AI1570" s="32"/>
      <c r="AJ1570" s="32"/>
      <c r="AK1570" s="32"/>
      <c r="AL1570" s="32"/>
      <c r="AM1570" s="32"/>
      <c r="AN1570" s="32"/>
      <c r="AO1570" s="32"/>
      <c r="AP1570" s="29"/>
    </row>
    <row r="1571">
      <c r="A1571" s="115"/>
      <c r="B1571" s="116"/>
      <c r="C1571" s="115"/>
      <c r="D1571" s="115"/>
      <c r="E1571" s="115"/>
      <c r="F1571" s="115"/>
      <c r="G1571" s="115"/>
      <c r="H1571" s="115"/>
      <c r="I1571" s="115"/>
      <c r="J1571" s="115"/>
      <c r="K1571" s="115"/>
      <c r="L1571" s="115"/>
      <c r="O1571" s="116"/>
      <c r="Q1571" s="116"/>
      <c r="T1571" s="114"/>
      <c r="Y1571" s="118"/>
      <c r="Z1571" s="29"/>
      <c r="AA1571" s="29"/>
      <c r="AB1571" s="29"/>
      <c r="AC1571" s="29"/>
      <c r="AD1571" s="29"/>
      <c r="AE1571" s="29"/>
      <c r="AF1571" s="29"/>
      <c r="AG1571" s="29"/>
      <c r="AH1571" s="123"/>
      <c r="AI1571" s="32"/>
      <c r="AJ1571" s="32"/>
      <c r="AK1571" s="32"/>
      <c r="AL1571" s="32"/>
      <c r="AM1571" s="32"/>
      <c r="AN1571" s="32"/>
      <c r="AO1571" s="32"/>
      <c r="AP1571" s="29"/>
    </row>
    <row r="1572">
      <c r="A1572" s="115"/>
      <c r="B1572" s="116"/>
      <c r="C1572" s="115"/>
      <c r="D1572" s="115"/>
      <c r="E1572" s="115"/>
      <c r="F1572" s="115"/>
      <c r="G1572" s="115"/>
      <c r="H1572" s="115"/>
      <c r="I1572" s="115"/>
      <c r="J1572" s="115"/>
      <c r="K1572" s="115"/>
      <c r="L1572" s="115"/>
      <c r="O1572" s="116"/>
      <c r="Q1572" s="116"/>
      <c r="T1572" s="114"/>
      <c r="Y1572" s="118"/>
      <c r="Z1572" s="29"/>
      <c r="AA1572" s="29"/>
      <c r="AB1572" s="29"/>
      <c r="AC1572" s="29"/>
      <c r="AD1572" s="29"/>
      <c r="AE1572" s="29"/>
      <c r="AF1572" s="29"/>
      <c r="AG1572" s="29"/>
      <c r="AH1572" s="123"/>
      <c r="AI1572" s="32"/>
      <c r="AJ1572" s="32"/>
      <c r="AK1572" s="32"/>
      <c r="AL1572" s="32"/>
      <c r="AM1572" s="32"/>
      <c r="AN1572" s="32"/>
      <c r="AO1572" s="32"/>
      <c r="AP1572" s="29"/>
    </row>
    <row r="1573">
      <c r="A1573" s="115"/>
      <c r="B1573" s="116"/>
      <c r="C1573" s="115"/>
      <c r="D1573" s="115"/>
      <c r="E1573" s="115"/>
      <c r="F1573" s="115"/>
      <c r="G1573" s="115"/>
      <c r="H1573" s="115"/>
      <c r="I1573" s="115"/>
      <c r="J1573" s="115"/>
      <c r="K1573" s="115"/>
      <c r="L1573" s="115"/>
      <c r="O1573" s="116"/>
      <c r="Q1573" s="116"/>
      <c r="T1573" s="114"/>
      <c r="Y1573" s="118"/>
      <c r="Z1573" s="29"/>
      <c r="AA1573" s="29"/>
      <c r="AB1573" s="29"/>
      <c r="AC1573" s="29"/>
      <c r="AD1573" s="29"/>
      <c r="AE1573" s="29"/>
      <c r="AF1573" s="29"/>
      <c r="AG1573" s="29"/>
      <c r="AH1573" s="123"/>
      <c r="AI1573" s="32"/>
      <c r="AJ1573" s="32"/>
      <c r="AK1573" s="32"/>
      <c r="AL1573" s="32"/>
      <c r="AM1573" s="32"/>
      <c r="AN1573" s="32"/>
      <c r="AO1573" s="32"/>
      <c r="AP1573" s="29"/>
    </row>
    <row r="1574">
      <c r="A1574" s="115"/>
      <c r="B1574" s="116"/>
      <c r="C1574" s="115"/>
      <c r="D1574" s="115"/>
      <c r="E1574" s="115"/>
      <c r="F1574" s="115"/>
      <c r="G1574" s="115"/>
      <c r="H1574" s="115"/>
      <c r="I1574" s="115"/>
      <c r="J1574" s="115"/>
      <c r="K1574" s="115"/>
      <c r="L1574" s="115"/>
      <c r="O1574" s="116"/>
      <c r="Q1574" s="116"/>
      <c r="T1574" s="114"/>
      <c r="Y1574" s="118"/>
      <c r="Z1574" s="29"/>
      <c r="AA1574" s="29"/>
      <c r="AB1574" s="29"/>
      <c r="AC1574" s="29"/>
      <c r="AD1574" s="29"/>
      <c r="AE1574" s="29"/>
      <c r="AF1574" s="29"/>
      <c r="AG1574" s="29"/>
      <c r="AH1574" s="123"/>
      <c r="AI1574" s="32"/>
      <c r="AJ1574" s="32"/>
      <c r="AK1574" s="32"/>
      <c r="AL1574" s="32"/>
      <c r="AM1574" s="32"/>
      <c r="AN1574" s="32"/>
      <c r="AO1574" s="32"/>
      <c r="AP1574" s="29"/>
    </row>
    <row r="1575">
      <c r="A1575" s="115"/>
      <c r="B1575" s="116"/>
      <c r="C1575" s="115"/>
      <c r="D1575" s="115"/>
      <c r="E1575" s="115"/>
      <c r="F1575" s="115"/>
      <c r="G1575" s="115"/>
      <c r="H1575" s="115"/>
      <c r="I1575" s="115"/>
      <c r="J1575" s="115"/>
      <c r="K1575" s="115"/>
      <c r="L1575" s="115"/>
      <c r="O1575" s="116"/>
      <c r="Q1575" s="116"/>
      <c r="T1575" s="114"/>
      <c r="Y1575" s="118"/>
      <c r="Z1575" s="29"/>
      <c r="AA1575" s="29"/>
      <c r="AB1575" s="29"/>
      <c r="AC1575" s="29"/>
      <c r="AD1575" s="29"/>
      <c r="AE1575" s="29"/>
      <c r="AF1575" s="29"/>
      <c r="AG1575" s="29"/>
      <c r="AH1575" s="123"/>
      <c r="AI1575" s="32"/>
      <c r="AJ1575" s="32"/>
      <c r="AK1575" s="32"/>
      <c r="AL1575" s="32"/>
      <c r="AM1575" s="32"/>
      <c r="AN1575" s="32"/>
      <c r="AO1575" s="32"/>
      <c r="AP1575" s="29"/>
    </row>
    <row r="1576">
      <c r="A1576" s="115"/>
      <c r="B1576" s="116"/>
      <c r="C1576" s="115"/>
      <c r="D1576" s="115"/>
      <c r="E1576" s="115"/>
      <c r="F1576" s="115"/>
      <c r="G1576" s="115"/>
      <c r="H1576" s="115"/>
      <c r="I1576" s="115"/>
      <c r="J1576" s="115"/>
      <c r="K1576" s="115"/>
      <c r="L1576" s="115"/>
      <c r="O1576" s="116"/>
      <c r="Q1576" s="116"/>
      <c r="T1576" s="114"/>
      <c r="Y1576" s="118"/>
      <c r="Z1576" s="29"/>
      <c r="AA1576" s="29"/>
      <c r="AB1576" s="29"/>
      <c r="AC1576" s="29"/>
      <c r="AD1576" s="29"/>
      <c r="AE1576" s="29"/>
      <c r="AF1576" s="29"/>
      <c r="AG1576" s="29"/>
      <c r="AH1576" s="123"/>
      <c r="AI1576" s="32"/>
      <c r="AJ1576" s="32"/>
      <c r="AK1576" s="32"/>
      <c r="AL1576" s="32"/>
      <c r="AM1576" s="32"/>
      <c r="AN1576" s="32"/>
      <c r="AO1576" s="32"/>
      <c r="AP1576" s="29"/>
    </row>
    <row r="1577">
      <c r="A1577" s="115"/>
      <c r="B1577" s="116"/>
      <c r="C1577" s="115"/>
      <c r="D1577" s="115"/>
      <c r="E1577" s="115"/>
      <c r="F1577" s="115"/>
      <c r="G1577" s="115"/>
      <c r="H1577" s="115"/>
      <c r="I1577" s="115"/>
      <c r="J1577" s="115"/>
      <c r="K1577" s="115"/>
      <c r="L1577" s="115"/>
      <c r="O1577" s="116"/>
      <c r="Q1577" s="116"/>
      <c r="T1577" s="114"/>
      <c r="Y1577" s="118"/>
      <c r="Z1577" s="29"/>
      <c r="AA1577" s="29"/>
      <c r="AB1577" s="29"/>
      <c r="AC1577" s="29"/>
      <c r="AD1577" s="29"/>
      <c r="AE1577" s="29"/>
      <c r="AF1577" s="29"/>
      <c r="AG1577" s="29"/>
      <c r="AH1577" s="123"/>
      <c r="AI1577" s="32"/>
      <c r="AJ1577" s="32"/>
      <c r="AK1577" s="32"/>
      <c r="AL1577" s="32"/>
      <c r="AM1577" s="32"/>
      <c r="AN1577" s="32"/>
      <c r="AO1577" s="32"/>
      <c r="AP1577" s="29"/>
    </row>
    <row r="1578">
      <c r="A1578" s="115"/>
      <c r="B1578" s="116"/>
      <c r="C1578" s="115"/>
      <c r="D1578" s="115"/>
      <c r="E1578" s="115"/>
      <c r="F1578" s="115"/>
      <c r="G1578" s="115"/>
      <c r="H1578" s="115"/>
      <c r="I1578" s="115"/>
      <c r="J1578" s="115"/>
      <c r="K1578" s="115"/>
      <c r="L1578" s="115"/>
      <c r="O1578" s="116"/>
      <c r="Q1578" s="116"/>
      <c r="T1578" s="114"/>
      <c r="Y1578" s="118"/>
      <c r="Z1578" s="29"/>
      <c r="AA1578" s="29"/>
      <c r="AB1578" s="29"/>
      <c r="AC1578" s="29"/>
      <c r="AD1578" s="29"/>
      <c r="AE1578" s="29"/>
      <c r="AF1578" s="29"/>
      <c r="AG1578" s="29"/>
      <c r="AH1578" s="123"/>
      <c r="AI1578" s="32"/>
      <c r="AJ1578" s="32"/>
      <c r="AK1578" s="32"/>
      <c r="AL1578" s="32"/>
      <c r="AM1578" s="32"/>
      <c r="AN1578" s="32"/>
      <c r="AO1578" s="32"/>
      <c r="AP1578" s="29"/>
    </row>
    <row r="1579">
      <c r="A1579" s="115"/>
      <c r="B1579" s="116"/>
      <c r="C1579" s="115"/>
      <c r="D1579" s="115"/>
      <c r="E1579" s="115"/>
      <c r="F1579" s="115"/>
      <c r="G1579" s="115"/>
      <c r="H1579" s="115"/>
      <c r="I1579" s="115"/>
      <c r="J1579" s="115"/>
      <c r="K1579" s="115"/>
      <c r="L1579" s="115"/>
      <c r="O1579" s="116"/>
      <c r="Q1579" s="116"/>
      <c r="T1579" s="114"/>
      <c r="Y1579" s="118"/>
      <c r="Z1579" s="29"/>
      <c r="AA1579" s="29"/>
      <c r="AB1579" s="29"/>
      <c r="AC1579" s="29"/>
      <c r="AD1579" s="29"/>
      <c r="AE1579" s="29"/>
      <c r="AF1579" s="29"/>
      <c r="AG1579" s="29"/>
      <c r="AH1579" s="123"/>
      <c r="AI1579" s="32"/>
      <c r="AJ1579" s="32"/>
      <c r="AK1579" s="32"/>
      <c r="AL1579" s="32"/>
      <c r="AM1579" s="32"/>
      <c r="AN1579" s="32"/>
      <c r="AO1579" s="32"/>
      <c r="AP1579" s="29"/>
    </row>
    <row r="1580">
      <c r="A1580" s="115"/>
      <c r="B1580" s="116"/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O1580" s="116"/>
      <c r="Q1580" s="116"/>
      <c r="T1580" s="114"/>
      <c r="Y1580" s="118"/>
      <c r="Z1580" s="29"/>
      <c r="AA1580" s="29"/>
      <c r="AB1580" s="29"/>
      <c r="AC1580" s="29"/>
      <c r="AD1580" s="29"/>
      <c r="AE1580" s="29"/>
      <c r="AF1580" s="29"/>
      <c r="AG1580" s="29"/>
      <c r="AH1580" s="123"/>
      <c r="AI1580" s="32"/>
      <c r="AJ1580" s="32"/>
      <c r="AK1580" s="32"/>
      <c r="AL1580" s="32"/>
      <c r="AM1580" s="32"/>
      <c r="AN1580" s="32"/>
      <c r="AO1580" s="32"/>
      <c r="AP1580" s="29"/>
    </row>
    <row r="1581">
      <c r="A1581" s="115"/>
      <c r="B1581" s="116"/>
      <c r="C1581" s="115"/>
      <c r="D1581" s="115"/>
      <c r="E1581" s="115"/>
      <c r="F1581" s="115"/>
      <c r="G1581" s="115"/>
      <c r="H1581" s="115"/>
      <c r="I1581" s="115"/>
      <c r="J1581" s="115"/>
      <c r="K1581" s="115"/>
      <c r="L1581" s="115"/>
      <c r="O1581" s="116"/>
      <c r="Q1581" s="116"/>
      <c r="T1581" s="114"/>
      <c r="Y1581" s="118"/>
      <c r="Z1581" s="29"/>
      <c r="AA1581" s="29"/>
      <c r="AB1581" s="29"/>
      <c r="AC1581" s="29"/>
      <c r="AD1581" s="29"/>
      <c r="AE1581" s="29"/>
      <c r="AF1581" s="29"/>
      <c r="AG1581" s="29"/>
      <c r="AH1581" s="123"/>
      <c r="AI1581" s="32"/>
      <c r="AJ1581" s="32"/>
      <c r="AK1581" s="32"/>
      <c r="AL1581" s="32"/>
      <c r="AM1581" s="32"/>
      <c r="AN1581" s="32"/>
      <c r="AO1581" s="32"/>
      <c r="AP1581" s="29"/>
    </row>
    <row r="1582">
      <c r="A1582" s="115"/>
      <c r="B1582" s="116"/>
      <c r="C1582" s="115"/>
      <c r="D1582" s="115"/>
      <c r="E1582" s="115"/>
      <c r="F1582" s="115"/>
      <c r="G1582" s="115"/>
      <c r="H1582" s="115"/>
      <c r="I1582" s="115"/>
      <c r="J1582" s="115"/>
      <c r="K1582" s="115"/>
      <c r="L1582" s="115"/>
      <c r="O1582" s="116"/>
      <c r="Q1582" s="116"/>
      <c r="T1582" s="114"/>
      <c r="Y1582" s="118"/>
      <c r="Z1582" s="29"/>
      <c r="AA1582" s="29"/>
      <c r="AB1582" s="29"/>
      <c r="AC1582" s="29"/>
      <c r="AD1582" s="29"/>
      <c r="AE1582" s="29"/>
      <c r="AF1582" s="29"/>
      <c r="AG1582" s="29"/>
      <c r="AH1582" s="123"/>
      <c r="AI1582" s="32"/>
      <c r="AJ1582" s="32"/>
      <c r="AK1582" s="32"/>
      <c r="AL1582" s="32"/>
      <c r="AM1582" s="32"/>
      <c r="AN1582" s="32"/>
      <c r="AO1582" s="32"/>
      <c r="AP1582" s="29"/>
    </row>
    <row r="1583">
      <c r="A1583" s="115"/>
      <c r="B1583" s="116"/>
      <c r="C1583" s="115"/>
      <c r="D1583" s="115"/>
      <c r="E1583" s="115"/>
      <c r="F1583" s="115"/>
      <c r="G1583" s="115"/>
      <c r="H1583" s="115"/>
      <c r="I1583" s="115"/>
      <c r="J1583" s="115"/>
      <c r="K1583" s="115"/>
      <c r="L1583" s="115"/>
      <c r="O1583" s="116"/>
      <c r="Q1583" s="116"/>
      <c r="T1583" s="114"/>
      <c r="Y1583" s="118"/>
      <c r="Z1583" s="29"/>
      <c r="AA1583" s="29"/>
      <c r="AB1583" s="29"/>
      <c r="AC1583" s="29"/>
      <c r="AD1583" s="29"/>
      <c r="AE1583" s="29"/>
      <c r="AF1583" s="29"/>
      <c r="AG1583" s="29"/>
      <c r="AH1583" s="123"/>
      <c r="AI1583" s="32"/>
      <c r="AJ1583" s="32"/>
      <c r="AK1583" s="32"/>
      <c r="AL1583" s="32"/>
      <c r="AM1583" s="32"/>
      <c r="AN1583" s="32"/>
      <c r="AO1583" s="32"/>
      <c r="AP1583" s="29"/>
    </row>
    <row r="1584">
      <c r="A1584" s="115"/>
      <c r="B1584" s="116"/>
      <c r="C1584" s="115"/>
      <c r="D1584" s="115"/>
      <c r="E1584" s="115"/>
      <c r="F1584" s="115"/>
      <c r="G1584" s="115"/>
      <c r="H1584" s="115"/>
      <c r="I1584" s="115"/>
      <c r="J1584" s="115"/>
      <c r="K1584" s="115"/>
      <c r="L1584" s="115"/>
      <c r="O1584" s="116"/>
      <c r="Q1584" s="116"/>
      <c r="T1584" s="114"/>
      <c r="Y1584" s="118"/>
      <c r="Z1584" s="29"/>
      <c r="AA1584" s="29"/>
      <c r="AB1584" s="29"/>
      <c r="AC1584" s="29"/>
      <c r="AD1584" s="29"/>
      <c r="AE1584" s="29"/>
      <c r="AF1584" s="29"/>
      <c r="AG1584" s="29"/>
      <c r="AH1584" s="123"/>
      <c r="AI1584" s="32"/>
      <c r="AJ1584" s="32"/>
      <c r="AK1584" s="32"/>
      <c r="AL1584" s="32"/>
      <c r="AM1584" s="32"/>
      <c r="AN1584" s="32"/>
      <c r="AO1584" s="32"/>
      <c r="AP1584" s="29"/>
    </row>
    <row r="1585">
      <c r="A1585" s="115"/>
      <c r="B1585" s="116"/>
      <c r="C1585" s="115"/>
      <c r="D1585" s="115"/>
      <c r="E1585" s="115"/>
      <c r="F1585" s="115"/>
      <c r="G1585" s="115"/>
      <c r="H1585" s="115"/>
      <c r="I1585" s="115"/>
      <c r="J1585" s="115"/>
      <c r="K1585" s="115"/>
      <c r="L1585" s="115"/>
      <c r="O1585" s="116"/>
      <c r="Q1585" s="116"/>
      <c r="T1585" s="114"/>
      <c r="Y1585" s="118"/>
      <c r="Z1585" s="29"/>
      <c r="AA1585" s="29"/>
      <c r="AB1585" s="29"/>
      <c r="AC1585" s="29"/>
      <c r="AD1585" s="29"/>
      <c r="AE1585" s="29"/>
      <c r="AF1585" s="29"/>
      <c r="AG1585" s="29"/>
      <c r="AH1585" s="123"/>
      <c r="AI1585" s="32"/>
      <c r="AJ1585" s="32"/>
      <c r="AK1585" s="32"/>
      <c r="AL1585" s="32"/>
      <c r="AM1585" s="32"/>
      <c r="AN1585" s="32"/>
      <c r="AO1585" s="32"/>
      <c r="AP1585" s="29"/>
    </row>
    <row r="1586">
      <c r="A1586" s="115"/>
      <c r="B1586" s="116"/>
      <c r="C1586" s="115"/>
      <c r="D1586" s="115"/>
      <c r="E1586" s="115"/>
      <c r="F1586" s="115"/>
      <c r="G1586" s="115"/>
      <c r="H1586" s="115"/>
      <c r="I1586" s="115"/>
      <c r="J1586" s="115"/>
      <c r="K1586" s="115"/>
      <c r="L1586" s="115"/>
      <c r="O1586" s="116"/>
      <c r="Q1586" s="116"/>
      <c r="T1586" s="114"/>
      <c r="Y1586" s="118"/>
      <c r="Z1586" s="29"/>
      <c r="AA1586" s="29"/>
      <c r="AB1586" s="29"/>
      <c r="AC1586" s="29"/>
      <c r="AD1586" s="29"/>
      <c r="AE1586" s="29"/>
      <c r="AF1586" s="29"/>
      <c r="AG1586" s="29"/>
      <c r="AH1586" s="123"/>
      <c r="AI1586" s="32"/>
      <c r="AJ1586" s="32"/>
      <c r="AK1586" s="32"/>
      <c r="AL1586" s="32"/>
      <c r="AM1586" s="32"/>
      <c r="AN1586" s="32"/>
      <c r="AO1586" s="32"/>
      <c r="AP1586" s="29"/>
    </row>
    <row r="1587">
      <c r="A1587" s="115"/>
      <c r="B1587" s="116"/>
      <c r="C1587" s="115"/>
      <c r="D1587" s="115"/>
      <c r="E1587" s="115"/>
      <c r="F1587" s="115"/>
      <c r="G1587" s="115"/>
      <c r="H1587" s="115"/>
      <c r="I1587" s="115"/>
      <c r="J1587" s="115"/>
      <c r="K1587" s="115"/>
      <c r="L1587" s="115"/>
      <c r="O1587" s="116"/>
      <c r="Q1587" s="116"/>
      <c r="T1587" s="114"/>
      <c r="Y1587" s="118"/>
      <c r="Z1587" s="29"/>
      <c r="AA1587" s="29"/>
      <c r="AB1587" s="29"/>
      <c r="AC1587" s="29"/>
      <c r="AD1587" s="29"/>
      <c r="AE1587" s="29"/>
      <c r="AF1587" s="29"/>
      <c r="AG1587" s="29"/>
      <c r="AH1587" s="123"/>
      <c r="AI1587" s="32"/>
      <c r="AJ1587" s="32"/>
      <c r="AK1587" s="32"/>
      <c r="AL1587" s="32"/>
      <c r="AM1587" s="32"/>
      <c r="AN1587" s="32"/>
      <c r="AO1587" s="32"/>
      <c r="AP1587" s="29"/>
    </row>
    <row r="1588">
      <c r="A1588" s="115"/>
      <c r="B1588" s="116"/>
      <c r="C1588" s="115"/>
      <c r="D1588" s="115"/>
      <c r="E1588" s="115"/>
      <c r="F1588" s="115"/>
      <c r="G1588" s="115"/>
      <c r="H1588" s="115"/>
      <c r="I1588" s="115"/>
      <c r="J1588" s="115"/>
      <c r="K1588" s="115"/>
      <c r="L1588" s="115"/>
      <c r="O1588" s="116"/>
      <c r="Q1588" s="116"/>
      <c r="T1588" s="114"/>
      <c r="Y1588" s="118"/>
      <c r="Z1588" s="29"/>
      <c r="AA1588" s="29"/>
      <c r="AB1588" s="29"/>
      <c r="AC1588" s="29"/>
      <c r="AD1588" s="29"/>
      <c r="AE1588" s="29"/>
      <c r="AF1588" s="29"/>
      <c r="AG1588" s="29"/>
      <c r="AH1588" s="123"/>
      <c r="AI1588" s="32"/>
      <c r="AJ1588" s="32"/>
      <c r="AK1588" s="32"/>
      <c r="AL1588" s="32"/>
      <c r="AM1588" s="32"/>
      <c r="AN1588" s="32"/>
      <c r="AO1588" s="32"/>
      <c r="AP1588" s="29"/>
    </row>
    <row r="1589">
      <c r="A1589" s="115"/>
      <c r="B1589" s="116"/>
      <c r="C1589" s="115"/>
      <c r="D1589" s="115"/>
      <c r="E1589" s="115"/>
      <c r="F1589" s="115"/>
      <c r="G1589" s="115"/>
      <c r="H1589" s="115"/>
      <c r="I1589" s="115"/>
      <c r="J1589" s="115"/>
      <c r="K1589" s="115"/>
      <c r="L1589" s="115"/>
      <c r="O1589" s="116"/>
      <c r="Q1589" s="116"/>
      <c r="T1589" s="114"/>
      <c r="Y1589" s="118"/>
      <c r="Z1589" s="29"/>
      <c r="AA1589" s="29"/>
      <c r="AB1589" s="29"/>
      <c r="AC1589" s="29"/>
      <c r="AD1589" s="29"/>
      <c r="AE1589" s="29"/>
      <c r="AF1589" s="29"/>
      <c r="AG1589" s="29"/>
      <c r="AH1589" s="123"/>
      <c r="AI1589" s="32"/>
      <c r="AJ1589" s="32"/>
      <c r="AK1589" s="32"/>
      <c r="AL1589" s="32"/>
      <c r="AM1589" s="32"/>
      <c r="AN1589" s="32"/>
      <c r="AO1589" s="32"/>
      <c r="AP1589" s="29"/>
    </row>
    <row r="1590">
      <c r="A1590" s="115"/>
      <c r="B1590" s="116"/>
      <c r="C1590" s="115"/>
      <c r="D1590" s="115"/>
      <c r="E1590" s="115"/>
      <c r="F1590" s="115"/>
      <c r="G1590" s="115"/>
      <c r="H1590" s="115"/>
      <c r="I1590" s="115"/>
      <c r="J1590" s="115"/>
      <c r="K1590" s="115"/>
      <c r="L1590" s="115"/>
      <c r="O1590" s="116"/>
      <c r="Q1590" s="116"/>
      <c r="T1590" s="114"/>
      <c r="Y1590" s="118"/>
      <c r="Z1590" s="29"/>
      <c r="AA1590" s="29"/>
      <c r="AB1590" s="29"/>
      <c r="AC1590" s="29"/>
      <c r="AD1590" s="29"/>
      <c r="AE1590" s="29"/>
      <c r="AF1590" s="29"/>
      <c r="AG1590" s="29"/>
      <c r="AH1590" s="123"/>
      <c r="AI1590" s="32"/>
      <c r="AJ1590" s="32"/>
      <c r="AK1590" s="32"/>
      <c r="AL1590" s="32"/>
      <c r="AM1590" s="32"/>
      <c r="AN1590" s="32"/>
      <c r="AO1590" s="32"/>
      <c r="AP1590" s="29"/>
    </row>
    <row r="1591">
      <c r="A1591" s="115"/>
      <c r="B1591" s="116"/>
      <c r="C1591" s="115"/>
      <c r="D1591" s="115"/>
      <c r="E1591" s="115"/>
      <c r="F1591" s="115"/>
      <c r="G1591" s="115"/>
      <c r="H1591" s="115"/>
      <c r="I1591" s="115"/>
      <c r="J1591" s="115"/>
      <c r="K1591" s="115"/>
      <c r="L1591" s="115"/>
      <c r="O1591" s="116"/>
      <c r="Q1591" s="116"/>
      <c r="T1591" s="114"/>
      <c r="Y1591" s="118"/>
      <c r="Z1591" s="29"/>
      <c r="AA1591" s="29"/>
      <c r="AB1591" s="29"/>
      <c r="AC1591" s="29"/>
      <c r="AD1591" s="29"/>
      <c r="AE1591" s="29"/>
      <c r="AF1591" s="29"/>
      <c r="AG1591" s="29"/>
      <c r="AH1591" s="123"/>
      <c r="AI1591" s="32"/>
      <c r="AJ1591" s="32"/>
      <c r="AK1591" s="32"/>
      <c r="AL1591" s="32"/>
      <c r="AM1591" s="32"/>
      <c r="AN1591" s="32"/>
      <c r="AO1591" s="32"/>
      <c r="AP1591" s="29"/>
    </row>
    <row r="1592">
      <c r="A1592" s="115"/>
      <c r="B1592" s="116"/>
      <c r="C1592" s="115"/>
      <c r="D1592" s="115"/>
      <c r="E1592" s="115"/>
      <c r="F1592" s="115"/>
      <c r="G1592" s="115"/>
      <c r="H1592" s="115"/>
      <c r="I1592" s="115"/>
      <c r="J1592" s="115"/>
      <c r="K1592" s="115"/>
      <c r="L1592" s="115"/>
      <c r="O1592" s="116"/>
      <c r="Q1592" s="116"/>
      <c r="T1592" s="114"/>
      <c r="Y1592" s="118"/>
      <c r="Z1592" s="29"/>
      <c r="AA1592" s="29"/>
      <c r="AB1592" s="29"/>
      <c r="AC1592" s="29"/>
      <c r="AD1592" s="29"/>
      <c r="AE1592" s="29"/>
      <c r="AF1592" s="29"/>
      <c r="AG1592" s="29"/>
      <c r="AH1592" s="123"/>
      <c r="AI1592" s="32"/>
      <c r="AJ1592" s="32"/>
      <c r="AK1592" s="32"/>
      <c r="AL1592" s="32"/>
      <c r="AM1592" s="32"/>
      <c r="AN1592" s="32"/>
      <c r="AO1592" s="32"/>
      <c r="AP1592" s="29"/>
    </row>
    <row r="1593">
      <c r="A1593" s="115"/>
      <c r="B1593" s="116"/>
      <c r="C1593" s="115"/>
      <c r="D1593" s="115"/>
      <c r="E1593" s="115"/>
      <c r="F1593" s="115"/>
      <c r="G1593" s="115"/>
      <c r="H1593" s="115"/>
      <c r="I1593" s="115"/>
      <c r="J1593" s="115"/>
      <c r="K1593" s="115"/>
      <c r="L1593" s="115"/>
      <c r="O1593" s="116"/>
      <c r="Q1593" s="116"/>
      <c r="T1593" s="114"/>
      <c r="Y1593" s="118"/>
      <c r="Z1593" s="29"/>
      <c r="AA1593" s="29"/>
      <c r="AB1593" s="29"/>
      <c r="AC1593" s="29"/>
      <c r="AD1593" s="29"/>
      <c r="AE1593" s="29"/>
      <c r="AF1593" s="29"/>
      <c r="AG1593" s="29"/>
      <c r="AH1593" s="123"/>
      <c r="AI1593" s="32"/>
      <c r="AJ1593" s="32"/>
      <c r="AK1593" s="32"/>
      <c r="AL1593" s="32"/>
      <c r="AM1593" s="32"/>
      <c r="AN1593" s="32"/>
      <c r="AO1593" s="32"/>
      <c r="AP1593" s="29"/>
    </row>
    <row r="1594">
      <c r="A1594" s="115"/>
      <c r="B1594" s="116"/>
      <c r="C1594" s="115"/>
      <c r="D1594" s="115"/>
      <c r="E1594" s="115"/>
      <c r="F1594" s="115"/>
      <c r="G1594" s="115"/>
      <c r="H1594" s="115"/>
      <c r="I1594" s="115"/>
      <c r="J1594" s="115"/>
      <c r="K1594" s="115"/>
      <c r="L1594" s="115"/>
      <c r="O1594" s="116"/>
      <c r="Q1594" s="116"/>
      <c r="T1594" s="114"/>
      <c r="Y1594" s="118"/>
      <c r="Z1594" s="29"/>
      <c r="AA1594" s="29"/>
      <c r="AB1594" s="29"/>
      <c r="AC1594" s="29"/>
      <c r="AD1594" s="29"/>
      <c r="AE1594" s="29"/>
      <c r="AF1594" s="29"/>
      <c r="AG1594" s="29"/>
      <c r="AH1594" s="123"/>
      <c r="AI1594" s="32"/>
      <c r="AJ1594" s="32"/>
      <c r="AK1594" s="32"/>
      <c r="AL1594" s="32"/>
      <c r="AM1594" s="32"/>
      <c r="AN1594" s="32"/>
      <c r="AO1594" s="32"/>
      <c r="AP1594" s="29"/>
    </row>
    <row r="1595">
      <c r="A1595" s="115"/>
      <c r="B1595" s="116"/>
      <c r="C1595" s="115"/>
      <c r="D1595" s="115"/>
      <c r="E1595" s="115"/>
      <c r="F1595" s="115"/>
      <c r="G1595" s="115"/>
      <c r="H1595" s="115"/>
      <c r="I1595" s="115"/>
      <c r="J1595" s="115"/>
      <c r="K1595" s="115"/>
      <c r="L1595" s="115"/>
      <c r="O1595" s="116"/>
      <c r="Q1595" s="116"/>
      <c r="T1595" s="114"/>
      <c r="Y1595" s="118"/>
      <c r="Z1595" s="29"/>
      <c r="AA1595" s="29"/>
      <c r="AB1595" s="29"/>
      <c r="AC1595" s="29"/>
      <c r="AD1595" s="29"/>
      <c r="AE1595" s="29"/>
      <c r="AF1595" s="29"/>
      <c r="AG1595" s="29"/>
      <c r="AH1595" s="123"/>
      <c r="AI1595" s="32"/>
      <c r="AJ1595" s="32"/>
      <c r="AK1595" s="32"/>
      <c r="AL1595" s="32"/>
      <c r="AM1595" s="32"/>
      <c r="AN1595" s="32"/>
      <c r="AO1595" s="32"/>
      <c r="AP1595" s="29"/>
    </row>
    <row r="1596">
      <c r="A1596" s="115"/>
      <c r="B1596" s="116"/>
      <c r="C1596" s="115"/>
      <c r="D1596" s="115"/>
      <c r="E1596" s="115"/>
      <c r="F1596" s="115"/>
      <c r="G1596" s="115"/>
      <c r="H1596" s="115"/>
      <c r="I1596" s="115"/>
      <c r="J1596" s="115"/>
      <c r="K1596" s="115"/>
      <c r="L1596" s="115"/>
      <c r="O1596" s="116"/>
      <c r="Q1596" s="116"/>
      <c r="T1596" s="114"/>
      <c r="Y1596" s="118"/>
      <c r="Z1596" s="29"/>
      <c r="AA1596" s="29"/>
      <c r="AB1596" s="29"/>
      <c r="AC1596" s="29"/>
      <c r="AD1596" s="29"/>
      <c r="AE1596" s="29"/>
      <c r="AF1596" s="29"/>
      <c r="AG1596" s="29"/>
      <c r="AH1596" s="123"/>
      <c r="AI1596" s="32"/>
      <c r="AJ1596" s="32"/>
      <c r="AK1596" s="32"/>
      <c r="AL1596" s="32"/>
      <c r="AM1596" s="32"/>
      <c r="AN1596" s="32"/>
      <c r="AO1596" s="32"/>
      <c r="AP1596" s="29"/>
    </row>
    <row r="1597">
      <c r="A1597" s="115"/>
      <c r="B1597" s="116"/>
      <c r="C1597" s="115"/>
      <c r="D1597" s="115"/>
      <c r="E1597" s="115"/>
      <c r="F1597" s="115"/>
      <c r="G1597" s="115"/>
      <c r="H1597" s="115"/>
      <c r="I1597" s="115"/>
      <c r="J1597" s="115"/>
      <c r="K1597" s="115"/>
      <c r="L1597" s="115"/>
      <c r="O1597" s="116"/>
      <c r="Q1597" s="116"/>
      <c r="T1597" s="114"/>
      <c r="Y1597" s="118"/>
      <c r="Z1597" s="29"/>
      <c r="AA1597" s="29"/>
      <c r="AB1597" s="29"/>
      <c r="AC1597" s="29"/>
      <c r="AD1597" s="29"/>
      <c r="AE1597" s="29"/>
      <c r="AF1597" s="29"/>
      <c r="AG1597" s="29"/>
      <c r="AH1597" s="123"/>
      <c r="AI1597" s="32"/>
      <c r="AJ1597" s="32"/>
      <c r="AK1597" s="32"/>
      <c r="AL1597" s="32"/>
      <c r="AM1597" s="32"/>
      <c r="AN1597" s="32"/>
      <c r="AO1597" s="32"/>
      <c r="AP1597" s="29"/>
    </row>
    <row r="1598">
      <c r="A1598" s="115"/>
      <c r="B1598" s="116"/>
      <c r="C1598" s="115"/>
      <c r="D1598" s="115"/>
      <c r="E1598" s="115"/>
      <c r="F1598" s="115"/>
      <c r="G1598" s="115"/>
      <c r="H1598" s="115"/>
      <c r="I1598" s="115"/>
      <c r="J1598" s="115"/>
      <c r="K1598" s="115"/>
      <c r="L1598" s="115"/>
      <c r="O1598" s="116"/>
      <c r="Q1598" s="116"/>
      <c r="T1598" s="114"/>
      <c r="Y1598" s="118"/>
      <c r="Z1598" s="29"/>
      <c r="AA1598" s="29"/>
      <c r="AB1598" s="29"/>
      <c r="AC1598" s="29"/>
      <c r="AD1598" s="29"/>
      <c r="AE1598" s="29"/>
      <c r="AF1598" s="29"/>
      <c r="AG1598" s="29"/>
      <c r="AH1598" s="123"/>
      <c r="AI1598" s="32"/>
      <c r="AJ1598" s="32"/>
      <c r="AK1598" s="32"/>
      <c r="AL1598" s="32"/>
      <c r="AM1598" s="32"/>
      <c r="AN1598" s="32"/>
      <c r="AO1598" s="32"/>
      <c r="AP1598" s="29"/>
    </row>
    <row r="1599">
      <c r="A1599" s="115"/>
      <c r="B1599" s="116"/>
      <c r="C1599" s="115"/>
      <c r="D1599" s="115"/>
      <c r="E1599" s="115"/>
      <c r="F1599" s="115"/>
      <c r="G1599" s="115"/>
      <c r="H1599" s="115"/>
      <c r="I1599" s="115"/>
      <c r="J1599" s="115"/>
      <c r="K1599" s="115"/>
      <c r="L1599" s="115"/>
      <c r="O1599" s="116"/>
      <c r="Q1599" s="116"/>
      <c r="T1599" s="114"/>
      <c r="Y1599" s="118"/>
      <c r="Z1599" s="29"/>
      <c r="AA1599" s="29"/>
      <c r="AB1599" s="29"/>
      <c r="AC1599" s="29"/>
      <c r="AD1599" s="29"/>
      <c r="AE1599" s="29"/>
      <c r="AF1599" s="29"/>
      <c r="AG1599" s="29"/>
      <c r="AH1599" s="123"/>
      <c r="AI1599" s="32"/>
      <c r="AJ1599" s="32"/>
      <c r="AK1599" s="32"/>
      <c r="AL1599" s="32"/>
      <c r="AM1599" s="32"/>
      <c r="AN1599" s="32"/>
      <c r="AO1599" s="32"/>
      <c r="AP1599" s="29"/>
    </row>
    <row r="1600">
      <c r="A1600" s="115"/>
      <c r="B1600" s="116"/>
      <c r="C1600" s="115"/>
      <c r="D1600" s="115"/>
      <c r="E1600" s="115"/>
      <c r="F1600" s="115"/>
      <c r="G1600" s="115"/>
      <c r="H1600" s="115"/>
      <c r="I1600" s="115"/>
      <c r="J1600" s="115"/>
      <c r="K1600" s="115"/>
      <c r="L1600" s="115"/>
      <c r="O1600" s="116"/>
      <c r="Q1600" s="116"/>
      <c r="T1600" s="114"/>
      <c r="Y1600" s="118"/>
      <c r="Z1600" s="29"/>
      <c r="AA1600" s="29"/>
      <c r="AB1600" s="29"/>
      <c r="AC1600" s="29"/>
      <c r="AD1600" s="29"/>
      <c r="AE1600" s="29"/>
      <c r="AF1600" s="29"/>
      <c r="AG1600" s="29"/>
      <c r="AH1600" s="123"/>
      <c r="AI1600" s="32"/>
      <c r="AJ1600" s="32"/>
      <c r="AK1600" s="32"/>
      <c r="AL1600" s="32"/>
      <c r="AM1600" s="32"/>
      <c r="AN1600" s="32"/>
      <c r="AO1600" s="32"/>
      <c r="AP1600" s="29"/>
    </row>
    <row r="1601">
      <c r="A1601" s="115"/>
      <c r="B1601" s="116"/>
      <c r="C1601" s="115"/>
      <c r="D1601" s="115"/>
      <c r="E1601" s="115"/>
      <c r="F1601" s="115"/>
      <c r="G1601" s="115"/>
      <c r="H1601" s="115"/>
      <c r="I1601" s="115"/>
      <c r="J1601" s="115"/>
      <c r="K1601" s="115"/>
      <c r="L1601" s="115"/>
      <c r="O1601" s="116"/>
      <c r="Q1601" s="116"/>
      <c r="T1601" s="114"/>
      <c r="Y1601" s="118"/>
      <c r="Z1601" s="29"/>
      <c r="AA1601" s="29"/>
      <c r="AB1601" s="29"/>
      <c r="AC1601" s="29"/>
      <c r="AD1601" s="29"/>
      <c r="AE1601" s="29"/>
      <c r="AF1601" s="29"/>
      <c r="AG1601" s="29"/>
      <c r="AH1601" s="123"/>
      <c r="AI1601" s="32"/>
      <c r="AJ1601" s="32"/>
      <c r="AK1601" s="32"/>
      <c r="AL1601" s="32"/>
      <c r="AM1601" s="32"/>
      <c r="AN1601" s="32"/>
      <c r="AO1601" s="32"/>
      <c r="AP1601" s="29"/>
    </row>
    <row r="1602">
      <c r="A1602" s="115"/>
      <c r="B1602" s="116"/>
      <c r="C1602" s="115"/>
      <c r="D1602" s="115"/>
      <c r="E1602" s="115"/>
      <c r="F1602" s="115"/>
      <c r="G1602" s="115"/>
      <c r="H1602" s="115"/>
      <c r="I1602" s="115"/>
      <c r="J1602" s="115"/>
      <c r="K1602" s="115"/>
      <c r="L1602" s="115"/>
      <c r="O1602" s="116"/>
      <c r="Q1602" s="116"/>
      <c r="T1602" s="114"/>
      <c r="Y1602" s="118"/>
      <c r="Z1602" s="29"/>
      <c r="AA1602" s="29"/>
      <c r="AB1602" s="29"/>
      <c r="AC1602" s="29"/>
      <c r="AD1602" s="29"/>
      <c r="AE1602" s="29"/>
      <c r="AF1602" s="29"/>
      <c r="AG1602" s="29"/>
      <c r="AH1602" s="123"/>
      <c r="AI1602" s="32"/>
      <c r="AJ1602" s="32"/>
      <c r="AK1602" s="32"/>
      <c r="AL1602" s="32"/>
      <c r="AM1602" s="32"/>
      <c r="AN1602" s="32"/>
      <c r="AO1602" s="32"/>
      <c r="AP1602" s="29"/>
    </row>
    <row r="1603">
      <c r="A1603" s="115"/>
      <c r="B1603" s="116"/>
      <c r="C1603" s="115"/>
      <c r="D1603" s="115"/>
      <c r="E1603" s="115"/>
      <c r="F1603" s="115"/>
      <c r="G1603" s="115"/>
      <c r="H1603" s="115"/>
      <c r="I1603" s="115"/>
      <c r="J1603" s="115"/>
      <c r="K1603" s="115"/>
      <c r="L1603" s="115"/>
      <c r="O1603" s="116"/>
      <c r="Q1603" s="116"/>
      <c r="T1603" s="114"/>
      <c r="Y1603" s="118"/>
      <c r="Z1603" s="29"/>
      <c r="AA1603" s="29"/>
      <c r="AB1603" s="29"/>
      <c r="AC1603" s="29"/>
      <c r="AD1603" s="29"/>
      <c r="AE1603" s="29"/>
      <c r="AF1603" s="29"/>
      <c r="AG1603" s="29"/>
      <c r="AH1603" s="123"/>
      <c r="AI1603" s="32"/>
      <c r="AJ1603" s="32"/>
      <c r="AK1603" s="32"/>
      <c r="AL1603" s="32"/>
      <c r="AM1603" s="32"/>
      <c r="AN1603" s="32"/>
      <c r="AO1603" s="32"/>
      <c r="AP1603" s="29"/>
    </row>
    <row r="1604">
      <c r="A1604" s="115"/>
      <c r="B1604" s="116"/>
      <c r="C1604" s="115"/>
      <c r="D1604" s="115"/>
      <c r="E1604" s="115"/>
      <c r="F1604" s="115"/>
      <c r="G1604" s="115"/>
      <c r="H1604" s="115"/>
      <c r="I1604" s="115"/>
      <c r="J1604" s="115"/>
      <c r="K1604" s="115"/>
      <c r="L1604" s="115"/>
      <c r="O1604" s="116"/>
      <c r="Q1604" s="116"/>
      <c r="T1604" s="114"/>
      <c r="Y1604" s="118"/>
      <c r="Z1604" s="29"/>
      <c r="AA1604" s="29"/>
      <c r="AB1604" s="29"/>
      <c r="AC1604" s="29"/>
      <c r="AD1604" s="29"/>
      <c r="AE1604" s="29"/>
      <c r="AF1604" s="29"/>
      <c r="AG1604" s="29"/>
      <c r="AH1604" s="123"/>
      <c r="AI1604" s="32"/>
      <c r="AJ1604" s="32"/>
      <c r="AK1604" s="32"/>
      <c r="AL1604" s="32"/>
      <c r="AM1604" s="32"/>
      <c r="AN1604" s="32"/>
      <c r="AO1604" s="32"/>
      <c r="AP1604" s="29"/>
    </row>
    <row r="1605">
      <c r="A1605" s="115"/>
      <c r="B1605" s="116"/>
      <c r="C1605" s="115"/>
      <c r="D1605" s="115"/>
      <c r="E1605" s="115"/>
      <c r="F1605" s="115"/>
      <c r="G1605" s="115"/>
      <c r="H1605" s="115"/>
      <c r="I1605" s="115"/>
      <c r="J1605" s="115"/>
      <c r="K1605" s="115"/>
      <c r="L1605" s="115"/>
      <c r="O1605" s="116"/>
      <c r="Q1605" s="116"/>
      <c r="T1605" s="114"/>
      <c r="Y1605" s="118"/>
      <c r="Z1605" s="29"/>
      <c r="AA1605" s="29"/>
      <c r="AB1605" s="29"/>
      <c r="AC1605" s="29"/>
      <c r="AD1605" s="29"/>
      <c r="AE1605" s="29"/>
      <c r="AF1605" s="29"/>
      <c r="AG1605" s="29"/>
      <c r="AH1605" s="123"/>
      <c r="AI1605" s="32"/>
      <c r="AJ1605" s="32"/>
      <c r="AK1605" s="32"/>
      <c r="AL1605" s="32"/>
      <c r="AM1605" s="32"/>
      <c r="AN1605" s="32"/>
      <c r="AO1605" s="32"/>
      <c r="AP1605" s="29"/>
    </row>
    <row r="1606">
      <c r="A1606" s="115"/>
      <c r="B1606" s="116"/>
      <c r="C1606" s="115"/>
      <c r="D1606" s="115"/>
      <c r="E1606" s="115"/>
      <c r="F1606" s="115"/>
      <c r="G1606" s="115"/>
      <c r="H1606" s="115"/>
      <c r="I1606" s="115"/>
      <c r="J1606" s="115"/>
      <c r="K1606" s="115"/>
      <c r="L1606" s="115"/>
      <c r="O1606" s="116"/>
      <c r="Q1606" s="116"/>
      <c r="T1606" s="114"/>
      <c r="Y1606" s="118"/>
      <c r="Z1606" s="29"/>
      <c r="AA1606" s="29"/>
      <c r="AB1606" s="29"/>
      <c r="AC1606" s="29"/>
      <c r="AD1606" s="29"/>
      <c r="AE1606" s="29"/>
      <c r="AF1606" s="29"/>
      <c r="AG1606" s="29"/>
      <c r="AH1606" s="123"/>
      <c r="AI1606" s="32"/>
      <c r="AJ1606" s="32"/>
      <c r="AK1606" s="32"/>
      <c r="AL1606" s="32"/>
      <c r="AM1606" s="32"/>
      <c r="AN1606" s="32"/>
      <c r="AO1606" s="32"/>
      <c r="AP1606" s="29"/>
    </row>
    <row r="1607">
      <c r="A1607" s="115"/>
      <c r="B1607" s="116"/>
      <c r="C1607" s="115"/>
      <c r="D1607" s="115"/>
      <c r="E1607" s="115"/>
      <c r="F1607" s="115"/>
      <c r="G1607" s="115"/>
      <c r="H1607" s="115"/>
      <c r="I1607" s="115"/>
      <c r="J1607" s="115"/>
      <c r="K1607" s="115"/>
      <c r="L1607" s="115"/>
      <c r="O1607" s="116"/>
      <c r="Q1607" s="116"/>
      <c r="T1607" s="114"/>
      <c r="Y1607" s="118"/>
      <c r="Z1607" s="29"/>
      <c r="AA1607" s="29"/>
      <c r="AB1607" s="29"/>
      <c r="AC1607" s="29"/>
      <c r="AD1607" s="29"/>
      <c r="AE1607" s="29"/>
      <c r="AF1607" s="29"/>
      <c r="AG1607" s="29"/>
      <c r="AH1607" s="123"/>
      <c r="AI1607" s="32"/>
      <c r="AJ1607" s="32"/>
      <c r="AK1607" s="32"/>
      <c r="AL1607" s="32"/>
      <c r="AM1607" s="32"/>
      <c r="AN1607" s="32"/>
      <c r="AO1607" s="32"/>
      <c r="AP1607" s="29"/>
    </row>
    <row r="1608">
      <c r="A1608" s="115"/>
      <c r="B1608" s="116"/>
      <c r="C1608" s="115"/>
      <c r="D1608" s="115"/>
      <c r="E1608" s="115"/>
      <c r="F1608" s="115"/>
      <c r="G1608" s="115"/>
      <c r="H1608" s="115"/>
      <c r="I1608" s="115"/>
      <c r="J1608" s="115"/>
      <c r="K1608" s="115"/>
      <c r="L1608" s="115"/>
      <c r="O1608" s="116"/>
      <c r="Q1608" s="116"/>
      <c r="T1608" s="114"/>
      <c r="Y1608" s="118"/>
      <c r="Z1608" s="29"/>
      <c r="AA1608" s="29"/>
      <c r="AB1608" s="29"/>
      <c r="AC1608" s="29"/>
      <c r="AD1608" s="29"/>
      <c r="AE1608" s="29"/>
      <c r="AF1608" s="29"/>
      <c r="AG1608" s="29"/>
      <c r="AH1608" s="123"/>
      <c r="AI1608" s="32"/>
      <c r="AJ1608" s="32"/>
      <c r="AK1608" s="32"/>
      <c r="AL1608" s="32"/>
      <c r="AM1608" s="32"/>
      <c r="AN1608" s="32"/>
      <c r="AO1608" s="32"/>
      <c r="AP1608" s="29"/>
    </row>
    <row r="1609">
      <c r="A1609" s="115"/>
      <c r="B1609" s="116"/>
      <c r="C1609" s="115"/>
      <c r="D1609" s="115"/>
      <c r="E1609" s="115"/>
      <c r="F1609" s="115"/>
      <c r="G1609" s="115"/>
      <c r="H1609" s="115"/>
      <c r="I1609" s="115"/>
      <c r="J1609" s="115"/>
      <c r="K1609" s="115"/>
      <c r="L1609" s="115"/>
      <c r="O1609" s="116"/>
      <c r="Q1609" s="116"/>
      <c r="T1609" s="114"/>
      <c r="Y1609" s="118"/>
      <c r="Z1609" s="29"/>
      <c r="AA1609" s="29"/>
      <c r="AB1609" s="29"/>
      <c r="AC1609" s="29"/>
      <c r="AD1609" s="29"/>
      <c r="AE1609" s="29"/>
      <c r="AF1609" s="29"/>
      <c r="AG1609" s="29"/>
      <c r="AH1609" s="123"/>
      <c r="AI1609" s="32"/>
      <c r="AJ1609" s="32"/>
      <c r="AK1609" s="32"/>
      <c r="AL1609" s="32"/>
      <c r="AM1609" s="32"/>
      <c r="AN1609" s="32"/>
      <c r="AO1609" s="32"/>
      <c r="AP1609" s="29"/>
    </row>
    <row r="1610">
      <c r="A1610" s="115"/>
      <c r="B1610" s="116"/>
      <c r="C1610" s="115"/>
      <c r="D1610" s="115"/>
      <c r="E1610" s="115"/>
      <c r="F1610" s="115"/>
      <c r="G1610" s="115"/>
      <c r="H1610" s="115"/>
      <c r="I1610" s="115"/>
      <c r="J1610" s="115"/>
      <c r="K1610" s="115"/>
      <c r="L1610" s="115"/>
      <c r="O1610" s="116"/>
      <c r="Q1610" s="116"/>
      <c r="T1610" s="114"/>
      <c r="Y1610" s="118"/>
      <c r="Z1610" s="29"/>
      <c r="AA1610" s="29"/>
      <c r="AB1610" s="29"/>
      <c r="AC1610" s="29"/>
      <c r="AD1610" s="29"/>
      <c r="AE1610" s="29"/>
      <c r="AF1610" s="29"/>
      <c r="AG1610" s="29"/>
      <c r="AH1610" s="123"/>
      <c r="AI1610" s="32"/>
      <c r="AJ1610" s="32"/>
      <c r="AK1610" s="32"/>
      <c r="AL1610" s="32"/>
      <c r="AM1610" s="32"/>
      <c r="AN1610" s="32"/>
      <c r="AO1610" s="32"/>
      <c r="AP1610" s="29"/>
    </row>
    <row r="1611">
      <c r="A1611" s="115"/>
      <c r="B1611" s="116"/>
      <c r="C1611" s="115"/>
      <c r="D1611" s="115"/>
      <c r="E1611" s="115"/>
      <c r="F1611" s="115"/>
      <c r="G1611" s="115"/>
      <c r="H1611" s="115"/>
      <c r="I1611" s="115"/>
      <c r="J1611" s="115"/>
      <c r="K1611" s="115"/>
      <c r="L1611" s="115"/>
      <c r="O1611" s="116"/>
      <c r="Q1611" s="116"/>
      <c r="T1611" s="114"/>
      <c r="Y1611" s="118"/>
      <c r="Z1611" s="29"/>
      <c r="AA1611" s="29"/>
      <c r="AB1611" s="29"/>
      <c r="AC1611" s="29"/>
      <c r="AD1611" s="29"/>
      <c r="AE1611" s="29"/>
      <c r="AF1611" s="29"/>
      <c r="AG1611" s="29"/>
      <c r="AH1611" s="123"/>
      <c r="AI1611" s="32"/>
      <c r="AJ1611" s="32"/>
      <c r="AK1611" s="32"/>
      <c r="AL1611" s="32"/>
      <c r="AM1611" s="32"/>
      <c r="AN1611" s="32"/>
      <c r="AO1611" s="32"/>
      <c r="AP1611" s="29"/>
    </row>
    <row r="1612">
      <c r="A1612" s="115"/>
      <c r="B1612" s="116"/>
      <c r="C1612" s="115"/>
      <c r="D1612" s="115"/>
      <c r="E1612" s="115"/>
      <c r="F1612" s="115"/>
      <c r="G1612" s="115"/>
      <c r="H1612" s="115"/>
      <c r="I1612" s="115"/>
      <c r="J1612" s="115"/>
      <c r="K1612" s="115"/>
      <c r="L1612" s="115"/>
      <c r="O1612" s="116"/>
      <c r="Q1612" s="116"/>
      <c r="T1612" s="114"/>
      <c r="Y1612" s="118"/>
      <c r="Z1612" s="29"/>
      <c r="AA1612" s="29"/>
      <c r="AB1612" s="29"/>
      <c r="AC1612" s="29"/>
      <c r="AD1612" s="29"/>
      <c r="AE1612" s="29"/>
      <c r="AF1612" s="29"/>
      <c r="AG1612" s="29"/>
      <c r="AH1612" s="123"/>
      <c r="AI1612" s="32"/>
      <c r="AJ1612" s="32"/>
      <c r="AK1612" s="32"/>
      <c r="AL1612" s="32"/>
      <c r="AM1612" s="32"/>
      <c r="AN1612" s="32"/>
      <c r="AO1612" s="32"/>
      <c r="AP1612" s="29"/>
    </row>
    <row r="1613">
      <c r="A1613" s="115"/>
      <c r="B1613" s="116"/>
      <c r="C1613" s="115"/>
      <c r="D1613" s="115"/>
      <c r="E1613" s="115"/>
      <c r="F1613" s="115"/>
      <c r="G1613" s="115"/>
      <c r="H1613" s="115"/>
      <c r="I1613" s="115"/>
      <c r="J1613" s="115"/>
      <c r="K1613" s="115"/>
      <c r="L1613" s="115"/>
      <c r="O1613" s="116"/>
      <c r="Q1613" s="116"/>
      <c r="T1613" s="114"/>
      <c r="Y1613" s="118"/>
      <c r="Z1613" s="29"/>
      <c r="AA1613" s="29"/>
      <c r="AB1613" s="29"/>
      <c r="AC1613" s="29"/>
      <c r="AD1613" s="29"/>
      <c r="AE1613" s="29"/>
      <c r="AF1613" s="29"/>
      <c r="AG1613" s="29"/>
      <c r="AH1613" s="123"/>
      <c r="AI1613" s="32"/>
      <c r="AJ1613" s="32"/>
      <c r="AK1613" s="32"/>
      <c r="AL1613" s="32"/>
      <c r="AM1613" s="32"/>
      <c r="AN1613" s="32"/>
      <c r="AO1613" s="32"/>
      <c r="AP1613" s="29"/>
    </row>
    <row r="1614">
      <c r="A1614" s="115"/>
      <c r="B1614" s="116"/>
      <c r="C1614" s="115"/>
      <c r="D1614" s="115"/>
      <c r="E1614" s="115"/>
      <c r="F1614" s="115"/>
      <c r="G1614" s="115"/>
      <c r="H1614" s="115"/>
      <c r="I1614" s="115"/>
      <c r="J1614" s="115"/>
      <c r="K1614" s="115"/>
      <c r="L1614" s="115"/>
      <c r="O1614" s="116"/>
      <c r="Q1614" s="116"/>
      <c r="T1614" s="114"/>
      <c r="Y1614" s="118"/>
      <c r="Z1614" s="29"/>
      <c r="AA1614" s="29"/>
      <c r="AB1614" s="29"/>
      <c r="AC1614" s="29"/>
      <c r="AD1614" s="29"/>
      <c r="AE1614" s="29"/>
      <c r="AF1614" s="29"/>
      <c r="AG1614" s="29"/>
      <c r="AH1614" s="123"/>
      <c r="AI1614" s="32"/>
      <c r="AJ1614" s="32"/>
      <c r="AK1614" s="32"/>
      <c r="AL1614" s="32"/>
      <c r="AM1614" s="32"/>
      <c r="AN1614" s="32"/>
      <c r="AO1614" s="32"/>
      <c r="AP1614" s="29"/>
    </row>
    <row r="1615">
      <c r="A1615" s="115"/>
      <c r="B1615" s="116"/>
      <c r="C1615" s="115"/>
      <c r="D1615" s="115"/>
      <c r="E1615" s="115"/>
      <c r="F1615" s="115"/>
      <c r="G1615" s="115"/>
      <c r="H1615" s="115"/>
      <c r="I1615" s="115"/>
      <c r="J1615" s="115"/>
      <c r="K1615" s="115"/>
      <c r="L1615" s="115"/>
      <c r="O1615" s="116"/>
      <c r="Q1615" s="116"/>
      <c r="T1615" s="114"/>
      <c r="Y1615" s="118"/>
      <c r="Z1615" s="29"/>
      <c r="AA1615" s="29"/>
      <c r="AB1615" s="29"/>
      <c r="AC1615" s="29"/>
      <c r="AD1615" s="29"/>
      <c r="AE1615" s="29"/>
      <c r="AF1615" s="29"/>
      <c r="AG1615" s="29"/>
      <c r="AH1615" s="123"/>
      <c r="AI1615" s="32"/>
      <c r="AJ1615" s="32"/>
      <c r="AK1615" s="32"/>
      <c r="AL1615" s="32"/>
      <c r="AM1615" s="32"/>
      <c r="AN1615" s="32"/>
      <c r="AO1615" s="32"/>
      <c r="AP1615" s="29"/>
    </row>
    <row r="1616">
      <c r="A1616" s="115"/>
      <c r="B1616" s="116"/>
      <c r="C1616" s="115"/>
      <c r="D1616" s="115"/>
      <c r="E1616" s="115"/>
      <c r="F1616" s="115"/>
      <c r="G1616" s="115"/>
      <c r="H1616" s="115"/>
      <c r="I1616" s="115"/>
      <c r="J1616" s="115"/>
      <c r="K1616" s="115"/>
      <c r="L1616" s="115"/>
      <c r="O1616" s="116"/>
      <c r="Q1616" s="116"/>
      <c r="T1616" s="114"/>
      <c r="Y1616" s="118"/>
      <c r="Z1616" s="29"/>
      <c r="AA1616" s="29"/>
      <c r="AB1616" s="29"/>
      <c r="AC1616" s="29"/>
      <c r="AD1616" s="29"/>
      <c r="AE1616" s="29"/>
      <c r="AF1616" s="29"/>
      <c r="AG1616" s="29"/>
      <c r="AH1616" s="123"/>
      <c r="AI1616" s="32"/>
      <c r="AJ1616" s="32"/>
      <c r="AK1616" s="32"/>
      <c r="AL1616" s="32"/>
      <c r="AM1616" s="32"/>
      <c r="AN1616" s="32"/>
      <c r="AO1616" s="32"/>
      <c r="AP1616" s="29"/>
    </row>
    <row r="1617">
      <c r="A1617" s="115"/>
      <c r="B1617" s="116"/>
      <c r="C1617" s="115"/>
      <c r="D1617" s="115"/>
      <c r="E1617" s="115"/>
      <c r="F1617" s="115"/>
      <c r="G1617" s="115"/>
      <c r="H1617" s="115"/>
      <c r="I1617" s="115"/>
      <c r="J1617" s="115"/>
      <c r="K1617" s="115"/>
      <c r="L1617" s="115"/>
      <c r="O1617" s="116"/>
      <c r="Q1617" s="116"/>
      <c r="T1617" s="114"/>
      <c r="Y1617" s="118"/>
      <c r="Z1617" s="29"/>
      <c r="AA1617" s="29"/>
      <c r="AB1617" s="29"/>
      <c r="AC1617" s="29"/>
      <c r="AD1617" s="29"/>
      <c r="AE1617" s="29"/>
      <c r="AF1617" s="29"/>
      <c r="AG1617" s="29"/>
      <c r="AH1617" s="123"/>
      <c r="AI1617" s="32"/>
      <c r="AJ1617" s="32"/>
      <c r="AK1617" s="32"/>
      <c r="AL1617" s="32"/>
      <c r="AM1617" s="32"/>
      <c r="AN1617" s="32"/>
      <c r="AO1617" s="32"/>
      <c r="AP1617" s="29"/>
    </row>
    <row r="1618">
      <c r="A1618" s="115"/>
      <c r="B1618" s="116"/>
      <c r="C1618" s="115"/>
      <c r="D1618" s="115"/>
      <c r="E1618" s="115"/>
      <c r="F1618" s="115"/>
      <c r="G1618" s="115"/>
      <c r="H1618" s="115"/>
      <c r="I1618" s="115"/>
      <c r="J1618" s="115"/>
      <c r="K1618" s="115"/>
      <c r="L1618" s="115"/>
      <c r="O1618" s="116"/>
      <c r="Q1618" s="116"/>
      <c r="T1618" s="114"/>
      <c r="Y1618" s="118"/>
      <c r="Z1618" s="29"/>
      <c r="AA1618" s="29"/>
      <c r="AB1618" s="29"/>
      <c r="AC1618" s="29"/>
      <c r="AD1618" s="29"/>
      <c r="AE1618" s="29"/>
      <c r="AF1618" s="29"/>
      <c r="AG1618" s="29"/>
      <c r="AH1618" s="123"/>
      <c r="AI1618" s="32"/>
      <c r="AJ1618" s="32"/>
      <c r="AK1618" s="32"/>
      <c r="AL1618" s="32"/>
      <c r="AM1618" s="32"/>
      <c r="AN1618" s="32"/>
      <c r="AO1618" s="32"/>
      <c r="AP1618" s="29"/>
    </row>
    <row r="1619">
      <c r="A1619" s="115"/>
      <c r="B1619" s="116"/>
      <c r="C1619" s="115"/>
      <c r="D1619" s="115"/>
      <c r="E1619" s="115"/>
      <c r="F1619" s="115"/>
      <c r="G1619" s="115"/>
      <c r="H1619" s="115"/>
      <c r="I1619" s="115"/>
      <c r="J1619" s="115"/>
      <c r="K1619" s="115"/>
      <c r="L1619" s="115"/>
      <c r="O1619" s="116"/>
      <c r="Q1619" s="116"/>
      <c r="T1619" s="114"/>
      <c r="Y1619" s="118"/>
      <c r="Z1619" s="29"/>
      <c r="AA1619" s="29"/>
      <c r="AB1619" s="29"/>
      <c r="AC1619" s="29"/>
      <c r="AD1619" s="29"/>
      <c r="AE1619" s="29"/>
      <c r="AF1619" s="29"/>
      <c r="AG1619" s="29"/>
      <c r="AH1619" s="123"/>
      <c r="AI1619" s="32"/>
      <c r="AJ1619" s="32"/>
      <c r="AK1619" s="32"/>
      <c r="AL1619" s="32"/>
      <c r="AM1619" s="32"/>
      <c r="AN1619" s="32"/>
      <c r="AO1619" s="32"/>
      <c r="AP1619" s="29"/>
    </row>
    <row r="1620">
      <c r="A1620" s="115"/>
      <c r="B1620" s="116"/>
      <c r="C1620" s="115"/>
      <c r="D1620" s="115"/>
      <c r="E1620" s="115"/>
      <c r="F1620" s="115"/>
      <c r="G1620" s="115"/>
      <c r="H1620" s="115"/>
      <c r="I1620" s="115"/>
      <c r="J1620" s="115"/>
      <c r="K1620" s="115"/>
      <c r="L1620" s="115"/>
      <c r="O1620" s="116"/>
      <c r="Q1620" s="116"/>
      <c r="T1620" s="114"/>
      <c r="Y1620" s="118"/>
      <c r="Z1620" s="29"/>
      <c r="AA1620" s="29"/>
      <c r="AB1620" s="29"/>
      <c r="AC1620" s="29"/>
      <c r="AD1620" s="29"/>
      <c r="AE1620" s="29"/>
      <c r="AF1620" s="29"/>
      <c r="AG1620" s="29"/>
      <c r="AH1620" s="123"/>
      <c r="AI1620" s="32"/>
      <c r="AJ1620" s="32"/>
      <c r="AK1620" s="32"/>
      <c r="AL1620" s="32"/>
      <c r="AM1620" s="32"/>
      <c r="AN1620" s="32"/>
      <c r="AO1620" s="32"/>
      <c r="AP1620" s="29"/>
    </row>
    <row r="1621">
      <c r="A1621" s="115"/>
      <c r="B1621" s="116"/>
      <c r="C1621" s="115"/>
      <c r="D1621" s="115"/>
      <c r="E1621" s="115"/>
      <c r="F1621" s="115"/>
      <c r="G1621" s="115"/>
      <c r="H1621" s="115"/>
      <c r="I1621" s="115"/>
      <c r="J1621" s="115"/>
      <c r="K1621" s="115"/>
      <c r="L1621" s="115"/>
      <c r="O1621" s="116"/>
      <c r="Q1621" s="116"/>
      <c r="T1621" s="114"/>
      <c r="Y1621" s="118"/>
      <c r="Z1621" s="29"/>
      <c r="AA1621" s="29"/>
      <c r="AB1621" s="29"/>
      <c r="AC1621" s="29"/>
      <c r="AD1621" s="29"/>
      <c r="AE1621" s="29"/>
      <c r="AF1621" s="29"/>
      <c r="AG1621" s="29"/>
      <c r="AH1621" s="123"/>
      <c r="AI1621" s="32"/>
      <c r="AJ1621" s="32"/>
      <c r="AK1621" s="32"/>
      <c r="AL1621" s="32"/>
      <c r="AM1621" s="32"/>
      <c r="AN1621" s="32"/>
      <c r="AO1621" s="32"/>
      <c r="AP1621" s="29"/>
    </row>
    <row r="1622">
      <c r="A1622" s="115"/>
      <c r="B1622" s="116"/>
      <c r="C1622" s="115"/>
      <c r="D1622" s="115"/>
      <c r="E1622" s="115"/>
      <c r="F1622" s="115"/>
      <c r="G1622" s="115"/>
      <c r="H1622" s="115"/>
      <c r="I1622" s="115"/>
      <c r="J1622" s="115"/>
      <c r="K1622" s="115"/>
      <c r="L1622" s="115"/>
      <c r="O1622" s="116"/>
      <c r="Q1622" s="116"/>
      <c r="T1622" s="114"/>
      <c r="Y1622" s="118"/>
      <c r="Z1622" s="29"/>
      <c r="AA1622" s="29"/>
      <c r="AB1622" s="29"/>
      <c r="AC1622" s="29"/>
      <c r="AD1622" s="29"/>
      <c r="AE1622" s="29"/>
      <c r="AF1622" s="29"/>
      <c r="AG1622" s="29"/>
      <c r="AH1622" s="123"/>
      <c r="AI1622" s="32"/>
      <c r="AJ1622" s="32"/>
      <c r="AK1622" s="32"/>
      <c r="AL1622" s="32"/>
      <c r="AM1622" s="32"/>
      <c r="AN1622" s="32"/>
      <c r="AO1622" s="32"/>
      <c r="AP1622" s="29"/>
    </row>
    <row r="1623">
      <c r="A1623" s="115"/>
      <c r="B1623" s="116"/>
      <c r="C1623" s="115"/>
      <c r="D1623" s="115"/>
      <c r="E1623" s="115"/>
      <c r="F1623" s="115"/>
      <c r="G1623" s="115"/>
      <c r="H1623" s="115"/>
      <c r="I1623" s="115"/>
      <c r="J1623" s="115"/>
      <c r="K1623" s="115"/>
      <c r="L1623" s="115"/>
      <c r="O1623" s="116"/>
      <c r="Q1623" s="116"/>
      <c r="T1623" s="114"/>
      <c r="Y1623" s="118"/>
      <c r="Z1623" s="29"/>
      <c r="AA1623" s="29"/>
      <c r="AB1623" s="29"/>
      <c r="AC1623" s="29"/>
      <c r="AD1623" s="29"/>
      <c r="AE1623" s="29"/>
      <c r="AF1623" s="29"/>
      <c r="AG1623" s="29"/>
      <c r="AH1623" s="123"/>
      <c r="AI1623" s="32"/>
      <c r="AJ1623" s="32"/>
      <c r="AK1623" s="32"/>
      <c r="AL1623" s="32"/>
      <c r="AM1623" s="32"/>
      <c r="AN1623" s="32"/>
      <c r="AO1623" s="32"/>
      <c r="AP1623" s="29"/>
    </row>
    <row r="1624">
      <c r="A1624" s="115"/>
      <c r="B1624" s="116"/>
      <c r="C1624" s="115"/>
      <c r="D1624" s="115"/>
      <c r="E1624" s="115"/>
      <c r="F1624" s="115"/>
      <c r="G1624" s="115"/>
      <c r="H1624" s="115"/>
      <c r="I1624" s="115"/>
      <c r="J1624" s="115"/>
      <c r="K1624" s="115"/>
      <c r="L1624" s="115"/>
      <c r="O1624" s="116"/>
      <c r="Q1624" s="116"/>
      <c r="T1624" s="114"/>
      <c r="Y1624" s="118"/>
      <c r="Z1624" s="29"/>
      <c r="AA1624" s="29"/>
      <c r="AB1624" s="29"/>
      <c r="AC1624" s="29"/>
      <c r="AD1624" s="29"/>
      <c r="AE1624" s="29"/>
      <c r="AF1624" s="29"/>
      <c r="AG1624" s="29"/>
      <c r="AH1624" s="123"/>
      <c r="AI1624" s="32"/>
      <c r="AJ1624" s="32"/>
      <c r="AK1624" s="32"/>
      <c r="AL1624" s="32"/>
      <c r="AM1624" s="32"/>
      <c r="AN1624" s="32"/>
      <c r="AO1624" s="32"/>
      <c r="AP1624" s="29"/>
    </row>
    <row r="1625">
      <c r="A1625" s="115"/>
      <c r="B1625" s="116"/>
      <c r="C1625" s="115"/>
      <c r="D1625" s="115"/>
      <c r="E1625" s="115"/>
      <c r="F1625" s="115"/>
      <c r="G1625" s="115"/>
      <c r="H1625" s="115"/>
      <c r="I1625" s="115"/>
      <c r="J1625" s="115"/>
      <c r="K1625" s="115"/>
      <c r="L1625" s="115"/>
      <c r="O1625" s="116"/>
      <c r="Q1625" s="116"/>
      <c r="T1625" s="114"/>
      <c r="Y1625" s="118"/>
      <c r="Z1625" s="29"/>
      <c r="AA1625" s="29"/>
      <c r="AB1625" s="29"/>
      <c r="AC1625" s="29"/>
      <c r="AD1625" s="29"/>
      <c r="AE1625" s="29"/>
      <c r="AF1625" s="29"/>
      <c r="AG1625" s="29"/>
      <c r="AH1625" s="123"/>
      <c r="AI1625" s="32"/>
      <c r="AJ1625" s="32"/>
      <c r="AK1625" s="32"/>
      <c r="AL1625" s="32"/>
      <c r="AM1625" s="32"/>
      <c r="AN1625" s="32"/>
      <c r="AO1625" s="32"/>
      <c r="AP1625" s="29"/>
    </row>
    <row r="1626">
      <c r="A1626" s="115"/>
      <c r="B1626" s="116"/>
      <c r="C1626" s="115"/>
      <c r="D1626" s="115"/>
      <c r="E1626" s="115"/>
      <c r="F1626" s="115"/>
      <c r="G1626" s="115"/>
      <c r="H1626" s="115"/>
      <c r="I1626" s="115"/>
      <c r="J1626" s="115"/>
      <c r="K1626" s="115"/>
      <c r="L1626" s="115"/>
      <c r="O1626" s="116"/>
      <c r="Q1626" s="116"/>
      <c r="T1626" s="114"/>
      <c r="Y1626" s="118"/>
      <c r="Z1626" s="29"/>
      <c r="AA1626" s="29"/>
      <c r="AB1626" s="29"/>
      <c r="AC1626" s="29"/>
      <c r="AD1626" s="29"/>
      <c r="AE1626" s="29"/>
      <c r="AF1626" s="29"/>
      <c r="AG1626" s="29"/>
      <c r="AH1626" s="123"/>
      <c r="AI1626" s="32"/>
      <c r="AJ1626" s="32"/>
      <c r="AK1626" s="32"/>
      <c r="AL1626" s="32"/>
      <c r="AM1626" s="32"/>
      <c r="AN1626" s="32"/>
      <c r="AO1626" s="32"/>
      <c r="AP1626" s="29"/>
    </row>
    <row r="1627">
      <c r="A1627" s="115"/>
      <c r="B1627" s="116"/>
      <c r="C1627" s="115"/>
      <c r="D1627" s="115"/>
      <c r="E1627" s="115"/>
      <c r="F1627" s="115"/>
      <c r="G1627" s="115"/>
      <c r="H1627" s="115"/>
      <c r="I1627" s="115"/>
      <c r="J1627" s="115"/>
      <c r="K1627" s="115"/>
      <c r="L1627" s="115"/>
      <c r="O1627" s="116"/>
      <c r="Q1627" s="116"/>
      <c r="T1627" s="114"/>
      <c r="Y1627" s="118"/>
      <c r="Z1627" s="29"/>
      <c r="AA1627" s="29"/>
      <c r="AB1627" s="29"/>
      <c r="AC1627" s="29"/>
      <c r="AD1627" s="29"/>
      <c r="AE1627" s="29"/>
      <c r="AF1627" s="29"/>
      <c r="AG1627" s="29"/>
      <c r="AH1627" s="123"/>
      <c r="AI1627" s="32"/>
      <c r="AJ1627" s="32"/>
      <c r="AK1627" s="32"/>
      <c r="AL1627" s="32"/>
      <c r="AM1627" s="32"/>
      <c r="AN1627" s="32"/>
      <c r="AO1627" s="32"/>
      <c r="AP1627" s="29"/>
    </row>
    <row r="1628">
      <c r="A1628" s="115"/>
      <c r="B1628" s="116"/>
      <c r="C1628" s="115"/>
      <c r="D1628" s="115"/>
      <c r="E1628" s="115"/>
      <c r="F1628" s="115"/>
      <c r="G1628" s="115"/>
      <c r="H1628" s="115"/>
      <c r="I1628" s="115"/>
      <c r="J1628" s="115"/>
      <c r="K1628" s="115"/>
      <c r="L1628" s="115"/>
      <c r="O1628" s="116"/>
      <c r="Q1628" s="116"/>
      <c r="T1628" s="114"/>
      <c r="Y1628" s="118"/>
      <c r="Z1628" s="29"/>
      <c r="AA1628" s="29"/>
      <c r="AB1628" s="29"/>
      <c r="AC1628" s="29"/>
      <c r="AD1628" s="29"/>
      <c r="AE1628" s="29"/>
      <c r="AF1628" s="29"/>
      <c r="AG1628" s="29"/>
      <c r="AH1628" s="123"/>
      <c r="AI1628" s="32"/>
      <c r="AJ1628" s="32"/>
      <c r="AK1628" s="32"/>
      <c r="AL1628" s="32"/>
      <c r="AM1628" s="32"/>
      <c r="AN1628" s="32"/>
      <c r="AO1628" s="32"/>
      <c r="AP1628" s="29"/>
    </row>
    <row r="1629">
      <c r="A1629" s="115"/>
      <c r="B1629" s="116"/>
      <c r="C1629" s="115"/>
      <c r="D1629" s="115"/>
      <c r="E1629" s="115"/>
      <c r="F1629" s="115"/>
      <c r="G1629" s="115"/>
      <c r="H1629" s="115"/>
      <c r="I1629" s="115"/>
      <c r="J1629" s="115"/>
      <c r="K1629" s="115"/>
      <c r="L1629" s="115"/>
      <c r="O1629" s="116"/>
      <c r="Q1629" s="116"/>
      <c r="T1629" s="114"/>
      <c r="Y1629" s="118"/>
      <c r="Z1629" s="29"/>
      <c r="AA1629" s="29"/>
      <c r="AB1629" s="29"/>
      <c r="AC1629" s="29"/>
      <c r="AD1629" s="29"/>
      <c r="AE1629" s="29"/>
      <c r="AF1629" s="29"/>
      <c r="AG1629" s="29"/>
      <c r="AH1629" s="123"/>
      <c r="AI1629" s="32"/>
      <c r="AJ1629" s="32"/>
      <c r="AK1629" s="32"/>
      <c r="AL1629" s="32"/>
      <c r="AM1629" s="32"/>
      <c r="AN1629" s="32"/>
      <c r="AO1629" s="32"/>
      <c r="AP1629" s="29"/>
    </row>
    <row r="1630">
      <c r="A1630" s="115"/>
      <c r="B1630" s="116"/>
      <c r="C1630" s="115"/>
      <c r="D1630" s="115"/>
      <c r="E1630" s="115"/>
      <c r="F1630" s="115"/>
      <c r="G1630" s="115"/>
      <c r="H1630" s="115"/>
      <c r="I1630" s="115"/>
      <c r="J1630" s="115"/>
      <c r="K1630" s="115"/>
      <c r="L1630" s="115"/>
      <c r="O1630" s="116"/>
      <c r="Q1630" s="116"/>
      <c r="T1630" s="114"/>
      <c r="Y1630" s="118"/>
      <c r="Z1630" s="29"/>
      <c r="AA1630" s="29"/>
      <c r="AB1630" s="29"/>
      <c r="AC1630" s="29"/>
      <c r="AD1630" s="29"/>
      <c r="AE1630" s="29"/>
      <c r="AF1630" s="29"/>
      <c r="AG1630" s="29"/>
      <c r="AH1630" s="123"/>
      <c r="AI1630" s="32"/>
      <c r="AJ1630" s="32"/>
      <c r="AK1630" s="32"/>
      <c r="AL1630" s="32"/>
      <c r="AM1630" s="32"/>
      <c r="AN1630" s="32"/>
      <c r="AO1630" s="32"/>
      <c r="AP1630" s="29"/>
    </row>
    <row r="1631">
      <c r="A1631" s="115"/>
      <c r="B1631" s="116"/>
      <c r="C1631" s="115"/>
      <c r="D1631" s="115"/>
      <c r="E1631" s="115"/>
      <c r="F1631" s="115"/>
      <c r="G1631" s="115"/>
      <c r="H1631" s="115"/>
      <c r="I1631" s="115"/>
      <c r="J1631" s="115"/>
      <c r="K1631" s="115"/>
      <c r="L1631" s="115"/>
      <c r="O1631" s="116"/>
      <c r="Q1631" s="116"/>
      <c r="T1631" s="114"/>
      <c r="Y1631" s="118"/>
      <c r="Z1631" s="29"/>
      <c r="AA1631" s="29"/>
      <c r="AB1631" s="29"/>
      <c r="AC1631" s="29"/>
      <c r="AD1631" s="29"/>
      <c r="AE1631" s="29"/>
      <c r="AF1631" s="29"/>
      <c r="AG1631" s="29"/>
      <c r="AH1631" s="123"/>
      <c r="AI1631" s="32"/>
      <c r="AJ1631" s="32"/>
      <c r="AK1631" s="32"/>
      <c r="AL1631" s="32"/>
      <c r="AM1631" s="32"/>
      <c r="AN1631" s="32"/>
      <c r="AO1631" s="32"/>
      <c r="AP1631" s="29"/>
    </row>
    <row r="1632">
      <c r="A1632" s="115"/>
      <c r="B1632" s="116"/>
      <c r="C1632" s="115"/>
      <c r="D1632" s="115"/>
      <c r="E1632" s="115"/>
      <c r="F1632" s="115"/>
      <c r="G1632" s="115"/>
      <c r="H1632" s="115"/>
      <c r="I1632" s="115"/>
      <c r="J1632" s="115"/>
      <c r="K1632" s="115"/>
      <c r="L1632" s="115"/>
      <c r="O1632" s="116"/>
      <c r="Q1632" s="116"/>
      <c r="T1632" s="114"/>
      <c r="Y1632" s="118"/>
      <c r="Z1632" s="29"/>
      <c r="AA1632" s="29"/>
      <c r="AB1632" s="29"/>
      <c r="AC1632" s="29"/>
      <c r="AD1632" s="29"/>
      <c r="AE1632" s="29"/>
      <c r="AF1632" s="29"/>
      <c r="AG1632" s="29"/>
      <c r="AH1632" s="123"/>
      <c r="AI1632" s="32"/>
      <c r="AJ1632" s="32"/>
      <c r="AK1632" s="32"/>
      <c r="AL1632" s="32"/>
      <c r="AM1632" s="32"/>
      <c r="AN1632" s="32"/>
      <c r="AO1632" s="32"/>
      <c r="AP1632" s="29"/>
    </row>
    <row r="1633">
      <c r="A1633" s="115"/>
      <c r="B1633" s="116"/>
      <c r="C1633" s="115"/>
      <c r="D1633" s="115"/>
      <c r="E1633" s="115"/>
      <c r="F1633" s="115"/>
      <c r="G1633" s="115"/>
      <c r="H1633" s="115"/>
      <c r="I1633" s="115"/>
      <c r="J1633" s="115"/>
      <c r="K1633" s="115"/>
      <c r="L1633" s="115"/>
      <c r="O1633" s="116"/>
      <c r="Q1633" s="116"/>
      <c r="T1633" s="114"/>
      <c r="Y1633" s="118"/>
      <c r="Z1633" s="29"/>
      <c r="AA1633" s="29"/>
      <c r="AB1633" s="29"/>
      <c r="AC1633" s="29"/>
      <c r="AD1633" s="29"/>
      <c r="AE1633" s="29"/>
      <c r="AF1633" s="29"/>
      <c r="AG1633" s="29"/>
      <c r="AH1633" s="123"/>
      <c r="AI1633" s="32"/>
      <c r="AJ1633" s="32"/>
      <c r="AK1633" s="32"/>
      <c r="AL1633" s="32"/>
      <c r="AM1633" s="32"/>
      <c r="AN1633" s="32"/>
      <c r="AO1633" s="32"/>
      <c r="AP1633" s="29"/>
    </row>
    <row r="1634">
      <c r="A1634" s="115"/>
      <c r="B1634" s="116"/>
      <c r="C1634" s="115"/>
      <c r="D1634" s="115"/>
      <c r="E1634" s="115"/>
      <c r="F1634" s="115"/>
      <c r="G1634" s="115"/>
      <c r="H1634" s="115"/>
      <c r="I1634" s="115"/>
      <c r="J1634" s="115"/>
      <c r="K1634" s="115"/>
      <c r="L1634" s="115"/>
      <c r="O1634" s="116"/>
      <c r="Q1634" s="116"/>
      <c r="T1634" s="114"/>
      <c r="Y1634" s="118"/>
      <c r="Z1634" s="29"/>
      <c r="AA1634" s="29"/>
      <c r="AB1634" s="29"/>
      <c r="AC1634" s="29"/>
      <c r="AD1634" s="29"/>
      <c r="AE1634" s="29"/>
      <c r="AF1634" s="29"/>
      <c r="AG1634" s="29"/>
      <c r="AH1634" s="123"/>
      <c r="AI1634" s="32"/>
      <c r="AJ1634" s="32"/>
      <c r="AK1634" s="32"/>
      <c r="AL1634" s="32"/>
      <c r="AM1634" s="32"/>
      <c r="AN1634" s="32"/>
      <c r="AO1634" s="32"/>
      <c r="AP1634" s="29"/>
    </row>
    <row r="1635">
      <c r="A1635" s="115"/>
      <c r="B1635" s="116"/>
      <c r="C1635" s="115"/>
      <c r="D1635" s="115"/>
      <c r="E1635" s="115"/>
      <c r="F1635" s="115"/>
      <c r="G1635" s="115"/>
      <c r="H1635" s="115"/>
      <c r="I1635" s="115"/>
      <c r="J1635" s="115"/>
      <c r="K1635" s="115"/>
      <c r="L1635" s="115"/>
      <c r="O1635" s="116"/>
      <c r="Q1635" s="116"/>
      <c r="T1635" s="114"/>
      <c r="Y1635" s="118"/>
      <c r="Z1635" s="29"/>
      <c r="AA1635" s="29"/>
      <c r="AB1635" s="29"/>
      <c r="AC1635" s="29"/>
      <c r="AD1635" s="29"/>
      <c r="AE1635" s="29"/>
      <c r="AF1635" s="29"/>
      <c r="AG1635" s="29"/>
      <c r="AH1635" s="123"/>
      <c r="AI1635" s="32"/>
      <c r="AJ1635" s="32"/>
      <c r="AK1635" s="32"/>
      <c r="AL1635" s="32"/>
      <c r="AM1635" s="32"/>
      <c r="AN1635" s="32"/>
      <c r="AO1635" s="32"/>
      <c r="AP1635" s="29"/>
    </row>
    <row r="1636">
      <c r="A1636" s="115"/>
      <c r="B1636" s="116"/>
      <c r="C1636" s="115"/>
      <c r="D1636" s="115"/>
      <c r="E1636" s="115"/>
      <c r="F1636" s="115"/>
      <c r="G1636" s="115"/>
      <c r="H1636" s="115"/>
      <c r="I1636" s="115"/>
      <c r="J1636" s="115"/>
      <c r="K1636" s="115"/>
      <c r="L1636" s="115"/>
      <c r="O1636" s="116"/>
      <c r="Q1636" s="116"/>
      <c r="T1636" s="114"/>
      <c r="Y1636" s="118"/>
      <c r="Z1636" s="29"/>
      <c r="AA1636" s="29"/>
      <c r="AB1636" s="29"/>
      <c r="AC1636" s="29"/>
      <c r="AD1636" s="29"/>
      <c r="AE1636" s="29"/>
      <c r="AF1636" s="29"/>
      <c r="AG1636" s="29"/>
      <c r="AH1636" s="123"/>
      <c r="AI1636" s="32"/>
      <c r="AJ1636" s="32"/>
      <c r="AK1636" s="32"/>
      <c r="AL1636" s="32"/>
      <c r="AM1636" s="32"/>
      <c r="AN1636" s="32"/>
      <c r="AO1636" s="32"/>
      <c r="AP1636" s="29"/>
    </row>
    <row r="1637">
      <c r="A1637" s="115"/>
      <c r="B1637" s="116"/>
      <c r="C1637" s="115"/>
      <c r="D1637" s="115"/>
      <c r="E1637" s="115"/>
      <c r="F1637" s="115"/>
      <c r="G1637" s="115"/>
      <c r="H1637" s="115"/>
      <c r="I1637" s="115"/>
      <c r="J1637" s="115"/>
      <c r="K1637" s="115"/>
      <c r="L1637" s="115"/>
      <c r="O1637" s="116"/>
      <c r="Q1637" s="116"/>
      <c r="T1637" s="114"/>
      <c r="Y1637" s="118"/>
      <c r="Z1637" s="29"/>
      <c r="AA1637" s="29"/>
      <c r="AB1637" s="29"/>
      <c r="AC1637" s="29"/>
      <c r="AD1637" s="29"/>
      <c r="AE1637" s="29"/>
      <c r="AF1637" s="29"/>
      <c r="AG1637" s="29"/>
      <c r="AH1637" s="123"/>
      <c r="AI1637" s="32"/>
      <c r="AJ1637" s="32"/>
      <c r="AK1637" s="32"/>
      <c r="AL1637" s="32"/>
      <c r="AM1637" s="32"/>
      <c r="AN1637" s="32"/>
      <c r="AO1637" s="32"/>
      <c r="AP1637" s="29"/>
    </row>
    <row r="1638">
      <c r="A1638" s="115"/>
      <c r="B1638" s="116"/>
      <c r="C1638" s="115"/>
      <c r="D1638" s="115"/>
      <c r="E1638" s="115"/>
      <c r="F1638" s="115"/>
      <c r="G1638" s="115"/>
      <c r="H1638" s="115"/>
      <c r="I1638" s="115"/>
      <c r="J1638" s="115"/>
      <c r="K1638" s="115"/>
      <c r="L1638" s="115"/>
      <c r="O1638" s="116"/>
      <c r="Q1638" s="116"/>
      <c r="T1638" s="114"/>
      <c r="Y1638" s="118"/>
      <c r="Z1638" s="29"/>
      <c r="AA1638" s="29"/>
      <c r="AB1638" s="29"/>
      <c r="AC1638" s="29"/>
      <c r="AD1638" s="29"/>
      <c r="AE1638" s="29"/>
      <c r="AF1638" s="29"/>
      <c r="AG1638" s="29"/>
      <c r="AH1638" s="123"/>
      <c r="AI1638" s="32"/>
      <c r="AJ1638" s="32"/>
      <c r="AK1638" s="32"/>
      <c r="AL1638" s="32"/>
      <c r="AM1638" s="32"/>
      <c r="AN1638" s="32"/>
      <c r="AO1638" s="32"/>
      <c r="AP1638" s="29"/>
    </row>
    <row r="1639">
      <c r="A1639" s="115"/>
      <c r="B1639" s="116"/>
      <c r="C1639" s="115"/>
      <c r="D1639" s="115"/>
      <c r="E1639" s="115"/>
      <c r="F1639" s="115"/>
      <c r="G1639" s="115"/>
      <c r="H1639" s="115"/>
      <c r="I1639" s="115"/>
      <c r="J1639" s="115"/>
      <c r="K1639" s="115"/>
      <c r="L1639" s="115"/>
      <c r="O1639" s="116"/>
      <c r="Q1639" s="116"/>
      <c r="T1639" s="114"/>
      <c r="Y1639" s="118"/>
      <c r="Z1639" s="29"/>
      <c r="AA1639" s="29"/>
      <c r="AB1639" s="29"/>
      <c r="AC1639" s="29"/>
      <c r="AD1639" s="29"/>
      <c r="AE1639" s="29"/>
      <c r="AF1639" s="29"/>
      <c r="AG1639" s="29"/>
      <c r="AH1639" s="123"/>
      <c r="AI1639" s="32"/>
      <c r="AJ1639" s="32"/>
      <c r="AK1639" s="32"/>
      <c r="AL1639" s="32"/>
      <c r="AM1639" s="32"/>
      <c r="AN1639" s="32"/>
      <c r="AO1639" s="32"/>
      <c r="AP1639" s="29"/>
    </row>
    <row r="1640">
      <c r="A1640" s="115"/>
      <c r="B1640" s="116"/>
      <c r="C1640" s="115"/>
      <c r="D1640" s="115"/>
      <c r="E1640" s="115"/>
      <c r="F1640" s="115"/>
      <c r="G1640" s="115"/>
      <c r="H1640" s="115"/>
      <c r="I1640" s="115"/>
      <c r="J1640" s="115"/>
      <c r="K1640" s="115"/>
      <c r="L1640" s="115"/>
      <c r="O1640" s="116"/>
      <c r="Q1640" s="116"/>
      <c r="T1640" s="114"/>
      <c r="Y1640" s="118"/>
      <c r="Z1640" s="29"/>
      <c r="AA1640" s="29"/>
      <c r="AB1640" s="29"/>
      <c r="AC1640" s="29"/>
      <c r="AD1640" s="29"/>
      <c r="AE1640" s="29"/>
      <c r="AF1640" s="29"/>
      <c r="AG1640" s="29"/>
      <c r="AH1640" s="123"/>
      <c r="AI1640" s="32"/>
      <c r="AJ1640" s="32"/>
      <c r="AK1640" s="32"/>
      <c r="AL1640" s="32"/>
      <c r="AM1640" s="32"/>
      <c r="AN1640" s="32"/>
      <c r="AO1640" s="32"/>
      <c r="AP1640" s="29"/>
    </row>
    <row r="1641">
      <c r="A1641" s="115"/>
      <c r="B1641" s="116"/>
      <c r="C1641" s="115"/>
      <c r="D1641" s="115"/>
      <c r="E1641" s="115"/>
      <c r="F1641" s="115"/>
      <c r="G1641" s="115"/>
      <c r="H1641" s="115"/>
      <c r="I1641" s="115"/>
      <c r="J1641" s="115"/>
      <c r="K1641" s="115"/>
      <c r="L1641" s="115"/>
      <c r="O1641" s="116"/>
      <c r="Q1641" s="116"/>
      <c r="T1641" s="114"/>
      <c r="Y1641" s="118"/>
      <c r="Z1641" s="29"/>
      <c r="AA1641" s="29"/>
      <c r="AB1641" s="29"/>
      <c r="AC1641" s="29"/>
      <c r="AD1641" s="29"/>
      <c r="AE1641" s="29"/>
      <c r="AF1641" s="29"/>
      <c r="AG1641" s="29"/>
      <c r="AH1641" s="123"/>
      <c r="AI1641" s="32"/>
      <c r="AJ1641" s="32"/>
      <c r="AK1641" s="32"/>
      <c r="AL1641" s="32"/>
      <c r="AM1641" s="32"/>
      <c r="AN1641" s="32"/>
      <c r="AO1641" s="32"/>
      <c r="AP1641" s="29"/>
    </row>
    <row r="1642">
      <c r="A1642" s="115"/>
      <c r="B1642" s="116"/>
      <c r="C1642" s="115"/>
      <c r="D1642" s="115"/>
      <c r="E1642" s="115"/>
      <c r="F1642" s="115"/>
      <c r="G1642" s="115"/>
      <c r="H1642" s="115"/>
      <c r="I1642" s="115"/>
      <c r="J1642" s="115"/>
      <c r="K1642" s="115"/>
      <c r="L1642" s="115"/>
      <c r="O1642" s="116"/>
      <c r="Q1642" s="116"/>
      <c r="T1642" s="114"/>
      <c r="Y1642" s="118"/>
      <c r="Z1642" s="29"/>
      <c r="AA1642" s="29"/>
      <c r="AB1642" s="29"/>
      <c r="AC1642" s="29"/>
      <c r="AD1642" s="29"/>
      <c r="AE1642" s="29"/>
      <c r="AF1642" s="29"/>
      <c r="AG1642" s="29"/>
      <c r="AH1642" s="123"/>
      <c r="AI1642" s="32"/>
      <c r="AJ1642" s="32"/>
      <c r="AK1642" s="32"/>
      <c r="AL1642" s="32"/>
      <c r="AM1642" s="32"/>
      <c r="AN1642" s="32"/>
      <c r="AO1642" s="32"/>
      <c r="AP1642" s="29"/>
    </row>
    <row r="1643">
      <c r="A1643" s="115"/>
      <c r="B1643" s="116"/>
      <c r="C1643" s="115"/>
      <c r="D1643" s="115"/>
      <c r="E1643" s="115"/>
      <c r="F1643" s="115"/>
      <c r="G1643" s="115"/>
      <c r="H1643" s="115"/>
      <c r="I1643" s="115"/>
      <c r="J1643" s="115"/>
      <c r="K1643" s="115"/>
      <c r="L1643" s="115"/>
      <c r="O1643" s="116"/>
      <c r="Q1643" s="116"/>
      <c r="T1643" s="114"/>
      <c r="Y1643" s="118"/>
      <c r="Z1643" s="29"/>
      <c r="AA1643" s="29"/>
      <c r="AB1643" s="29"/>
      <c r="AC1643" s="29"/>
      <c r="AD1643" s="29"/>
      <c r="AE1643" s="29"/>
      <c r="AF1643" s="29"/>
      <c r="AG1643" s="29"/>
      <c r="AH1643" s="123"/>
      <c r="AI1643" s="32"/>
      <c r="AJ1643" s="32"/>
      <c r="AK1643" s="32"/>
      <c r="AL1643" s="32"/>
      <c r="AM1643" s="32"/>
      <c r="AN1643" s="32"/>
      <c r="AO1643" s="32"/>
      <c r="AP1643" s="29"/>
    </row>
    <row r="1644">
      <c r="A1644" s="115"/>
      <c r="B1644" s="116"/>
      <c r="C1644" s="115"/>
      <c r="D1644" s="115"/>
      <c r="E1644" s="115"/>
      <c r="F1644" s="115"/>
      <c r="G1644" s="115"/>
      <c r="H1644" s="115"/>
      <c r="I1644" s="115"/>
      <c r="J1644" s="115"/>
      <c r="K1644" s="115"/>
      <c r="L1644" s="115"/>
      <c r="O1644" s="116"/>
      <c r="Q1644" s="116"/>
      <c r="T1644" s="114"/>
      <c r="Y1644" s="118"/>
      <c r="Z1644" s="29"/>
      <c r="AA1644" s="29"/>
      <c r="AB1644" s="29"/>
      <c r="AC1644" s="29"/>
      <c r="AD1644" s="29"/>
      <c r="AE1644" s="29"/>
      <c r="AF1644" s="29"/>
      <c r="AG1644" s="29"/>
      <c r="AH1644" s="123"/>
      <c r="AI1644" s="32"/>
      <c r="AJ1644" s="32"/>
      <c r="AK1644" s="32"/>
      <c r="AL1644" s="32"/>
      <c r="AM1644" s="32"/>
      <c r="AN1644" s="32"/>
      <c r="AO1644" s="32"/>
      <c r="AP1644" s="29"/>
    </row>
    <row r="1645">
      <c r="A1645" s="115"/>
      <c r="B1645" s="116"/>
      <c r="C1645" s="115"/>
      <c r="D1645" s="115"/>
      <c r="E1645" s="115"/>
      <c r="F1645" s="115"/>
      <c r="G1645" s="115"/>
      <c r="H1645" s="115"/>
      <c r="I1645" s="115"/>
      <c r="J1645" s="115"/>
      <c r="K1645" s="115"/>
      <c r="L1645" s="115"/>
      <c r="O1645" s="116"/>
      <c r="Q1645" s="116"/>
      <c r="T1645" s="114"/>
      <c r="Y1645" s="118"/>
      <c r="Z1645" s="29"/>
      <c r="AA1645" s="29"/>
      <c r="AB1645" s="29"/>
      <c r="AC1645" s="29"/>
      <c r="AD1645" s="29"/>
      <c r="AE1645" s="29"/>
      <c r="AF1645" s="29"/>
      <c r="AG1645" s="29"/>
      <c r="AH1645" s="123"/>
      <c r="AI1645" s="32"/>
      <c r="AJ1645" s="32"/>
      <c r="AK1645" s="32"/>
      <c r="AL1645" s="32"/>
      <c r="AM1645" s="32"/>
      <c r="AN1645" s="32"/>
      <c r="AO1645" s="32"/>
      <c r="AP1645" s="29"/>
    </row>
    <row r="1646">
      <c r="A1646" s="115"/>
      <c r="B1646" s="116"/>
      <c r="C1646" s="115"/>
      <c r="D1646" s="115"/>
      <c r="E1646" s="115"/>
      <c r="F1646" s="115"/>
      <c r="G1646" s="115"/>
      <c r="H1646" s="115"/>
      <c r="I1646" s="115"/>
      <c r="J1646" s="115"/>
      <c r="K1646" s="115"/>
      <c r="L1646" s="115"/>
      <c r="O1646" s="116"/>
      <c r="Q1646" s="116"/>
      <c r="T1646" s="114"/>
      <c r="Y1646" s="118"/>
      <c r="Z1646" s="29"/>
      <c r="AA1646" s="29"/>
      <c r="AB1646" s="29"/>
      <c r="AC1646" s="29"/>
      <c r="AD1646" s="29"/>
      <c r="AE1646" s="29"/>
      <c r="AF1646" s="29"/>
      <c r="AG1646" s="29"/>
      <c r="AH1646" s="123"/>
      <c r="AI1646" s="32"/>
      <c r="AJ1646" s="32"/>
      <c r="AK1646" s="32"/>
      <c r="AL1646" s="32"/>
      <c r="AM1646" s="32"/>
      <c r="AN1646" s="32"/>
      <c r="AO1646" s="32"/>
      <c r="AP1646" s="29"/>
    </row>
    <row r="1647">
      <c r="A1647" s="115"/>
      <c r="B1647" s="116"/>
      <c r="C1647" s="115"/>
      <c r="D1647" s="115"/>
      <c r="E1647" s="115"/>
      <c r="F1647" s="115"/>
      <c r="G1647" s="115"/>
      <c r="H1647" s="115"/>
      <c r="I1647" s="115"/>
      <c r="J1647" s="115"/>
      <c r="K1647" s="115"/>
      <c r="L1647" s="115"/>
      <c r="O1647" s="116"/>
      <c r="Q1647" s="116"/>
      <c r="T1647" s="114"/>
      <c r="Y1647" s="118"/>
      <c r="Z1647" s="29"/>
      <c r="AA1647" s="29"/>
      <c r="AB1647" s="29"/>
      <c r="AC1647" s="29"/>
      <c r="AD1647" s="29"/>
      <c r="AE1647" s="29"/>
      <c r="AF1647" s="29"/>
      <c r="AG1647" s="29"/>
      <c r="AH1647" s="123"/>
      <c r="AI1647" s="32"/>
      <c r="AJ1647" s="32"/>
      <c r="AK1647" s="32"/>
      <c r="AL1647" s="32"/>
      <c r="AM1647" s="32"/>
      <c r="AN1647" s="32"/>
      <c r="AO1647" s="32"/>
      <c r="AP1647" s="29"/>
    </row>
    <row r="1648">
      <c r="A1648" s="115"/>
      <c r="B1648" s="116"/>
      <c r="C1648" s="115"/>
      <c r="D1648" s="115"/>
      <c r="E1648" s="115"/>
      <c r="F1648" s="115"/>
      <c r="G1648" s="115"/>
      <c r="H1648" s="115"/>
      <c r="I1648" s="115"/>
      <c r="J1648" s="115"/>
      <c r="K1648" s="115"/>
      <c r="L1648" s="115"/>
      <c r="O1648" s="116"/>
      <c r="Q1648" s="116"/>
      <c r="T1648" s="114"/>
      <c r="Y1648" s="118"/>
      <c r="Z1648" s="29"/>
      <c r="AA1648" s="29"/>
      <c r="AB1648" s="29"/>
      <c r="AC1648" s="29"/>
      <c r="AD1648" s="29"/>
      <c r="AE1648" s="29"/>
      <c r="AF1648" s="29"/>
      <c r="AG1648" s="29"/>
      <c r="AH1648" s="123"/>
      <c r="AI1648" s="32"/>
      <c r="AJ1648" s="32"/>
      <c r="AK1648" s="32"/>
      <c r="AL1648" s="32"/>
      <c r="AM1648" s="32"/>
      <c r="AN1648" s="32"/>
      <c r="AO1648" s="32"/>
      <c r="AP1648" s="29"/>
    </row>
    <row r="1649">
      <c r="A1649" s="115"/>
      <c r="B1649" s="116"/>
      <c r="C1649" s="115"/>
      <c r="D1649" s="115"/>
      <c r="E1649" s="115"/>
      <c r="F1649" s="115"/>
      <c r="G1649" s="115"/>
      <c r="H1649" s="115"/>
      <c r="I1649" s="115"/>
      <c r="J1649" s="115"/>
      <c r="K1649" s="115"/>
      <c r="L1649" s="115"/>
      <c r="O1649" s="116"/>
      <c r="Q1649" s="116"/>
      <c r="T1649" s="114"/>
      <c r="Y1649" s="118"/>
      <c r="Z1649" s="29"/>
      <c r="AA1649" s="29"/>
      <c r="AB1649" s="29"/>
      <c r="AC1649" s="29"/>
      <c r="AD1649" s="29"/>
      <c r="AE1649" s="29"/>
      <c r="AF1649" s="29"/>
      <c r="AG1649" s="29"/>
      <c r="AH1649" s="123"/>
      <c r="AI1649" s="32"/>
      <c r="AJ1649" s="32"/>
      <c r="AK1649" s="32"/>
      <c r="AL1649" s="32"/>
      <c r="AM1649" s="32"/>
      <c r="AN1649" s="32"/>
      <c r="AO1649" s="32"/>
      <c r="AP1649" s="29"/>
    </row>
    <row r="1650">
      <c r="A1650" s="115"/>
      <c r="B1650" s="116"/>
      <c r="C1650" s="115"/>
      <c r="D1650" s="115"/>
      <c r="E1650" s="115"/>
      <c r="F1650" s="115"/>
      <c r="G1650" s="115"/>
      <c r="H1650" s="115"/>
      <c r="I1650" s="115"/>
      <c r="J1650" s="115"/>
      <c r="K1650" s="115"/>
      <c r="L1650" s="115"/>
      <c r="O1650" s="116"/>
      <c r="Q1650" s="116"/>
      <c r="T1650" s="114"/>
      <c r="Y1650" s="118"/>
      <c r="Z1650" s="29"/>
      <c r="AA1650" s="29"/>
      <c r="AB1650" s="29"/>
      <c r="AC1650" s="29"/>
      <c r="AD1650" s="29"/>
      <c r="AE1650" s="29"/>
      <c r="AF1650" s="29"/>
      <c r="AG1650" s="29"/>
      <c r="AH1650" s="123"/>
      <c r="AI1650" s="32"/>
      <c r="AJ1650" s="32"/>
      <c r="AK1650" s="32"/>
      <c r="AL1650" s="32"/>
      <c r="AM1650" s="32"/>
      <c r="AN1650" s="32"/>
      <c r="AO1650" s="32"/>
      <c r="AP1650" s="29"/>
    </row>
    <row r="1651">
      <c r="A1651" s="115"/>
      <c r="B1651" s="116"/>
      <c r="C1651" s="115"/>
      <c r="D1651" s="115"/>
      <c r="E1651" s="115"/>
      <c r="F1651" s="115"/>
      <c r="G1651" s="115"/>
      <c r="H1651" s="115"/>
      <c r="I1651" s="115"/>
      <c r="J1651" s="115"/>
      <c r="K1651" s="115"/>
      <c r="L1651" s="115"/>
      <c r="O1651" s="116"/>
      <c r="Q1651" s="116"/>
      <c r="T1651" s="114"/>
      <c r="Y1651" s="118"/>
      <c r="Z1651" s="29"/>
      <c r="AA1651" s="29"/>
      <c r="AB1651" s="29"/>
      <c r="AC1651" s="29"/>
      <c r="AD1651" s="29"/>
      <c r="AE1651" s="29"/>
      <c r="AF1651" s="29"/>
      <c r="AG1651" s="29"/>
      <c r="AH1651" s="123"/>
      <c r="AI1651" s="32"/>
      <c r="AJ1651" s="32"/>
      <c r="AK1651" s="32"/>
      <c r="AL1651" s="32"/>
      <c r="AM1651" s="32"/>
      <c r="AN1651" s="32"/>
      <c r="AO1651" s="32"/>
      <c r="AP1651" s="29"/>
    </row>
    <row r="1652">
      <c r="A1652" s="115"/>
      <c r="B1652" s="116"/>
      <c r="C1652" s="115"/>
      <c r="D1652" s="115"/>
      <c r="E1652" s="115"/>
      <c r="F1652" s="115"/>
      <c r="G1652" s="115"/>
      <c r="H1652" s="115"/>
      <c r="I1652" s="115"/>
      <c r="J1652" s="115"/>
      <c r="K1652" s="115"/>
      <c r="L1652" s="115"/>
      <c r="O1652" s="116"/>
      <c r="Q1652" s="116"/>
      <c r="T1652" s="114"/>
      <c r="Y1652" s="118"/>
      <c r="Z1652" s="29"/>
      <c r="AA1652" s="29"/>
      <c r="AB1652" s="29"/>
      <c r="AC1652" s="29"/>
      <c r="AD1652" s="29"/>
      <c r="AE1652" s="29"/>
      <c r="AF1652" s="29"/>
      <c r="AG1652" s="29"/>
      <c r="AH1652" s="123"/>
      <c r="AI1652" s="32"/>
      <c r="AJ1652" s="32"/>
      <c r="AK1652" s="32"/>
      <c r="AL1652" s="32"/>
      <c r="AM1652" s="32"/>
      <c r="AN1652" s="32"/>
      <c r="AO1652" s="32"/>
      <c r="AP1652" s="29"/>
    </row>
    <row r="1653">
      <c r="A1653" s="115"/>
      <c r="B1653" s="116"/>
      <c r="C1653" s="115"/>
      <c r="D1653" s="115"/>
      <c r="E1653" s="115"/>
      <c r="F1653" s="115"/>
      <c r="G1653" s="115"/>
      <c r="H1653" s="115"/>
      <c r="I1653" s="115"/>
      <c r="J1653" s="115"/>
      <c r="K1653" s="115"/>
      <c r="L1653" s="115"/>
      <c r="O1653" s="116"/>
      <c r="Q1653" s="116"/>
      <c r="T1653" s="114"/>
      <c r="Y1653" s="118"/>
      <c r="Z1653" s="29"/>
      <c r="AA1653" s="29"/>
      <c r="AB1653" s="29"/>
      <c r="AC1653" s="29"/>
      <c r="AD1653" s="29"/>
      <c r="AE1653" s="29"/>
      <c r="AF1653" s="29"/>
      <c r="AG1653" s="29"/>
      <c r="AH1653" s="123"/>
      <c r="AI1653" s="32"/>
      <c r="AJ1653" s="32"/>
      <c r="AK1653" s="32"/>
      <c r="AL1653" s="32"/>
      <c r="AM1653" s="32"/>
      <c r="AN1653" s="32"/>
      <c r="AO1653" s="32"/>
      <c r="AP1653" s="29"/>
    </row>
    <row r="1654">
      <c r="A1654" s="115"/>
      <c r="B1654" s="116"/>
      <c r="C1654" s="115"/>
      <c r="D1654" s="115"/>
      <c r="E1654" s="115"/>
      <c r="F1654" s="115"/>
      <c r="G1654" s="115"/>
      <c r="H1654" s="115"/>
      <c r="I1654" s="115"/>
      <c r="J1654" s="115"/>
      <c r="K1654" s="115"/>
      <c r="L1654" s="115"/>
      <c r="O1654" s="116"/>
      <c r="Q1654" s="116"/>
      <c r="T1654" s="114"/>
      <c r="Y1654" s="118"/>
      <c r="Z1654" s="29"/>
      <c r="AA1654" s="29"/>
      <c r="AB1654" s="29"/>
      <c r="AC1654" s="29"/>
      <c r="AD1654" s="29"/>
      <c r="AE1654" s="29"/>
      <c r="AF1654" s="29"/>
      <c r="AG1654" s="29"/>
      <c r="AH1654" s="123"/>
      <c r="AI1654" s="32"/>
      <c r="AJ1654" s="32"/>
      <c r="AK1654" s="32"/>
      <c r="AL1654" s="32"/>
      <c r="AM1654" s="32"/>
      <c r="AN1654" s="32"/>
      <c r="AO1654" s="32"/>
      <c r="AP1654" s="29"/>
    </row>
    <row r="1655">
      <c r="A1655" s="115"/>
      <c r="B1655" s="116"/>
      <c r="C1655" s="115"/>
      <c r="D1655" s="115"/>
      <c r="E1655" s="115"/>
      <c r="F1655" s="115"/>
      <c r="G1655" s="115"/>
      <c r="H1655" s="115"/>
      <c r="I1655" s="115"/>
      <c r="J1655" s="115"/>
      <c r="K1655" s="115"/>
      <c r="L1655" s="115"/>
      <c r="O1655" s="116"/>
      <c r="Q1655" s="116"/>
      <c r="T1655" s="114"/>
      <c r="Y1655" s="118"/>
      <c r="Z1655" s="29"/>
      <c r="AA1655" s="29"/>
      <c r="AB1655" s="29"/>
      <c r="AC1655" s="29"/>
      <c r="AD1655" s="29"/>
      <c r="AE1655" s="29"/>
      <c r="AF1655" s="29"/>
      <c r="AG1655" s="29"/>
      <c r="AH1655" s="123"/>
      <c r="AI1655" s="32"/>
      <c r="AJ1655" s="32"/>
      <c r="AK1655" s="32"/>
      <c r="AL1655" s="32"/>
      <c r="AM1655" s="32"/>
      <c r="AN1655" s="32"/>
      <c r="AO1655" s="32"/>
      <c r="AP1655" s="29"/>
    </row>
    <row r="1656">
      <c r="A1656" s="115"/>
      <c r="B1656" s="116"/>
      <c r="C1656" s="115"/>
      <c r="D1656" s="115"/>
      <c r="E1656" s="115"/>
      <c r="F1656" s="115"/>
      <c r="G1656" s="115"/>
      <c r="H1656" s="115"/>
      <c r="I1656" s="115"/>
      <c r="J1656" s="115"/>
      <c r="K1656" s="115"/>
      <c r="L1656" s="115"/>
      <c r="O1656" s="116"/>
      <c r="Q1656" s="116"/>
      <c r="T1656" s="114"/>
      <c r="Y1656" s="118"/>
      <c r="Z1656" s="29"/>
      <c r="AA1656" s="29"/>
      <c r="AB1656" s="29"/>
      <c r="AC1656" s="29"/>
      <c r="AD1656" s="29"/>
      <c r="AE1656" s="29"/>
      <c r="AF1656" s="29"/>
      <c r="AG1656" s="29"/>
      <c r="AH1656" s="123"/>
      <c r="AI1656" s="32"/>
      <c r="AJ1656" s="32"/>
      <c r="AK1656" s="32"/>
      <c r="AL1656" s="32"/>
      <c r="AM1656" s="32"/>
      <c r="AN1656" s="32"/>
      <c r="AO1656" s="32"/>
      <c r="AP1656" s="29"/>
    </row>
    <row r="1657">
      <c r="A1657" s="115"/>
      <c r="B1657" s="116"/>
      <c r="C1657" s="115"/>
      <c r="D1657" s="115"/>
      <c r="E1657" s="115"/>
      <c r="F1657" s="115"/>
      <c r="G1657" s="115"/>
      <c r="H1657" s="115"/>
      <c r="I1657" s="115"/>
      <c r="J1657" s="115"/>
      <c r="K1657" s="115"/>
      <c r="L1657" s="115"/>
      <c r="O1657" s="116"/>
      <c r="Q1657" s="116"/>
      <c r="T1657" s="114"/>
      <c r="Y1657" s="118"/>
      <c r="Z1657" s="29"/>
      <c r="AA1657" s="29"/>
      <c r="AB1657" s="29"/>
      <c r="AC1657" s="29"/>
      <c r="AD1657" s="29"/>
      <c r="AE1657" s="29"/>
      <c r="AF1657" s="29"/>
      <c r="AG1657" s="29"/>
      <c r="AH1657" s="123"/>
      <c r="AI1657" s="32"/>
      <c r="AJ1657" s="32"/>
      <c r="AK1657" s="32"/>
      <c r="AL1657" s="32"/>
      <c r="AM1657" s="32"/>
      <c r="AN1657" s="32"/>
      <c r="AO1657" s="32"/>
      <c r="AP1657" s="29"/>
    </row>
    <row r="1658">
      <c r="A1658" s="115"/>
      <c r="B1658" s="116"/>
      <c r="C1658" s="115"/>
      <c r="D1658" s="115"/>
      <c r="E1658" s="115"/>
      <c r="F1658" s="115"/>
      <c r="G1658" s="115"/>
      <c r="H1658" s="115"/>
      <c r="I1658" s="115"/>
      <c r="J1658" s="115"/>
      <c r="K1658" s="115"/>
      <c r="L1658" s="115"/>
      <c r="O1658" s="116"/>
      <c r="Q1658" s="116"/>
      <c r="T1658" s="114"/>
      <c r="Y1658" s="118"/>
      <c r="Z1658" s="29"/>
      <c r="AA1658" s="29"/>
      <c r="AB1658" s="29"/>
      <c r="AC1658" s="29"/>
      <c r="AD1658" s="29"/>
      <c r="AE1658" s="29"/>
      <c r="AF1658" s="29"/>
      <c r="AG1658" s="29"/>
      <c r="AH1658" s="123"/>
      <c r="AI1658" s="32"/>
      <c r="AJ1658" s="32"/>
      <c r="AK1658" s="32"/>
      <c r="AL1658" s="32"/>
      <c r="AM1658" s="32"/>
      <c r="AN1658" s="32"/>
      <c r="AO1658" s="32"/>
      <c r="AP1658" s="29"/>
    </row>
    <row r="1659">
      <c r="A1659" s="115"/>
      <c r="B1659" s="116"/>
      <c r="C1659" s="115"/>
      <c r="D1659" s="115"/>
      <c r="E1659" s="115"/>
      <c r="F1659" s="115"/>
      <c r="G1659" s="115"/>
      <c r="H1659" s="115"/>
      <c r="I1659" s="115"/>
      <c r="J1659" s="115"/>
      <c r="K1659" s="115"/>
      <c r="L1659" s="115"/>
      <c r="O1659" s="116"/>
      <c r="Q1659" s="116"/>
      <c r="T1659" s="114"/>
      <c r="Y1659" s="118"/>
      <c r="Z1659" s="29"/>
      <c r="AA1659" s="29"/>
      <c r="AB1659" s="29"/>
      <c r="AC1659" s="29"/>
      <c r="AD1659" s="29"/>
      <c r="AE1659" s="29"/>
      <c r="AF1659" s="29"/>
      <c r="AG1659" s="29"/>
      <c r="AH1659" s="123"/>
      <c r="AI1659" s="32"/>
      <c r="AJ1659" s="32"/>
      <c r="AK1659" s="32"/>
      <c r="AL1659" s="32"/>
      <c r="AM1659" s="32"/>
      <c r="AN1659" s="32"/>
      <c r="AO1659" s="32"/>
      <c r="AP1659" s="29"/>
    </row>
    <row r="1660">
      <c r="A1660" s="115"/>
      <c r="B1660" s="116"/>
      <c r="C1660" s="115"/>
      <c r="D1660" s="115"/>
      <c r="E1660" s="115"/>
      <c r="F1660" s="115"/>
      <c r="G1660" s="115"/>
      <c r="H1660" s="115"/>
      <c r="I1660" s="115"/>
      <c r="J1660" s="115"/>
      <c r="K1660" s="115"/>
      <c r="L1660" s="115"/>
      <c r="O1660" s="116"/>
      <c r="Q1660" s="116"/>
      <c r="T1660" s="114"/>
      <c r="Y1660" s="118"/>
      <c r="Z1660" s="29"/>
      <c r="AA1660" s="29"/>
      <c r="AB1660" s="29"/>
      <c r="AC1660" s="29"/>
      <c r="AD1660" s="29"/>
      <c r="AE1660" s="29"/>
      <c r="AF1660" s="29"/>
      <c r="AG1660" s="29"/>
      <c r="AH1660" s="123"/>
      <c r="AI1660" s="32"/>
      <c r="AJ1660" s="32"/>
      <c r="AK1660" s="32"/>
      <c r="AL1660" s="32"/>
      <c r="AM1660" s="32"/>
      <c r="AN1660" s="32"/>
      <c r="AO1660" s="32"/>
      <c r="AP1660" s="29"/>
    </row>
    <row r="1661">
      <c r="A1661" s="115"/>
      <c r="B1661" s="116"/>
      <c r="C1661" s="115"/>
      <c r="D1661" s="115"/>
      <c r="E1661" s="115"/>
      <c r="F1661" s="115"/>
      <c r="G1661" s="115"/>
      <c r="H1661" s="115"/>
      <c r="I1661" s="115"/>
      <c r="J1661" s="115"/>
      <c r="K1661" s="115"/>
      <c r="L1661" s="115"/>
      <c r="O1661" s="116"/>
      <c r="Q1661" s="116"/>
      <c r="T1661" s="114"/>
      <c r="Y1661" s="118"/>
      <c r="Z1661" s="29"/>
      <c r="AA1661" s="29"/>
      <c r="AB1661" s="29"/>
      <c r="AC1661" s="29"/>
      <c r="AD1661" s="29"/>
      <c r="AE1661" s="29"/>
      <c r="AF1661" s="29"/>
      <c r="AG1661" s="29"/>
      <c r="AH1661" s="123"/>
      <c r="AI1661" s="32"/>
      <c r="AJ1661" s="32"/>
      <c r="AK1661" s="32"/>
      <c r="AL1661" s="32"/>
      <c r="AM1661" s="32"/>
      <c r="AN1661" s="32"/>
      <c r="AO1661" s="32"/>
      <c r="AP1661" s="29"/>
    </row>
    <row r="1662">
      <c r="A1662" s="115"/>
      <c r="B1662" s="116"/>
      <c r="C1662" s="115"/>
      <c r="D1662" s="115"/>
      <c r="E1662" s="115"/>
      <c r="F1662" s="115"/>
      <c r="G1662" s="115"/>
      <c r="H1662" s="115"/>
      <c r="I1662" s="115"/>
      <c r="J1662" s="115"/>
      <c r="K1662" s="115"/>
      <c r="L1662" s="115"/>
      <c r="O1662" s="116"/>
      <c r="Q1662" s="116"/>
      <c r="T1662" s="114"/>
      <c r="Y1662" s="118"/>
      <c r="Z1662" s="29"/>
      <c r="AA1662" s="29"/>
      <c r="AB1662" s="29"/>
      <c r="AC1662" s="29"/>
      <c r="AD1662" s="29"/>
      <c r="AE1662" s="29"/>
      <c r="AF1662" s="29"/>
      <c r="AG1662" s="29"/>
      <c r="AH1662" s="123"/>
      <c r="AI1662" s="32"/>
      <c r="AJ1662" s="32"/>
      <c r="AK1662" s="32"/>
      <c r="AL1662" s="32"/>
      <c r="AM1662" s="32"/>
      <c r="AN1662" s="32"/>
      <c r="AO1662" s="32"/>
      <c r="AP1662" s="29"/>
    </row>
    <row r="1663">
      <c r="A1663" s="115"/>
      <c r="B1663" s="116"/>
      <c r="C1663" s="115"/>
      <c r="D1663" s="115"/>
      <c r="E1663" s="115"/>
      <c r="F1663" s="115"/>
      <c r="G1663" s="115"/>
      <c r="H1663" s="115"/>
      <c r="I1663" s="115"/>
      <c r="J1663" s="115"/>
      <c r="K1663" s="115"/>
      <c r="L1663" s="115"/>
      <c r="O1663" s="116"/>
      <c r="Q1663" s="116"/>
      <c r="T1663" s="114"/>
      <c r="Y1663" s="118"/>
      <c r="Z1663" s="29"/>
      <c r="AA1663" s="29"/>
      <c r="AB1663" s="29"/>
      <c r="AC1663" s="29"/>
      <c r="AD1663" s="29"/>
      <c r="AE1663" s="29"/>
      <c r="AF1663" s="29"/>
      <c r="AG1663" s="29"/>
      <c r="AH1663" s="123"/>
      <c r="AI1663" s="32"/>
      <c r="AJ1663" s="32"/>
      <c r="AK1663" s="32"/>
      <c r="AL1663" s="32"/>
      <c r="AM1663" s="32"/>
      <c r="AN1663" s="32"/>
      <c r="AO1663" s="32"/>
      <c r="AP1663" s="29"/>
    </row>
    <row r="1664">
      <c r="A1664" s="115"/>
      <c r="B1664" s="116"/>
      <c r="C1664" s="115"/>
      <c r="D1664" s="115"/>
      <c r="E1664" s="115"/>
      <c r="F1664" s="115"/>
      <c r="G1664" s="115"/>
      <c r="H1664" s="115"/>
      <c r="I1664" s="115"/>
      <c r="J1664" s="115"/>
      <c r="K1664" s="115"/>
      <c r="L1664" s="115"/>
      <c r="O1664" s="116"/>
      <c r="Q1664" s="116"/>
      <c r="T1664" s="114"/>
      <c r="Y1664" s="118"/>
      <c r="Z1664" s="29"/>
      <c r="AA1664" s="29"/>
      <c r="AB1664" s="29"/>
      <c r="AC1664" s="29"/>
      <c r="AD1664" s="29"/>
      <c r="AE1664" s="29"/>
      <c r="AF1664" s="29"/>
      <c r="AG1664" s="29"/>
      <c r="AH1664" s="123"/>
      <c r="AI1664" s="32"/>
      <c r="AJ1664" s="32"/>
      <c r="AK1664" s="32"/>
      <c r="AL1664" s="32"/>
      <c r="AM1664" s="32"/>
      <c r="AN1664" s="32"/>
      <c r="AO1664" s="32"/>
      <c r="AP1664" s="29"/>
    </row>
    <row r="1665">
      <c r="A1665" s="115"/>
      <c r="B1665" s="116"/>
      <c r="C1665" s="115"/>
      <c r="D1665" s="115"/>
      <c r="E1665" s="115"/>
      <c r="F1665" s="115"/>
      <c r="G1665" s="115"/>
      <c r="H1665" s="115"/>
      <c r="I1665" s="115"/>
      <c r="J1665" s="115"/>
      <c r="K1665" s="115"/>
      <c r="L1665" s="115"/>
      <c r="O1665" s="116"/>
      <c r="Q1665" s="116"/>
      <c r="T1665" s="114"/>
      <c r="Y1665" s="118"/>
      <c r="Z1665" s="29"/>
      <c r="AA1665" s="29"/>
      <c r="AB1665" s="29"/>
      <c r="AC1665" s="29"/>
      <c r="AD1665" s="29"/>
      <c r="AE1665" s="29"/>
      <c r="AF1665" s="29"/>
      <c r="AG1665" s="29"/>
      <c r="AH1665" s="123"/>
      <c r="AI1665" s="32"/>
      <c r="AJ1665" s="32"/>
      <c r="AK1665" s="32"/>
      <c r="AL1665" s="32"/>
      <c r="AM1665" s="32"/>
      <c r="AN1665" s="32"/>
      <c r="AO1665" s="32"/>
      <c r="AP1665" s="29"/>
    </row>
    <row r="1666">
      <c r="A1666" s="115"/>
      <c r="B1666" s="116"/>
      <c r="C1666" s="115"/>
      <c r="D1666" s="115"/>
      <c r="E1666" s="115"/>
      <c r="F1666" s="115"/>
      <c r="G1666" s="115"/>
      <c r="H1666" s="115"/>
      <c r="I1666" s="115"/>
      <c r="J1666" s="115"/>
      <c r="K1666" s="115"/>
      <c r="L1666" s="115"/>
      <c r="O1666" s="116"/>
      <c r="Q1666" s="116"/>
      <c r="T1666" s="114"/>
      <c r="Y1666" s="118"/>
      <c r="Z1666" s="29"/>
      <c r="AA1666" s="29"/>
      <c r="AB1666" s="29"/>
      <c r="AC1666" s="29"/>
      <c r="AD1666" s="29"/>
      <c r="AE1666" s="29"/>
      <c r="AF1666" s="29"/>
      <c r="AG1666" s="29"/>
      <c r="AH1666" s="123"/>
      <c r="AI1666" s="32"/>
      <c r="AJ1666" s="32"/>
      <c r="AK1666" s="32"/>
      <c r="AL1666" s="32"/>
      <c r="AM1666" s="32"/>
      <c r="AN1666" s="32"/>
      <c r="AO1666" s="32"/>
      <c r="AP1666" s="29"/>
    </row>
    <row r="1667">
      <c r="A1667" s="115"/>
      <c r="B1667" s="116"/>
      <c r="C1667" s="115"/>
      <c r="D1667" s="115"/>
      <c r="E1667" s="115"/>
      <c r="F1667" s="115"/>
      <c r="G1667" s="115"/>
      <c r="H1667" s="115"/>
      <c r="I1667" s="115"/>
      <c r="J1667" s="115"/>
      <c r="K1667" s="115"/>
      <c r="L1667" s="115"/>
      <c r="O1667" s="116"/>
      <c r="Q1667" s="116"/>
      <c r="T1667" s="114"/>
      <c r="Y1667" s="118"/>
      <c r="Z1667" s="29"/>
      <c r="AA1667" s="29"/>
      <c r="AB1667" s="29"/>
      <c r="AC1667" s="29"/>
      <c r="AD1667" s="29"/>
      <c r="AE1667" s="29"/>
      <c r="AF1667" s="29"/>
      <c r="AG1667" s="29"/>
      <c r="AH1667" s="123"/>
      <c r="AI1667" s="32"/>
      <c r="AJ1667" s="32"/>
      <c r="AK1667" s="32"/>
      <c r="AL1667" s="32"/>
      <c r="AM1667" s="32"/>
      <c r="AN1667" s="32"/>
      <c r="AO1667" s="32"/>
      <c r="AP1667" s="29"/>
    </row>
    <row r="1668">
      <c r="A1668" s="115"/>
      <c r="B1668" s="116"/>
      <c r="C1668" s="115"/>
      <c r="D1668" s="115"/>
      <c r="E1668" s="115"/>
      <c r="F1668" s="115"/>
      <c r="G1668" s="115"/>
      <c r="H1668" s="115"/>
      <c r="I1668" s="115"/>
      <c r="J1668" s="115"/>
      <c r="K1668" s="115"/>
      <c r="L1668" s="115"/>
      <c r="O1668" s="116"/>
      <c r="Q1668" s="116"/>
      <c r="T1668" s="114"/>
      <c r="Y1668" s="118"/>
      <c r="Z1668" s="29"/>
      <c r="AA1668" s="29"/>
      <c r="AB1668" s="29"/>
      <c r="AC1668" s="29"/>
      <c r="AD1668" s="29"/>
      <c r="AE1668" s="29"/>
      <c r="AF1668" s="29"/>
      <c r="AG1668" s="29"/>
      <c r="AH1668" s="123"/>
      <c r="AI1668" s="32"/>
      <c r="AJ1668" s="32"/>
      <c r="AK1668" s="32"/>
      <c r="AL1668" s="32"/>
      <c r="AM1668" s="32"/>
      <c r="AN1668" s="32"/>
      <c r="AO1668" s="32"/>
      <c r="AP1668" s="29"/>
    </row>
    <row r="1669">
      <c r="A1669" s="115"/>
      <c r="B1669" s="116"/>
      <c r="C1669" s="115"/>
      <c r="D1669" s="115"/>
      <c r="E1669" s="115"/>
      <c r="F1669" s="115"/>
      <c r="G1669" s="115"/>
      <c r="H1669" s="115"/>
      <c r="I1669" s="115"/>
      <c r="J1669" s="115"/>
      <c r="K1669" s="115"/>
      <c r="L1669" s="115"/>
      <c r="O1669" s="116"/>
      <c r="Q1669" s="116"/>
      <c r="T1669" s="114"/>
      <c r="Y1669" s="118"/>
      <c r="Z1669" s="29"/>
      <c r="AA1669" s="29"/>
      <c r="AB1669" s="29"/>
      <c r="AC1669" s="29"/>
      <c r="AD1669" s="29"/>
      <c r="AE1669" s="29"/>
      <c r="AF1669" s="29"/>
      <c r="AG1669" s="29"/>
      <c r="AH1669" s="123"/>
      <c r="AI1669" s="32"/>
      <c r="AJ1669" s="32"/>
      <c r="AK1669" s="32"/>
      <c r="AL1669" s="32"/>
      <c r="AM1669" s="32"/>
      <c r="AN1669" s="32"/>
      <c r="AO1669" s="32"/>
      <c r="AP1669" s="29"/>
    </row>
    <row r="1670">
      <c r="A1670" s="115"/>
      <c r="B1670" s="116"/>
      <c r="C1670" s="115"/>
      <c r="D1670" s="115"/>
      <c r="E1670" s="115"/>
      <c r="F1670" s="115"/>
      <c r="G1670" s="115"/>
      <c r="H1670" s="115"/>
      <c r="I1670" s="115"/>
      <c r="J1670" s="115"/>
      <c r="K1670" s="115"/>
      <c r="L1670" s="115"/>
      <c r="O1670" s="116"/>
      <c r="Q1670" s="116"/>
      <c r="T1670" s="114"/>
      <c r="Y1670" s="118"/>
      <c r="Z1670" s="29"/>
      <c r="AA1670" s="29"/>
      <c r="AB1670" s="29"/>
      <c r="AC1670" s="29"/>
      <c r="AD1670" s="29"/>
      <c r="AE1670" s="29"/>
      <c r="AF1670" s="29"/>
      <c r="AG1670" s="29"/>
      <c r="AH1670" s="123"/>
      <c r="AI1670" s="32"/>
      <c r="AJ1670" s="32"/>
      <c r="AK1670" s="32"/>
      <c r="AL1670" s="32"/>
      <c r="AM1670" s="32"/>
      <c r="AN1670" s="32"/>
      <c r="AO1670" s="32"/>
      <c r="AP1670" s="29"/>
    </row>
    <row r="1671">
      <c r="A1671" s="115"/>
      <c r="B1671" s="116"/>
      <c r="C1671" s="115"/>
      <c r="D1671" s="115"/>
      <c r="E1671" s="115"/>
      <c r="F1671" s="115"/>
      <c r="G1671" s="115"/>
      <c r="H1671" s="115"/>
      <c r="I1671" s="115"/>
      <c r="J1671" s="115"/>
      <c r="K1671" s="115"/>
      <c r="L1671" s="115"/>
      <c r="O1671" s="116"/>
      <c r="Q1671" s="116"/>
      <c r="T1671" s="114"/>
      <c r="Y1671" s="118"/>
      <c r="Z1671" s="29"/>
      <c r="AA1671" s="29"/>
      <c r="AB1671" s="29"/>
      <c r="AC1671" s="29"/>
      <c r="AD1671" s="29"/>
      <c r="AE1671" s="29"/>
      <c r="AF1671" s="29"/>
      <c r="AG1671" s="29"/>
      <c r="AH1671" s="123"/>
      <c r="AI1671" s="32"/>
      <c r="AJ1671" s="32"/>
      <c r="AK1671" s="32"/>
      <c r="AL1671" s="32"/>
      <c r="AM1671" s="32"/>
      <c r="AN1671" s="32"/>
      <c r="AO1671" s="32"/>
      <c r="AP1671" s="29"/>
    </row>
    <row r="1672">
      <c r="A1672" s="115"/>
      <c r="B1672" s="116"/>
      <c r="C1672" s="115"/>
      <c r="D1672" s="115"/>
      <c r="E1672" s="115"/>
      <c r="F1672" s="115"/>
      <c r="G1672" s="115"/>
      <c r="H1672" s="115"/>
      <c r="I1672" s="115"/>
      <c r="J1672" s="115"/>
      <c r="K1672" s="115"/>
      <c r="L1672" s="115"/>
      <c r="O1672" s="116"/>
      <c r="Q1672" s="116"/>
      <c r="T1672" s="114"/>
      <c r="Y1672" s="118"/>
      <c r="Z1672" s="29"/>
      <c r="AA1672" s="29"/>
      <c r="AB1672" s="29"/>
      <c r="AC1672" s="29"/>
      <c r="AD1672" s="29"/>
      <c r="AE1672" s="29"/>
      <c r="AF1672" s="29"/>
      <c r="AG1672" s="29"/>
      <c r="AH1672" s="123"/>
      <c r="AI1672" s="32"/>
      <c r="AJ1672" s="32"/>
      <c r="AK1672" s="32"/>
      <c r="AL1672" s="32"/>
      <c r="AM1672" s="32"/>
      <c r="AN1672" s="32"/>
      <c r="AO1672" s="32"/>
      <c r="AP1672" s="29"/>
    </row>
    <row r="1673">
      <c r="A1673" s="115"/>
      <c r="B1673" s="116"/>
      <c r="C1673" s="115"/>
      <c r="D1673" s="115"/>
      <c r="E1673" s="115"/>
      <c r="F1673" s="115"/>
      <c r="G1673" s="115"/>
      <c r="H1673" s="115"/>
      <c r="I1673" s="115"/>
      <c r="J1673" s="115"/>
      <c r="K1673" s="115"/>
      <c r="L1673" s="115"/>
      <c r="O1673" s="116"/>
      <c r="Q1673" s="116"/>
      <c r="T1673" s="114"/>
      <c r="Y1673" s="118"/>
      <c r="Z1673" s="29"/>
      <c r="AA1673" s="29"/>
      <c r="AB1673" s="29"/>
      <c r="AC1673" s="29"/>
      <c r="AD1673" s="29"/>
      <c r="AE1673" s="29"/>
      <c r="AF1673" s="29"/>
      <c r="AG1673" s="29"/>
      <c r="AH1673" s="123"/>
      <c r="AI1673" s="32"/>
      <c r="AJ1673" s="32"/>
      <c r="AK1673" s="32"/>
      <c r="AL1673" s="32"/>
      <c r="AM1673" s="32"/>
      <c r="AN1673" s="32"/>
      <c r="AO1673" s="32"/>
      <c r="AP1673" s="29"/>
    </row>
    <row r="1674">
      <c r="A1674" s="115"/>
      <c r="B1674" s="116"/>
      <c r="C1674" s="115"/>
      <c r="D1674" s="115"/>
      <c r="E1674" s="115"/>
      <c r="F1674" s="115"/>
      <c r="G1674" s="115"/>
      <c r="H1674" s="115"/>
      <c r="I1674" s="115"/>
      <c r="J1674" s="115"/>
      <c r="K1674" s="115"/>
      <c r="L1674" s="115"/>
      <c r="O1674" s="116"/>
      <c r="Q1674" s="116"/>
      <c r="T1674" s="114"/>
      <c r="Y1674" s="118"/>
      <c r="Z1674" s="29"/>
      <c r="AA1674" s="29"/>
      <c r="AB1674" s="29"/>
      <c r="AC1674" s="29"/>
      <c r="AD1674" s="29"/>
      <c r="AE1674" s="29"/>
      <c r="AF1674" s="29"/>
      <c r="AG1674" s="29"/>
      <c r="AH1674" s="123"/>
      <c r="AI1674" s="32"/>
      <c r="AJ1674" s="32"/>
      <c r="AK1674" s="32"/>
      <c r="AL1674" s="32"/>
      <c r="AM1674" s="32"/>
      <c r="AN1674" s="32"/>
      <c r="AO1674" s="32"/>
      <c r="AP1674" s="29"/>
    </row>
    <row r="1675">
      <c r="A1675" s="115"/>
      <c r="B1675" s="116"/>
      <c r="C1675" s="115"/>
      <c r="D1675" s="115"/>
      <c r="E1675" s="115"/>
      <c r="F1675" s="115"/>
      <c r="G1675" s="115"/>
      <c r="H1675" s="115"/>
      <c r="I1675" s="115"/>
      <c r="J1675" s="115"/>
      <c r="K1675" s="115"/>
      <c r="L1675" s="115"/>
      <c r="O1675" s="116"/>
      <c r="Q1675" s="116"/>
      <c r="T1675" s="114"/>
      <c r="Y1675" s="118"/>
      <c r="Z1675" s="29"/>
      <c r="AA1675" s="29"/>
      <c r="AB1675" s="29"/>
      <c r="AC1675" s="29"/>
      <c r="AD1675" s="29"/>
      <c r="AE1675" s="29"/>
      <c r="AF1675" s="29"/>
      <c r="AG1675" s="29"/>
      <c r="AH1675" s="123"/>
      <c r="AI1675" s="32"/>
      <c r="AJ1675" s="32"/>
      <c r="AK1675" s="32"/>
      <c r="AL1675" s="32"/>
      <c r="AM1675" s="32"/>
      <c r="AN1675" s="32"/>
      <c r="AO1675" s="32"/>
      <c r="AP1675" s="29"/>
    </row>
    <row r="1676">
      <c r="A1676" s="115"/>
      <c r="B1676" s="116"/>
      <c r="C1676" s="115"/>
      <c r="D1676" s="115"/>
      <c r="E1676" s="115"/>
      <c r="F1676" s="115"/>
      <c r="G1676" s="115"/>
      <c r="H1676" s="115"/>
      <c r="I1676" s="115"/>
      <c r="J1676" s="115"/>
      <c r="K1676" s="115"/>
      <c r="L1676" s="115"/>
      <c r="O1676" s="116"/>
      <c r="Q1676" s="116"/>
      <c r="T1676" s="114"/>
      <c r="Y1676" s="118"/>
      <c r="Z1676" s="29"/>
      <c r="AA1676" s="29"/>
      <c r="AB1676" s="29"/>
      <c r="AC1676" s="29"/>
      <c r="AD1676" s="29"/>
      <c r="AE1676" s="29"/>
      <c r="AF1676" s="29"/>
      <c r="AG1676" s="29"/>
      <c r="AH1676" s="123"/>
      <c r="AI1676" s="32"/>
      <c r="AJ1676" s="32"/>
      <c r="AK1676" s="32"/>
      <c r="AL1676" s="32"/>
      <c r="AM1676" s="32"/>
      <c r="AN1676" s="32"/>
      <c r="AO1676" s="32"/>
      <c r="AP1676" s="29"/>
    </row>
    <row r="1677">
      <c r="A1677" s="115"/>
      <c r="B1677" s="116"/>
      <c r="C1677" s="115"/>
      <c r="D1677" s="115"/>
      <c r="E1677" s="115"/>
      <c r="F1677" s="115"/>
      <c r="G1677" s="115"/>
      <c r="H1677" s="115"/>
      <c r="I1677" s="115"/>
      <c r="J1677" s="115"/>
      <c r="K1677" s="115"/>
      <c r="L1677" s="115"/>
      <c r="O1677" s="116"/>
      <c r="Q1677" s="116"/>
      <c r="T1677" s="114"/>
      <c r="Y1677" s="118"/>
      <c r="Z1677" s="29"/>
      <c r="AA1677" s="29"/>
      <c r="AB1677" s="29"/>
      <c r="AC1677" s="29"/>
      <c r="AD1677" s="29"/>
      <c r="AE1677" s="29"/>
      <c r="AF1677" s="29"/>
      <c r="AG1677" s="29"/>
      <c r="AH1677" s="123"/>
      <c r="AI1677" s="32"/>
      <c r="AJ1677" s="32"/>
      <c r="AK1677" s="32"/>
      <c r="AL1677" s="32"/>
      <c r="AM1677" s="32"/>
      <c r="AN1677" s="32"/>
      <c r="AO1677" s="32"/>
      <c r="AP1677" s="29"/>
    </row>
    <row r="1678">
      <c r="A1678" s="115"/>
      <c r="B1678" s="116"/>
      <c r="C1678" s="115"/>
      <c r="D1678" s="115"/>
      <c r="E1678" s="115"/>
      <c r="F1678" s="115"/>
      <c r="G1678" s="115"/>
      <c r="H1678" s="115"/>
      <c r="I1678" s="115"/>
      <c r="J1678" s="115"/>
      <c r="K1678" s="115"/>
      <c r="L1678" s="115"/>
      <c r="O1678" s="116"/>
      <c r="Q1678" s="116"/>
      <c r="T1678" s="114"/>
      <c r="Y1678" s="118"/>
      <c r="Z1678" s="29"/>
      <c r="AA1678" s="29"/>
      <c r="AB1678" s="29"/>
      <c r="AC1678" s="29"/>
      <c r="AD1678" s="29"/>
      <c r="AE1678" s="29"/>
      <c r="AF1678" s="29"/>
      <c r="AG1678" s="29"/>
      <c r="AH1678" s="123"/>
      <c r="AI1678" s="32"/>
      <c r="AJ1678" s="32"/>
      <c r="AK1678" s="32"/>
      <c r="AL1678" s="32"/>
      <c r="AM1678" s="32"/>
      <c r="AN1678" s="32"/>
      <c r="AO1678" s="32"/>
      <c r="AP1678" s="29"/>
    </row>
    <row r="1679">
      <c r="A1679" s="115"/>
      <c r="B1679" s="116"/>
      <c r="C1679" s="115"/>
      <c r="D1679" s="115"/>
      <c r="E1679" s="115"/>
      <c r="F1679" s="115"/>
      <c r="G1679" s="115"/>
      <c r="H1679" s="115"/>
      <c r="I1679" s="115"/>
      <c r="J1679" s="115"/>
      <c r="K1679" s="115"/>
      <c r="L1679" s="115"/>
      <c r="O1679" s="116"/>
      <c r="Q1679" s="116"/>
      <c r="T1679" s="114"/>
      <c r="Y1679" s="118"/>
      <c r="Z1679" s="29"/>
      <c r="AA1679" s="29"/>
      <c r="AB1679" s="29"/>
      <c r="AC1679" s="29"/>
      <c r="AD1679" s="29"/>
      <c r="AE1679" s="29"/>
      <c r="AF1679" s="29"/>
      <c r="AG1679" s="29"/>
      <c r="AH1679" s="123"/>
      <c r="AI1679" s="32"/>
      <c r="AJ1679" s="32"/>
      <c r="AK1679" s="32"/>
      <c r="AL1679" s="32"/>
      <c r="AM1679" s="32"/>
      <c r="AN1679" s="32"/>
      <c r="AO1679" s="32"/>
      <c r="AP1679" s="29"/>
    </row>
    <row r="1680">
      <c r="A1680" s="115"/>
      <c r="B1680" s="116"/>
      <c r="C1680" s="115"/>
      <c r="D1680" s="115"/>
      <c r="E1680" s="115"/>
      <c r="F1680" s="115"/>
      <c r="G1680" s="115"/>
      <c r="H1680" s="115"/>
      <c r="I1680" s="115"/>
      <c r="J1680" s="115"/>
      <c r="K1680" s="115"/>
      <c r="L1680" s="115"/>
      <c r="O1680" s="116"/>
      <c r="Q1680" s="116"/>
      <c r="T1680" s="114"/>
      <c r="Y1680" s="118"/>
      <c r="Z1680" s="29"/>
      <c r="AA1680" s="29"/>
      <c r="AB1680" s="29"/>
      <c r="AC1680" s="29"/>
      <c r="AD1680" s="29"/>
      <c r="AE1680" s="29"/>
      <c r="AF1680" s="29"/>
      <c r="AG1680" s="29"/>
      <c r="AH1680" s="123"/>
      <c r="AI1680" s="32"/>
      <c r="AJ1680" s="32"/>
      <c r="AK1680" s="32"/>
      <c r="AL1680" s="32"/>
      <c r="AM1680" s="32"/>
      <c r="AN1680" s="32"/>
      <c r="AO1680" s="32"/>
      <c r="AP1680" s="29"/>
    </row>
    <row r="1681">
      <c r="A1681" s="115"/>
      <c r="B1681" s="116"/>
      <c r="C1681" s="115"/>
      <c r="D1681" s="115"/>
      <c r="E1681" s="115"/>
      <c r="F1681" s="115"/>
      <c r="G1681" s="115"/>
      <c r="H1681" s="115"/>
      <c r="I1681" s="115"/>
      <c r="J1681" s="115"/>
      <c r="K1681" s="115"/>
      <c r="L1681" s="115"/>
      <c r="O1681" s="116"/>
      <c r="Q1681" s="116"/>
      <c r="T1681" s="114"/>
      <c r="Y1681" s="118"/>
      <c r="Z1681" s="29"/>
      <c r="AA1681" s="29"/>
      <c r="AB1681" s="29"/>
      <c r="AC1681" s="29"/>
      <c r="AD1681" s="29"/>
      <c r="AE1681" s="29"/>
      <c r="AF1681" s="29"/>
      <c r="AG1681" s="29"/>
      <c r="AH1681" s="123"/>
      <c r="AI1681" s="32"/>
      <c r="AJ1681" s="32"/>
      <c r="AK1681" s="32"/>
      <c r="AL1681" s="32"/>
      <c r="AM1681" s="32"/>
      <c r="AN1681" s="32"/>
      <c r="AO1681" s="32"/>
      <c r="AP1681" s="29"/>
    </row>
    <row r="1682">
      <c r="A1682" s="115"/>
      <c r="B1682" s="116"/>
      <c r="C1682" s="115"/>
      <c r="D1682" s="115"/>
      <c r="E1682" s="115"/>
      <c r="F1682" s="115"/>
      <c r="G1682" s="115"/>
      <c r="H1682" s="115"/>
      <c r="I1682" s="115"/>
      <c r="J1682" s="115"/>
      <c r="K1682" s="115"/>
      <c r="L1682" s="115"/>
      <c r="O1682" s="116"/>
      <c r="Q1682" s="116"/>
      <c r="T1682" s="114"/>
      <c r="Y1682" s="118"/>
      <c r="Z1682" s="29"/>
      <c r="AA1682" s="29"/>
      <c r="AB1682" s="29"/>
      <c r="AC1682" s="29"/>
      <c r="AD1682" s="29"/>
      <c r="AE1682" s="29"/>
      <c r="AF1682" s="29"/>
      <c r="AG1682" s="29"/>
      <c r="AH1682" s="123"/>
      <c r="AI1682" s="32"/>
      <c r="AJ1682" s="32"/>
      <c r="AK1682" s="32"/>
      <c r="AL1682" s="32"/>
      <c r="AM1682" s="32"/>
      <c r="AN1682" s="32"/>
      <c r="AO1682" s="32"/>
      <c r="AP1682" s="29"/>
    </row>
    <row r="1683">
      <c r="A1683" s="115"/>
      <c r="B1683" s="116"/>
      <c r="C1683" s="115"/>
      <c r="D1683" s="115"/>
      <c r="E1683" s="115"/>
      <c r="F1683" s="115"/>
      <c r="G1683" s="115"/>
      <c r="H1683" s="115"/>
      <c r="I1683" s="115"/>
      <c r="J1683" s="115"/>
      <c r="K1683" s="115"/>
      <c r="L1683" s="115"/>
      <c r="O1683" s="116"/>
      <c r="Q1683" s="116"/>
      <c r="T1683" s="114"/>
      <c r="Y1683" s="118"/>
      <c r="Z1683" s="29"/>
      <c r="AA1683" s="29"/>
      <c r="AB1683" s="29"/>
      <c r="AC1683" s="29"/>
      <c r="AD1683" s="29"/>
      <c r="AE1683" s="29"/>
      <c r="AF1683" s="29"/>
      <c r="AG1683" s="29"/>
      <c r="AH1683" s="123"/>
      <c r="AI1683" s="32"/>
      <c r="AJ1683" s="32"/>
      <c r="AK1683" s="32"/>
      <c r="AL1683" s="32"/>
      <c r="AM1683" s="32"/>
      <c r="AN1683" s="32"/>
      <c r="AO1683" s="32"/>
      <c r="AP1683" s="29"/>
    </row>
    <row r="1684">
      <c r="A1684" s="115"/>
      <c r="B1684" s="116"/>
      <c r="C1684" s="115"/>
      <c r="D1684" s="115"/>
      <c r="E1684" s="115"/>
      <c r="F1684" s="115"/>
      <c r="G1684" s="115"/>
      <c r="H1684" s="115"/>
      <c r="I1684" s="115"/>
      <c r="J1684" s="115"/>
      <c r="K1684" s="115"/>
      <c r="L1684" s="115"/>
      <c r="O1684" s="116"/>
      <c r="Q1684" s="116"/>
      <c r="T1684" s="114"/>
      <c r="Y1684" s="118"/>
      <c r="Z1684" s="29"/>
      <c r="AA1684" s="29"/>
      <c r="AB1684" s="29"/>
      <c r="AC1684" s="29"/>
      <c r="AD1684" s="29"/>
      <c r="AE1684" s="29"/>
      <c r="AF1684" s="29"/>
      <c r="AG1684" s="29"/>
      <c r="AH1684" s="123"/>
      <c r="AI1684" s="32"/>
      <c r="AJ1684" s="32"/>
      <c r="AK1684" s="32"/>
      <c r="AL1684" s="32"/>
      <c r="AM1684" s="32"/>
      <c r="AN1684" s="32"/>
      <c r="AO1684" s="32"/>
      <c r="AP1684" s="29"/>
    </row>
    <row r="1685">
      <c r="A1685" s="115"/>
      <c r="B1685" s="116"/>
      <c r="C1685" s="115"/>
      <c r="D1685" s="115"/>
      <c r="E1685" s="115"/>
      <c r="F1685" s="115"/>
      <c r="G1685" s="115"/>
      <c r="H1685" s="115"/>
      <c r="I1685" s="115"/>
      <c r="J1685" s="115"/>
      <c r="K1685" s="115"/>
      <c r="L1685" s="115"/>
      <c r="O1685" s="116"/>
      <c r="Q1685" s="116"/>
      <c r="T1685" s="114"/>
      <c r="Y1685" s="118"/>
      <c r="Z1685" s="29"/>
      <c r="AA1685" s="29"/>
      <c r="AB1685" s="29"/>
      <c r="AC1685" s="29"/>
      <c r="AD1685" s="29"/>
      <c r="AE1685" s="29"/>
      <c r="AF1685" s="29"/>
      <c r="AG1685" s="29"/>
      <c r="AH1685" s="123"/>
      <c r="AI1685" s="32"/>
      <c r="AJ1685" s="32"/>
      <c r="AK1685" s="32"/>
      <c r="AL1685" s="32"/>
      <c r="AM1685" s="32"/>
      <c r="AN1685" s="32"/>
      <c r="AO1685" s="32"/>
      <c r="AP1685" s="29"/>
    </row>
    <row r="1686">
      <c r="A1686" s="115"/>
      <c r="B1686" s="116"/>
      <c r="C1686" s="115"/>
      <c r="D1686" s="115"/>
      <c r="E1686" s="115"/>
      <c r="F1686" s="115"/>
      <c r="G1686" s="115"/>
      <c r="H1686" s="115"/>
      <c r="I1686" s="115"/>
      <c r="J1686" s="115"/>
      <c r="K1686" s="115"/>
      <c r="L1686" s="115"/>
      <c r="O1686" s="116"/>
      <c r="Q1686" s="116"/>
      <c r="T1686" s="114"/>
      <c r="Y1686" s="118"/>
      <c r="Z1686" s="29"/>
      <c r="AA1686" s="29"/>
      <c r="AB1686" s="29"/>
      <c r="AC1686" s="29"/>
      <c r="AD1686" s="29"/>
      <c r="AE1686" s="29"/>
      <c r="AF1686" s="29"/>
      <c r="AG1686" s="29"/>
      <c r="AH1686" s="123"/>
      <c r="AI1686" s="32"/>
      <c r="AJ1686" s="32"/>
      <c r="AK1686" s="32"/>
      <c r="AL1686" s="32"/>
      <c r="AM1686" s="32"/>
      <c r="AN1686" s="32"/>
      <c r="AO1686" s="32"/>
      <c r="AP1686" s="29"/>
    </row>
    <row r="1687">
      <c r="A1687" s="115"/>
      <c r="B1687" s="116"/>
      <c r="C1687" s="115"/>
      <c r="D1687" s="115"/>
      <c r="E1687" s="115"/>
      <c r="F1687" s="115"/>
      <c r="G1687" s="115"/>
      <c r="H1687" s="115"/>
      <c r="I1687" s="115"/>
      <c r="J1687" s="115"/>
      <c r="K1687" s="115"/>
      <c r="L1687" s="115"/>
      <c r="O1687" s="116"/>
      <c r="Q1687" s="116"/>
      <c r="T1687" s="114"/>
      <c r="Y1687" s="118"/>
      <c r="Z1687" s="29"/>
      <c r="AA1687" s="29"/>
      <c r="AB1687" s="29"/>
      <c r="AC1687" s="29"/>
      <c r="AD1687" s="29"/>
      <c r="AE1687" s="29"/>
      <c r="AF1687" s="29"/>
      <c r="AG1687" s="29"/>
      <c r="AH1687" s="123"/>
      <c r="AI1687" s="32"/>
      <c r="AJ1687" s="32"/>
      <c r="AK1687" s="32"/>
      <c r="AL1687" s="32"/>
      <c r="AM1687" s="32"/>
      <c r="AN1687" s="32"/>
      <c r="AO1687" s="32"/>
      <c r="AP1687" s="29"/>
    </row>
    <row r="1688">
      <c r="A1688" s="115"/>
      <c r="B1688" s="116"/>
      <c r="C1688" s="115"/>
      <c r="D1688" s="115"/>
      <c r="E1688" s="115"/>
      <c r="F1688" s="115"/>
      <c r="G1688" s="115"/>
      <c r="H1688" s="115"/>
      <c r="I1688" s="115"/>
      <c r="J1688" s="115"/>
      <c r="K1688" s="115"/>
      <c r="L1688" s="115"/>
      <c r="O1688" s="116"/>
      <c r="Q1688" s="116"/>
      <c r="T1688" s="114"/>
      <c r="Y1688" s="118"/>
      <c r="Z1688" s="29"/>
      <c r="AA1688" s="29"/>
      <c r="AB1688" s="29"/>
      <c r="AC1688" s="29"/>
      <c r="AD1688" s="29"/>
      <c r="AE1688" s="29"/>
      <c r="AF1688" s="29"/>
      <c r="AG1688" s="29"/>
      <c r="AH1688" s="123"/>
      <c r="AI1688" s="32"/>
      <c r="AJ1688" s="32"/>
      <c r="AK1688" s="32"/>
      <c r="AL1688" s="32"/>
      <c r="AM1688" s="32"/>
      <c r="AN1688" s="32"/>
      <c r="AO1688" s="32"/>
      <c r="AP1688" s="29"/>
    </row>
    <row r="1689">
      <c r="A1689" s="115"/>
      <c r="B1689" s="116"/>
      <c r="C1689" s="115"/>
      <c r="D1689" s="115"/>
      <c r="E1689" s="115"/>
      <c r="F1689" s="115"/>
      <c r="G1689" s="115"/>
      <c r="H1689" s="115"/>
      <c r="I1689" s="115"/>
      <c r="J1689" s="115"/>
      <c r="K1689" s="115"/>
      <c r="L1689" s="115"/>
      <c r="O1689" s="116"/>
      <c r="Q1689" s="116"/>
      <c r="T1689" s="114"/>
      <c r="Y1689" s="118"/>
      <c r="Z1689" s="29"/>
      <c r="AA1689" s="29"/>
      <c r="AB1689" s="29"/>
      <c r="AC1689" s="29"/>
      <c r="AD1689" s="29"/>
      <c r="AE1689" s="29"/>
      <c r="AF1689" s="29"/>
      <c r="AG1689" s="29"/>
      <c r="AH1689" s="123"/>
      <c r="AI1689" s="32"/>
      <c r="AJ1689" s="32"/>
      <c r="AK1689" s="32"/>
      <c r="AL1689" s="32"/>
      <c r="AM1689" s="32"/>
      <c r="AN1689" s="32"/>
      <c r="AO1689" s="32"/>
      <c r="AP1689" s="29"/>
    </row>
    <row r="1690">
      <c r="A1690" s="115"/>
      <c r="B1690" s="116"/>
      <c r="C1690" s="115"/>
      <c r="D1690" s="115"/>
      <c r="E1690" s="115"/>
      <c r="F1690" s="115"/>
      <c r="G1690" s="115"/>
      <c r="H1690" s="115"/>
      <c r="I1690" s="115"/>
      <c r="J1690" s="115"/>
      <c r="K1690" s="115"/>
      <c r="L1690" s="115"/>
      <c r="O1690" s="116"/>
      <c r="Q1690" s="116"/>
      <c r="T1690" s="114"/>
      <c r="Y1690" s="118"/>
      <c r="Z1690" s="29"/>
      <c r="AA1690" s="29"/>
      <c r="AB1690" s="29"/>
      <c r="AC1690" s="29"/>
      <c r="AD1690" s="29"/>
      <c r="AE1690" s="29"/>
      <c r="AF1690" s="29"/>
      <c r="AG1690" s="29"/>
      <c r="AH1690" s="123"/>
      <c r="AI1690" s="32"/>
      <c r="AJ1690" s="32"/>
      <c r="AK1690" s="32"/>
      <c r="AL1690" s="32"/>
      <c r="AM1690" s="32"/>
      <c r="AN1690" s="32"/>
      <c r="AO1690" s="32"/>
      <c r="AP1690" s="29"/>
    </row>
    <row r="1691">
      <c r="A1691" s="115"/>
      <c r="B1691" s="116"/>
      <c r="C1691" s="115"/>
      <c r="D1691" s="115"/>
      <c r="E1691" s="115"/>
      <c r="F1691" s="115"/>
      <c r="G1691" s="115"/>
      <c r="H1691" s="115"/>
      <c r="I1691" s="115"/>
      <c r="J1691" s="115"/>
      <c r="K1691" s="115"/>
      <c r="L1691" s="115"/>
      <c r="O1691" s="116"/>
      <c r="Q1691" s="116"/>
      <c r="T1691" s="114"/>
      <c r="Y1691" s="118"/>
      <c r="Z1691" s="29"/>
      <c r="AA1691" s="29"/>
      <c r="AB1691" s="29"/>
      <c r="AC1691" s="29"/>
      <c r="AD1691" s="29"/>
      <c r="AE1691" s="29"/>
      <c r="AF1691" s="29"/>
      <c r="AG1691" s="29"/>
      <c r="AH1691" s="123"/>
      <c r="AI1691" s="32"/>
      <c r="AJ1691" s="32"/>
      <c r="AK1691" s="32"/>
      <c r="AL1691" s="32"/>
      <c r="AM1691" s="32"/>
      <c r="AN1691" s="32"/>
      <c r="AO1691" s="32"/>
      <c r="AP1691" s="29"/>
    </row>
    <row r="1692">
      <c r="A1692" s="115"/>
      <c r="B1692" s="116"/>
      <c r="C1692" s="115"/>
      <c r="D1692" s="115"/>
      <c r="E1692" s="115"/>
      <c r="F1692" s="115"/>
      <c r="G1692" s="115"/>
      <c r="H1692" s="115"/>
      <c r="I1692" s="115"/>
      <c r="J1692" s="115"/>
      <c r="K1692" s="115"/>
      <c r="L1692" s="115"/>
      <c r="O1692" s="116"/>
      <c r="Q1692" s="116"/>
      <c r="T1692" s="114"/>
      <c r="Y1692" s="118"/>
      <c r="Z1692" s="29"/>
      <c r="AA1692" s="29"/>
      <c r="AB1692" s="29"/>
      <c r="AC1692" s="29"/>
      <c r="AD1692" s="29"/>
      <c r="AE1692" s="29"/>
      <c r="AF1692" s="29"/>
      <c r="AG1692" s="29"/>
      <c r="AH1692" s="123"/>
      <c r="AI1692" s="32"/>
      <c r="AJ1692" s="32"/>
      <c r="AK1692" s="32"/>
      <c r="AL1692" s="32"/>
      <c r="AM1692" s="32"/>
      <c r="AN1692" s="32"/>
      <c r="AO1692" s="32"/>
      <c r="AP1692" s="29"/>
    </row>
    <row r="1693">
      <c r="A1693" s="115"/>
      <c r="B1693" s="116"/>
      <c r="C1693" s="115"/>
      <c r="D1693" s="115"/>
      <c r="E1693" s="115"/>
      <c r="F1693" s="115"/>
      <c r="G1693" s="115"/>
      <c r="H1693" s="115"/>
      <c r="I1693" s="115"/>
      <c r="J1693" s="115"/>
      <c r="K1693" s="115"/>
      <c r="L1693" s="115"/>
      <c r="O1693" s="116"/>
      <c r="Q1693" s="116"/>
      <c r="T1693" s="114"/>
      <c r="Y1693" s="118"/>
      <c r="Z1693" s="29"/>
      <c r="AA1693" s="29"/>
      <c r="AB1693" s="29"/>
      <c r="AC1693" s="29"/>
      <c r="AD1693" s="29"/>
      <c r="AE1693" s="29"/>
      <c r="AF1693" s="29"/>
      <c r="AG1693" s="29"/>
      <c r="AH1693" s="123"/>
      <c r="AI1693" s="32"/>
      <c r="AJ1693" s="32"/>
      <c r="AK1693" s="32"/>
      <c r="AL1693" s="32"/>
      <c r="AM1693" s="32"/>
      <c r="AN1693" s="32"/>
      <c r="AO1693" s="32"/>
      <c r="AP1693" s="29"/>
    </row>
    <row r="1694">
      <c r="A1694" s="115"/>
      <c r="B1694" s="116"/>
      <c r="C1694" s="115"/>
      <c r="D1694" s="115"/>
      <c r="E1694" s="115"/>
      <c r="F1694" s="115"/>
      <c r="G1694" s="115"/>
      <c r="H1694" s="115"/>
      <c r="I1694" s="115"/>
      <c r="J1694" s="115"/>
      <c r="K1694" s="115"/>
      <c r="L1694" s="115"/>
      <c r="O1694" s="116"/>
      <c r="Q1694" s="116"/>
      <c r="T1694" s="114"/>
      <c r="Y1694" s="118"/>
      <c r="Z1694" s="29"/>
      <c r="AA1694" s="29"/>
      <c r="AB1694" s="29"/>
      <c r="AC1694" s="29"/>
      <c r="AD1694" s="29"/>
      <c r="AE1694" s="29"/>
      <c r="AF1694" s="29"/>
      <c r="AG1694" s="29"/>
      <c r="AH1694" s="123"/>
      <c r="AI1694" s="32"/>
      <c r="AJ1694" s="32"/>
      <c r="AK1694" s="32"/>
      <c r="AL1694" s="32"/>
      <c r="AM1694" s="32"/>
      <c r="AN1694" s="32"/>
      <c r="AO1694" s="32"/>
      <c r="AP1694" s="29"/>
    </row>
    <row r="1695">
      <c r="A1695" s="115"/>
      <c r="B1695" s="116"/>
      <c r="C1695" s="115"/>
      <c r="D1695" s="115"/>
      <c r="E1695" s="115"/>
      <c r="F1695" s="115"/>
      <c r="G1695" s="115"/>
      <c r="H1695" s="115"/>
      <c r="I1695" s="115"/>
      <c r="J1695" s="115"/>
      <c r="K1695" s="115"/>
      <c r="L1695" s="115"/>
      <c r="O1695" s="116"/>
      <c r="Q1695" s="116"/>
      <c r="T1695" s="114"/>
      <c r="Y1695" s="118"/>
      <c r="Z1695" s="29"/>
      <c r="AA1695" s="29"/>
      <c r="AB1695" s="29"/>
      <c r="AC1695" s="29"/>
      <c r="AD1695" s="29"/>
      <c r="AE1695" s="29"/>
      <c r="AF1695" s="29"/>
      <c r="AG1695" s="29"/>
      <c r="AH1695" s="123"/>
      <c r="AI1695" s="32"/>
      <c r="AJ1695" s="32"/>
      <c r="AK1695" s="32"/>
      <c r="AL1695" s="32"/>
      <c r="AM1695" s="32"/>
      <c r="AN1695" s="32"/>
      <c r="AO1695" s="32"/>
      <c r="AP1695" s="29"/>
    </row>
    <row r="1696">
      <c r="A1696" s="115"/>
      <c r="B1696" s="116"/>
      <c r="C1696" s="115"/>
      <c r="D1696" s="115"/>
      <c r="E1696" s="115"/>
      <c r="F1696" s="115"/>
      <c r="G1696" s="115"/>
      <c r="H1696" s="115"/>
      <c r="I1696" s="115"/>
      <c r="J1696" s="115"/>
      <c r="K1696" s="115"/>
      <c r="L1696" s="115"/>
      <c r="O1696" s="116"/>
      <c r="Q1696" s="116"/>
      <c r="T1696" s="114"/>
      <c r="Y1696" s="118"/>
      <c r="Z1696" s="29"/>
      <c r="AA1696" s="29"/>
      <c r="AB1696" s="29"/>
      <c r="AC1696" s="29"/>
      <c r="AD1696" s="29"/>
      <c r="AE1696" s="29"/>
      <c r="AF1696" s="29"/>
      <c r="AG1696" s="29"/>
      <c r="AH1696" s="123"/>
      <c r="AI1696" s="32"/>
      <c r="AJ1696" s="32"/>
      <c r="AK1696" s="32"/>
      <c r="AL1696" s="32"/>
      <c r="AM1696" s="32"/>
      <c r="AN1696" s="32"/>
      <c r="AO1696" s="32"/>
      <c r="AP1696" s="29"/>
    </row>
    <row r="1697">
      <c r="A1697" s="115"/>
      <c r="B1697" s="116"/>
      <c r="C1697" s="115"/>
      <c r="D1697" s="115"/>
      <c r="E1697" s="115"/>
      <c r="F1697" s="115"/>
      <c r="G1697" s="115"/>
      <c r="H1697" s="115"/>
      <c r="I1697" s="115"/>
      <c r="J1697" s="115"/>
      <c r="K1697" s="115"/>
      <c r="L1697" s="115"/>
      <c r="O1697" s="116"/>
      <c r="Q1697" s="116"/>
      <c r="T1697" s="114"/>
      <c r="Y1697" s="118"/>
      <c r="Z1697" s="29"/>
      <c r="AA1697" s="29"/>
      <c r="AB1697" s="29"/>
      <c r="AC1697" s="29"/>
      <c r="AD1697" s="29"/>
      <c r="AE1697" s="29"/>
      <c r="AF1697" s="29"/>
      <c r="AG1697" s="29"/>
      <c r="AH1697" s="123"/>
      <c r="AI1697" s="32"/>
      <c r="AJ1697" s="32"/>
      <c r="AK1697" s="32"/>
      <c r="AL1697" s="32"/>
      <c r="AM1697" s="32"/>
      <c r="AN1697" s="32"/>
      <c r="AO1697" s="32"/>
      <c r="AP1697" s="29"/>
    </row>
    <row r="1698">
      <c r="A1698" s="115"/>
      <c r="B1698" s="116"/>
      <c r="C1698" s="115"/>
      <c r="D1698" s="115"/>
      <c r="E1698" s="115"/>
      <c r="F1698" s="115"/>
      <c r="G1698" s="115"/>
      <c r="H1698" s="115"/>
      <c r="I1698" s="115"/>
      <c r="J1698" s="115"/>
      <c r="K1698" s="115"/>
      <c r="L1698" s="115"/>
      <c r="O1698" s="116"/>
      <c r="Q1698" s="116"/>
      <c r="T1698" s="114"/>
      <c r="Y1698" s="118"/>
      <c r="Z1698" s="29"/>
      <c r="AA1698" s="29"/>
      <c r="AB1698" s="29"/>
      <c r="AC1698" s="29"/>
      <c r="AD1698" s="29"/>
      <c r="AE1698" s="29"/>
      <c r="AF1698" s="29"/>
      <c r="AG1698" s="29"/>
      <c r="AH1698" s="123"/>
      <c r="AI1698" s="32"/>
      <c r="AJ1698" s="32"/>
      <c r="AK1698" s="32"/>
      <c r="AL1698" s="32"/>
      <c r="AM1698" s="32"/>
      <c r="AN1698" s="32"/>
      <c r="AO1698" s="32"/>
      <c r="AP1698" s="29"/>
    </row>
    <row r="1699">
      <c r="A1699" s="115"/>
      <c r="B1699" s="116"/>
      <c r="C1699" s="115"/>
      <c r="D1699" s="115"/>
      <c r="E1699" s="115"/>
      <c r="F1699" s="115"/>
      <c r="G1699" s="115"/>
      <c r="H1699" s="115"/>
      <c r="I1699" s="115"/>
      <c r="J1699" s="115"/>
      <c r="K1699" s="115"/>
      <c r="L1699" s="115"/>
      <c r="O1699" s="116"/>
      <c r="Q1699" s="116"/>
      <c r="T1699" s="114"/>
      <c r="Y1699" s="118"/>
      <c r="Z1699" s="29"/>
      <c r="AA1699" s="29"/>
      <c r="AB1699" s="29"/>
      <c r="AC1699" s="29"/>
      <c r="AD1699" s="29"/>
      <c r="AE1699" s="29"/>
      <c r="AF1699" s="29"/>
      <c r="AG1699" s="29"/>
      <c r="AH1699" s="123"/>
      <c r="AI1699" s="32"/>
      <c r="AJ1699" s="32"/>
      <c r="AK1699" s="32"/>
      <c r="AL1699" s="32"/>
      <c r="AM1699" s="32"/>
      <c r="AN1699" s="32"/>
      <c r="AO1699" s="32"/>
      <c r="AP1699" s="29"/>
    </row>
    <row r="1700">
      <c r="A1700" s="115"/>
      <c r="B1700" s="116"/>
      <c r="C1700" s="115"/>
      <c r="D1700" s="115"/>
      <c r="E1700" s="115"/>
      <c r="F1700" s="115"/>
      <c r="G1700" s="115"/>
      <c r="H1700" s="115"/>
      <c r="I1700" s="115"/>
      <c r="J1700" s="115"/>
      <c r="K1700" s="115"/>
      <c r="L1700" s="115"/>
      <c r="O1700" s="116"/>
      <c r="Q1700" s="116"/>
      <c r="T1700" s="114"/>
      <c r="Y1700" s="118"/>
      <c r="Z1700" s="29"/>
      <c r="AA1700" s="29"/>
      <c r="AB1700" s="29"/>
      <c r="AC1700" s="29"/>
      <c r="AD1700" s="29"/>
      <c r="AE1700" s="29"/>
      <c r="AF1700" s="29"/>
      <c r="AG1700" s="29"/>
      <c r="AH1700" s="123"/>
      <c r="AI1700" s="32"/>
      <c r="AJ1700" s="32"/>
      <c r="AK1700" s="32"/>
      <c r="AL1700" s="32"/>
      <c r="AM1700" s="32"/>
      <c r="AN1700" s="32"/>
      <c r="AO1700" s="32"/>
      <c r="AP1700" s="29"/>
    </row>
    <row r="1701">
      <c r="A1701" s="115"/>
      <c r="B1701" s="116"/>
      <c r="C1701" s="115"/>
      <c r="D1701" s="115"/>
      <c r="E1701" s="115"/>
      <c r="F1701" s="115"/>
      <c r="G1701" s="115"/>
      <c r="H1701" s="115"/>
      <c r="I1701" s="115"/>
      <c r="J1701" s="115"/>
      <c r="K1701" s="115"/>
      <c r="L1701" s="115"/>
      <c r="O1701" s="116"/>
      <c r="Q1701" s="116"/>
      <c r="T1701" s="114"/>
      <c r="Y1701" s="118"/>
      <c r="Z1701" s="29"/>
      <c r="AA1701" s="29"/>
      <c r="AB1701" s="29"/>
      <c r="AC1701" s="29"/>
      <c r="AD1701" s="29"/>
      <c r="AE1701" s="29"/>
      <c r="AF1701" s="29"/>
      <c r="AG1701" s="29"/>
      <c r="AH1701" s="123"/>
      <c r="AI1701" s="32"/>
      <c r="AJ1701" s="32"/>
      <c r="AK1701" s="32"/>
      <c r="AL1701" s="32"/>
      <c r="AM1701" s="32"/>
      <c r="AN1701" s="32"/>
      <c r="AO1701" s="32"/>
      <c r="AP1701" s="29"/>
    </row>
    <row r="1702">
      <c r="A1702" s="115"/>
      <c r="B1702" s="116"/>
      <c r="C1702" s="115"/>
      <c r="D1702" s="115"/>
      <c r="E1702" s="115"/>
      <c r="F1702" s="115"/>
      <c r="G1702" s="115"/>
      <c r="H1702" s="115"/>
      <c r="I1702" s="115"/>
      <c r="J1702" s="115"/>
      <c r="K1702" s="115"/>
      <c r="L1702" s="115"/>
      <c r="O1702" s="116"/>
      <c r="Q1702" s="116"/>
      <c r="T1702" s="114"/>
      <c r="Y1702" s="118"/>
      <c r="Z1702" s="29"/>
      <c r="AA1702" s="29"/>
      <c r="AB1702" s="29"/>
      <c r="AC1702" s="29"/>
      <c r="AD1702" s="29"/>
      <c r="AE1702" s="29"/>
      <c r="AF1702" s="29"/>
      <c r="AG1702" s="29"/>
      <c r="AH1702" s="123"/>
      <c r="AI1702" s="32"/>
      <c r="AJ1702" s="32"/>
      <c r="AK1702" s="32"/>
      <c r="AL1702" s="32"/>
      <c r="AM1702" s="32"/>
      <c r="AN1702" s="32"/>
      <c r="AO1702" s="32"/>
      <c r="AP1702" s="29"/>
    </row>
    <row r="1703">
      <c r="A1703" s="115"/>
      <c r="B1703" s="116"/>
      <c r="C1703" s="115"/>
      <c r="D1703" s="115"/>
      <c r="E1703" s="115"/>
      <c r="F1703" s="115"/>
      <c r="G1703" s="115"/>
      <c r="H1703" s="115"/>
      <c r="I1703" s="115"/>
      <c r="J1703" s="115"/>
      <c r="K1703" s="115"/>
      <c r="L1703" s="115"/>
      <c r="O1703" s="116"/>
      <c r="Q1703" s="116"/>
      <c r="T1703" s="114"/>
      <c r="Y1703" s="118"/>
      <c r="Z1703" s="29"/>
      <c r="AA1703" s="29"/>
      <c r="AB1703" s="29"/>
      <c r="AC1703" s="29"/>
      <c r="AD1703" s="29"/>
      <c r="AE1703" s="29"/>
      <c r="AF1703" s="29"/>
      <c r="AG1703" s="29"/>
      <c r="AH1703" s="123"/>
      <c r="AI1703" s="32"/>
      <c r="AJ1703" s="32"/>
      <c r="AK1703" s="32"/>
      <c r="AL1703" s="32"/>
      <c r="AM1703" s="32"/>
      <c r="AN1703" s="32"/>
      <c r="AO1703" s="32"/>
      <c r="AP1703" s="29"/>
    </row>
    <row r="1704">
      <c r="A1704" s="115"/>
      <c r="B1704" s="116"/>
      <c r="C1704" s="115"/>
      <c r="D1704" s="115"/>
      <c r="E1704" s="115"/>
      <c r="F1704" s="115"/>
      <c r="G1704" s="115"/>
      <c r="H1704" s="115"/>
      <c r="I1704" s="115"/>
      <c r="J1704" s="115"/>
      <c r="K1704" s="115"/>
      <c r="L1704" s="115"/>
      <c r="O1704" s="116"/>
      <c r="Q1704" s="116"/>
      <c r="T1704" s="114"/>
      <c r="Y1704" s="118"/>
      <c r="Z1704" s="29"/>
      <c r="AA1704" s="29"/>
      <c r="AB1704" s="29"/>
      <c r="AC1704" s="29"/>
      <c r="AD1704" s="29"/>
      <c r="AE1704" s="29"/>
      <c r="AF1704" s="29"/>
      <c r="AG1704" s="29"/>
      <c r="AH1704" s="123"/>
      <c r="AI1704" s="32"/>
      <c r="AJ1704" s="32"/>
      <c r="AK1704" s="32"/>
      <c r="AL1704" s="32"/>
      <c r="AM1704" s="32"/>
      <c r="AN1704" s="32"/>
      <c r="AO1704" s="32"/>
      <c r="AP1704" s="29"/>
    </row>
    <row r="1705">
      <c r="A1705" s="115"/>
      <c r="B1705" s="116"/>
      <c r="C1705" s="115"/>
      <c r="D1705" s="115"/>
      <c r="E1705" s="115"/>
      <c r="F1705" s="115"/>
      <c r="G1705" s="115"/>
      <c r="H1705" s="115"/>
      <c r="I1705" s="115"/>
      <c r="J1705" s="115"/>
      <c r="K1705" s="115"/>
      <c r="L1705" s="115"/>
      <c r="O1705" s="116"/>
      <c r="Q1705" s="116"/>
      <c r="T1705" s="114"/>
      <c r="Y1705" s="118"/>
      <c r="Z1705" s="29"/>
      <c r="AA1705" s="29"/>
      <c r="AB1705" s="29"/>
      <c r="AC1705" s="29"/>
      <c r="AD1705" s="29"/>
      <c r="AE1705" s="29"/>
      <c r="AF1705" s="29"/>
      <c r="AG1705" s="29"/>
      <c r="AH1705" s="123"/>
      <c r="AI1705" s="32"/>
      <c r="AJ1705" s="32"/>
      <c r="AK1705" s="32"/>
      <c r="AL1705" s="32"/>
      <c r="AM1705" s="32"/>
      <c r="AN1705" s="32"/>
      <c r="AO1705" s="32"/>
      <c r="AP1705" s="29"/>
    </row>
    <row r="1706">
      <c r="A1706" s="115"/>
      <c r="B1706" s="116"/>
      <c r="C1706" s="115"/>
      <c r="D1706" s="115"/>
      <c r="E1706" s="115"/>
      <c r="F1706" s="115"/>
      <c r="G1706" s="115"/>
      <c r="H1706" s="115"/>
      <c r="I1706" s="115"/>
      <c r="J1706" s="115"/>
      <c r="K1706" s="115"/>
      <c r="L1706" s="115"/>
      <c r="O1706" s="116"/>
      <c r="Q1706" s="116"/>
      <c r="T1706" s="114"/>
      <c r="Y1706" s="118"/>
      <c r="Z1706" s="29"/>
      <c r="AA1706" s="29"/>
      <c r="AB1706" s="29"/>
      <c r="AC1706" s="29"/>
      <c r="AD1706" s="29"/>
      <c r="AE1706" s="29"/>
      <c r="AF1706" s="29"/>
      <c r="AG1706" s="29"/>
      <c r="AH1706" s="123"/>
      <c r="AI1706" s="32"/>
      <c r="AJ1706" s="32"/>
      <c r="AK1706" s="32"/>
      <c r="AL1706" s="32"/>
      <c r="AM1706" s="32"/>
      <c r="AN1706" s="32"/>
      <c r="AO1706" s="32"/>
      <c r="AP1706" s="29"/>
    </row>
    <row r="1707">
      <c r="A1707" s="115"/>
      <c r="B1707" s="116"/>
      <c r="C1707" s="115"/>
      <c r="D1707" s="115"/>
      <c r="E1707" s="115"/>
      <c r="F1707" s="115"/>
      <c r="G1707" s="115"/>
      <c r="H1707" s="115"/>
      <c r="I1707" s="115"/>
      <c r="J1707" s="115"/>
      <c r="K1707" s="115"/>
      <c r="L1707" s="115"/>
      <c r="O1707" s="116"/>
      <c r="Q1707" s="116"/>
      <c r="T1707" s="114"/>
      <c r="Y1707" s="118"/>
      <c r="Z1707" s="29"/>
      <c r="AA1707" s="29"/>
      <c r="AB1707" s="29"/>
      <c r="AC1707" s="29"/>
      <c r="AD1707" s="29"/>
      <c r="AE1707" s="29"/>
      <c r="AF1707" s="29"/>
      <c r="AG1707" s="29"/>
      <c r="AH1707" s="123"/>
      <c r="AI1707" s="32"/>
      <c r="AJ1707" s="32"/>
      <c r="AK1707" s="32"/>
      <c r="AL1707" s="32"/>
      <c r="AM1707" s="32"/>
      <c r="AN1707" s="32"/>
      <c r="AO1707" s="32"/>
      <c r="AP1707" s="29"/>
    </row>
    <row r="1708">
      <c r="A1708" s="115"/>
      <c r="B1708" s="116"/>
      <c r="C1708" s="115"/>
      <c r="D1708" s="115"/>
      <c r="E1708" s="115"/>
      <c r="F1708" s="115"/>
      <c r="G1708" s="115"/>
      <c r="H1708" s="115"/>
      <c r="I1708" s="115"/>
      <c r="J1708" s="115"/>
      <c r="K1708" s="115"/>
      <c r="L1708" s="115"/>
      <c r="O1708" s="116"/>
      <c r="Q1708" s="116"/>
      <c r="T1708" s="114"/>
      <c r="Y1708" s="118"/>
      <c r="Z1708" s="29"/>
      <c r="AA1708" s="29"/>
      <c r="AB1708" s="29"/>
      <c r="AC1708" s="29"/>
      <c r="AD1708" s="29"/>
      <c r="AE1708" s="29"/>
      <c r="AF1708" s="29"/>
      <c r="AG1708" s="29"/>
      <c r="AH1708" s="123"/>
      <c r="AI1708" s="32"/>
      <c r="AJ1708" s="32"/>
      <c r="AK1708" s="32"/>
      <c r="AL1708" s="32"/>
      <c r="AM1708" s="32"/>
      <c r="AN1708" s="32"/>
      <c r="AO1708" s="32"/>
      <c r="AP1708" s="29"/>
    </row>
    <row r="1709">
      <c r="A1709" s="115"/>
      <c r="B1709" s="116"/>
      <c r="C1709" s="115"/>
      <c r="D1709" s="115"/>
      <c r="E1709" s="115"/>
      <c r="F1709" s="115"/>
      <c r="G1709" s="115"/>
      <c r="H1709" s="115"/>
      <c r="I1709" s="115"/>
      <c r="J1709" s="115"/>
      <c r="K1709" s="115"/>
      <c r="L1709" s="115"/>
      <c r="O1709" s="116"/>
      <c r="Q1709" s="116"/>
      <c r="T1709" s="114"/>
      <c r="Y1709" s="118"/>
      <c r="Z1709" s="29"/>
      <c r="AA1709" s="29"/>
      <c r="AB1709" s="29"/>
      <c r="AC1709" s="29"/>
      <c r="AD1709" s="29"/>
      <c r="AE1709" s="29"/>
      <c r="AF1709" s="29"/>
      <c r="AG1709" s="29"/>
      <c r="AH1709" s="123"/>
      <c r="AI1709" s="32"/>
      <c r="AJ1709" s="32"/>
      <c r="AK1709" s="32"/>
      <c r="AL1709" s="32"/>
      <c r="AM1709" s="32"/>
      <c r="AN1709" s="32"/>
      <c r="AO1709" s="32"/>
      <c r="AP1709" s="29"/>
    </row>
    <row r="1710">
      <c r="A1710" s="115"/>
      <c r="B1710" s="116"/>
      <c r="C1710" s="115"/>
      <c r="D1710" s="115"/>
      <c r="E1710" s="115"/>
      <c r="F1710" s="115"/>
      <c r="G1710" s="115"/>
      <c r="H1710" s="115"/>
      <c r="I1710" s="115"/>
      <c r="J1710" s="115"/>
      <c r="K1710" s="115"/>
      <c r="L1710" s="115"/>
      <c r="O1710" s="116"/>
      <c r="Q1710" s="116"/>
      <c r="T1710" s="114"/>
      <c r="Y1710" s="118"/>
      <c r="Z1710" s="29"/>
      <c r="AA1710" s="29"/>
      <c r="AB1710" s="29"/>
      <c r="AC1710" s="29"/>
      <c r="AD1710" s="29"/>
      <c r="AE1710" s="29"/>
      <c r="AF1710" s="29"/>
      <c r="AG1710" s="29"/>
      <c r="AH1710" s="123"/>
      <c r="AI1710" s="32"/>
      <c r="AJ1710" s="32"/>
      <c r="AK1710" s="32"/>
      <c r="AL1710" s="32"/>
      <c r="AM1710" s="32"/>
      <c r="AN1710" s="32"/>
      <c r="AO1710" s="32"/>
      <c r="AP1710" s="29"/>
    </row>
    <row r="1711">
      <c r="A1711" s="115"/>
      <c r="B1711" s="116"/>
      <c r="C1711" s="115"/>
      <c r="D1711" s="115"/>
      <c r="E1711" s="115"/>
      <c r="F1711" s="115"/>
      <c r="G1711" s="115"/>
      <c r="H1711" s="115"/>
      <c r="I1711" s="115"/>
      <c r="J1711" s="115"/>
      <c r="K1711" s="115"/>
      <c r="L1711" s="115"/>
      <c r="O1711" s="116"/>
      <c r="Q1711" s="116"/>
      <c r="T1711" s="114"/>
      <c r="Y1711" s="118"/>
      <c r="Z1711" s="29"/>
      <c r="AA1711" s="29"/>
      <c r="AB1711" s="29"/>
      <c r="AC1711" s="29"/>
      <c r="AD1711" s="29"/>
      <c r="AE1711" s="29"/>
      <c r="AF1711" s="29"/>
      <c r="AG1711" s="29"/>
      <c r="AH1711" s="123"/>
      <c r="AI1711" s="32"/>
      <c r="AJ1711" s="32"/>
      <c r="AK1711" s="32"/>
      <c r="AL1711" s="32"/>
      <c r="AM1711" s="32"/>
      <c r="AN1711" s="32"/>
      <c r="AO1711" s="32"/>
      <c r="AP1711" s="29"/>
    </row>
    <row r="1712">
      <c r="A1712" s="115"/>
      <c r="B1712" s="116"/>
      <c r="C1712" s="115"/>
      <c r="D1712" s="115"/>
      <c r="E1712" s="115"/>
      <c r="F1712" s="115"/>
      <c r="G1712" s="115"/>
      <c r="H1712" s="115"/>
      <c r="I1712" s="115"/>
      <c r="J1712" s="115"/>
      <c r="K1712" s="115"/>
      <c r="L1712" s="115"/>
      <c r="O1712" s="116"/>
      <c r="Q1712" s="116"/>
      <c r="T1712" s="114"/>
      <c r="Y1712" s="118"/>
      <c r="Z1712" s="29"/>
      <c r="AA1712" s="29"/>
      <c r="AB1712" s="29"/>
      <c r="AC1712" s="29"/>
      <c r="AD1712" s="29"/>
      <c r="AE1712" s="29"/>
      <c r="AF1712" s="29"/>
      <c r="AG1712" s="29"/>
      <c r="AH1712" s="123"/>
      <c r="AI1712" s="32"/>
      <c r="AJ1712" s="32"/>
      <c r="AK1712" s="32"/>
      <c r="AL1712" s="32"/>
      <c r="AM1712" s="32"/>
      <c r="AN1712" s="32"/>
      <c r="AO1712" s="32"/>
      <c r="AP1712" s="29"/>
    </row>
    <row r="1713">
      <c r="A1713" s="115"/>
      <c r="B1713" s="116"/>
      <c r="C1713" s="115"/>
      <c r="D1713" s="115"/>
      <c r="E1713" s="115"/>
      <c r="F1713" s="115"/>
      <c r="G1713" s="115"/>
      <c r="H1713" s="115"/>
      <c r="I1713" s="115"/>
      <c r="J1713" s="115"/>
      <c r="K1713" s="115"/>
      <c r="L1713" s="115"/>
      <c r="O1713" s="116"/>
      <c r="Q1713" s="116"/>
      <c r="T1713" s="114"/>
      <c r="Y1713" s="118"/>
      <c r="Z1713" s="29"/>
      <c r="AA1713" s="29"/>
      <c r="AB1713" s="29"/>
      <c r="AC1713" s="29"/>
      <c r="AD1713" s="29"/>
      <c r="AE1713" s="29"/>
      <c r="AF1713" s="29"/>
      <c r="AG1713" s="29"/>
      <c r="AH1713" s="123"/>
      <c r="AI1713" s="32"/>
      <c r="AJ1713" s="32"/>
      <c r="AK1713" s="32"/>
      <c r="AL1713" s="32"/>
      <c r="AM1713" s="32"/>
      <c r="AN1713" s="32"/>
      <c r="AO1713" s="32"/>
      <c r="AP1713" s="29"/>
    </row>
    <row r="1714">
      <c r="A1714" s="115"/>
      <c r="B1714" s="116"/>
      <c r="C1714" s="115"/>
      <c r="D1714" s="115"/>
      <c r="E1714" s="115"/>
      <c r="F1714" s="115"/>
      <c r="G1714" s="115"/>
      <c r="H1714" s="115"/>
      <c r="I1714" s="115"/>
      <c r="J1714" s="115"/>
      <c r="K1714" s="115"/>
      <c r="L1714" s="115"/>
      <c r="O1714" s="116"/>
      <c r="Q1714" s="116"/>
      <c r="T1714" s="114"/>
      <c r="Y1714" s="118"/>
      <c r="Z1714" s="29"/>
      <c r="AA1714" s="29"/>
      <c r="AB1714" s="29"/>
      <c r="AC1714" s="29"/>
      <c r="AD1714" s="29"/>
      <c r="AE1714" s="29"/>
      <c r="AF1714" s="29"/>
      <c r="AG1714" s="29"/>
      <c r="AH1714" s="123"/>
      <c r="AI1714" s="32"/>
      <c r="AJ1714" s="32"/>
      <c r="AK1714" s="32"/>
      <c r="AL1714" s="32"/>
      <c r="AM1714" s="32"/>
      <c r="AN1714" s="32"/>
      <c r="AO1714" s="32"/>
      <c r="AP1714" s="29"/>
    </row>
    <row r="1715">
      <c r="A1715" s="115"/>
      <c r="B1715" s="116"/>
      <c r="C1715" s="115"/>
      <c r="D1715" s="115"/>
      <c r="E1715" s="115"/>
      <c r="F1715" s="115"/>
      <c r="G1715" s="115"/>
      <c r="H1715" s="115"/>
      <c r="I1715" s="115"/>
      <c r="J1715" s="115"/>
      <c r="K1715" s="115"/>
      <c r="L1715" s="115"/>
      <c r="O1715" s="116"/>
      <c r="Q1715" s="116"/>
      <c r="T1715" s="114"/>
      <c r="Y1715" s="118"/>
      <c r="Z1715" s="29"/>
      <c r="AA1715" s="29"/>
      <c r="AB1715" s="29"/>
      <c r="AC1715" s="29"/>
      <c r="AD1715" s="29"/>
      <c r="AE1715" s="29"/>
      <c r="AF1715" s="29"/>
      <c r="AG1715" s="29"/>
      <c r="AH1715" s="123"/>
      <c r="AI1715" s="32"/>
      <c r="AJ1715" s="32"/>
      <c r="AK1715" s="32"/>
      <c r="AL1715" s="32"/>
      <c r="AM1715" s="32"/>
      <c r="AN1715" s="32"/>
      <c r="AO1715" s="32"/>
      <c r="AP1715" s="29"/>
    </row>
    <row r="1716">
      <c r="A1716" s="115"/>
      <c r="B1716" s="116"/>
      <c r="C1716" s="115"/>
      <c r="D1716" s="115"/>
      <c r="E1716" s="115"/>
      <c r="F1716" s="115"/>
      <c r="G1716" s="115"/>
      <c r="H1716" s="115"/>
      <c r="I1716" s="115"/>
      <c r="J1716" s="115"/>
      <c r="K1716" s="115"/>
      <c r="L1716" s="115"/>
      <c r="O1716" s="116"/>
      <c r="Q1716" s="116"/>
      <c r="T1716" s="114"/>
      <c r="Y1716" s="118"/>
      <c r="Z1716" s="29"/>
      <c r="AA1716" s="29"/>
      <c r="AB1716" s="29"/>
      <c r="AC1716" s="29"/>
      <c r="AD1716" s="29"/>
      <c r="AE1716" s="29"/>
      <c r="AF1716" s="29"/>
      <c r="AG1716" s="29"/>
      <c r="AH1716" s="123"/>
      <c r="AI1716" s="32"/>
      <c r="AJ1716" s="32"/>
      <c r="AK1716" s="32"/>
      <c r="AL1716" s="32"/>
      <c r="AM1716" s="32"/>
      <c r="AN1716" s="32"/>
      <c r="AO1716" s="32"/>
      <c r="AP1716" s="29"/>
    </row>
    <row r="1717">
      <c r="A1717" s="115"/>
      <c r="B1717" s="116"/>
      <c r="C1717" s="115"/>
      <c r="D1717" s="115"/>
      <c r="E1717" s="115"/>
      <c r="F1717" s="115"/>
      <c r="G1717" s="115"/>
      <c r="H1717" s="115"/>
      <c r="I1717" s="115"/>
      <c r="J1717" s="115"/>
      <c r="K1717" s="115"/>
      <c r="L1717" s="115"/>
      <c r="O1717" s="116"/>
      <c r="Q1717" s="116"/>
      <c r="T1717" s="114"/>
      <c r="Y1717" s="118"/>
      <c r="Z1717" s="29"/>
      <c r="AA1717" s="29"/>
      <c r="AB1717" s="29"/>
      <c r="AC1717" s="29"/>
      <c r="AD1717" s="29"/>
      <c r="AE1717" s="29"/>
      <c r="AF1717" s="29"/>
      <c r="AG1717" s="29"/>
      <c r="AH1717" s="123"/>
      <c r="AI1717" s="32"/>
      <c r="AJ1717" s="32"/>
      <c r="AK1717" s="32"/>
      <c r="AL1717" s="32"/>
      <c r="AM1717" s="32"/>
      <c r="AN1717" s="32"/>
      <c r="AO1717" s="32"/>
      <c r="AP1717" s="29"/>
    </row>
    <row r="1718">
      <c r="A1718" s="115"/>
      <c r="B1718" s="116"/>
      <c r="C1718" s="115"/>
      <c r="D1718" s="115"/>
      <c r="E1718" s="115"/>
      <c r="F1718" s="115"/>
      <c r="G1718" s="115"/>
      <c r="H1718" s="115"/>
      <c r="I1718" s="115"/>
      <c r="J1718" s="115"/>
      <c r="K1718" s="115"/>
      <c r="L1718" s="115"/>
      <c r="O1718" s="116"/>
      <c r="Q1718" s="116"/>
      <c r="T1718" s="114"/>
      <c r="Y1718" s="118"/>
      <c r="Z1718" s="29"/>
      <c r="AA1718" s="29"/>
      <c r="AB1718" s="29"/>
      <c r="AC1718" s="29"/>
      <c r="AD1718" s="29"/>
      <c r="AE1718" s="29"/>
      <c r="AF1718" s="29"/>
      <c r="AG1718" s="29"/>
      <c r="AH1718" s="123"/>
      <c r="AI1718" s="32"/>
      <c r="AJ1718" s="32"/>
      <c r="AK1718" s="32"/>
      <c r="AL1718" s="32"/>
      <c r="AM1718" s="32"/>
      <c r="AN1718" s="32"/>
      <c r="AO1718" s="32"/>
      <c r="AP1718" s="29"/>
    </row>
    <row r="1719">
      <c r="A1719" s="115"/>
      <c r="B1719" s="116"/>
      <c r="C1719" s="115"/>
      <c r="D1719" s="115"/>
      <c r="E1719" s="115"/>
      <c r="F1719" s="115"/>
      <c r="G1719" s="115"/>
      <c r="H1719" s="115"/>
      <c r="I1719" s="115"/>
      <c r="J1719" s="115"/>
      <c r="K1719" s="115"/>
      <c r="L1719" s="115"/>
      <c r="O1719" s="116"/>
      <c r="Q1719" s="116"/>
      <c r="T1719" s="114"/>
      <c r="Y1719" s="118"/>
      <c r="Z1719" s="29"/>
      <c r="AA1719" s="29"/>
      <c r="AB1719" s="29"/>
      <c r="AC1719" s="29"/>
      <c r="AD1719" s="29"/>
      <c r="AE1719" s="29"/>
      <c r="AF1719" s="29"/>
      <c r="AG1719" s="29"/>
      <c r="AH1719" s="123"/>
      <c r="AI1719" s="32"/>
      <c r="AJ1719" s="32"/>
      <c r="AK1719" s="32"/>
      <c r="AL1719" s="32"/>
      <c r="AM1719" s="32"/>
      <c r="AN1719" s="32"/>
      <c r="AO1719" s="32"/>
      <c r="AP1719" s="29"/>
    </row>
    <row r="1720">
      <c r="A1720" s="115"/>
      <c r="B1720" s="116"/>
      <c r="C1720" s="115"/>
      <c r="D1720" s="115"/>
      <c r="E1720" s="115"/>
      <c r="F1720" s="115"/>
      <c r="G1720" s="115"/>
      <c r="H1720" s="115"/>
      <c r="I1720" s="115"/>
      <c r="J1720" s="115"/>
      <c r="K1720" s="115"/>
      <c r="L1720" s="115"/>
      <c r="O1720" s="116"/>
      <c r="Q1720" s="116"/>
      <c r="T1720" s="114"/>
      <c r="Y1720" s="118"/>
      <c r="Z1720" s="29"/>
      <c r="AA1720" s="29"/>
      <c r="AB1720" s="29"/>
      <c r="AC1720" s="29"/>
      <c r="AD1720" s="29"/>
      <c r="AE1720" s="29"/>
      <c r="AF1720" s="29"/>
      <c r="AG1720" s="29"/>
      <c r="AH1720" s="123"/>
      <c r="AI1720" s="32"/>
      <c r="AJ1720" s="32"/>
      <c r="AK1720" s="32"/>
      <c r="AL1720" s="32"/>
      <c r="AM1720" s="32"/>
      <c r="AN1720" s="32"/>
      <c r="AO1720" s="32"/>
      <c r="AP1720" s="29"/>
    </row>
    <row r="1721">
      <c r="A1721" s="115"/>
      <c r="B1721" s="116"/>
      <c r="C1721" s="115"/>
      <c r="D1721" s="115"/>
      <c r="E1721" s="115"/>
      <c r="F1721" s="115"/>
      <c r="G1721" s="115"/>
      <c r="H1721" s="115"/>
      <c r="I1721" s="115"/>
      <c r="J1721" s="115"/>
      <c r="K1721" s="115"/>
      <c r="L1721" s="115"/>
      <c r="O1721" s="116"/>
      <c r="Q1721" s="116"/>
      <c r="T1721" s="114"/>
      <c r="Y1721" s="118"/>
      <c r="Z1721" s="29"/>
      <c r="AA1721" s="29"/>
      <c r="AB1721" s="29"/>
      <c r="AC1721" s="29"/>
      <c r="AD1721" s="29"/>
      <c r="AE1721" s="29"/>
      <c r="AF1721" s="29"/>
      <c r="AG1721" s="29"/>
      <c r="AH1721" s="123"/>
      <c r="AI1721" s="32"/>
      <c r="AJ1721" s="32"/>
      <c r="AK1721" s="32"/>
      <c r="AL1721" s="32"/>
      <c r="AM1721" s="32"/>
      <c r="AN1721" s="32"/>
      <c r="AO1721" s="32"/>
      <c r="AP1721" s="29"/>
    </row>
    <row r="1722">
      <c r="A1722" s="115"/>
      <c r="B1722" s="116"/>
      <c r="C1722" s="115"/>
      <c r="D1722" s="115"/>
      <c r="E1722" s="115"/>
      <c r="F1722" s="115"/>
      <c r="G1722" s="115"/>
      <c r="H1722" s="115"/>
      <c r="I1722" s="115"/>
      <c r="J1722" s="115"/>
      <c r="K1722" s="115"/>
      <c r="L1722" s="115"/>
      <c r="O1722" s="116"/>
      <c r="Q1722" s="116"/>
      <c r="T1722" s="114"/>
      <c r="Y1722" s="118"/>
      <c r="Z1722" s="29"/>
      <c r="AA1722" s="29"/>
      <c r="AB1722" s="29"/>
      <c r="AC1722" s="29"/>
      <c r="AD1722" s="29"/>
      <c r="AE1722" s="29"/>
      <c r="AF1722" s="29"/>
      <c r="AG1722" s="29"/>
      <c r="AH1722" s="123"/>
      <c r="AI1722" s="32"/>
      <c r="AJ1722" s="32"/>
      <c r="AK1722" s="32"/>
      <c r="AL1722" s="32"/>
      <c r="AM1722" s="32"/>
      <c r="AN1722" s="32"/>
      <c r="AO1722" s="32"/>
      <c r="AP1722" s="29"/>
    </row>
    <row r="1723">
      <c r="A1723" s="115"/>
      <c r="B1723" s="116"/>
      <c r="C1723" s="115"/>
      <c r="D1723" s="115"/>
      <c r="E1723" s="115"/>
      <c r="F1723" s="115"/>
      <c r="G1723" s="115"/>
      <c r="H1723" s="115"/>
      <c r="I1723" s="115"/>
      <c r="J1723" s="115"/>
      <c r="K1723" s="115"/>
      <c r="L1723" s="115"/>
      <c r="O1723" s="116"/>
      <c r="Q1723" s="116"/>
      <c r="T1723" s="114"/>
      <c r="Y1723" s="118"/>
      <c r="Z1723" s="29"/>
      <c r="AA1723" s="29"/>
      <c r="AB1723" s="29"/>
      <c r="AC1723" s="29"/>
      <c r="AD1723" s="29"/>
      <c r="AE1723" s="29"/>
      <c r="AF1723" s="29"/>
      <c r="AG1723" s="29"/>
      <c r="AH1723" s="123"/>
      <c r="AI1723" s="32"/>
      <c r="AJ1723" s="32"/>
      <c r="AK1723" s="32"/>
      <c r="AL1723" s="32"/>
      <c r="AM1723" s="32"/>
      <c r="AN1723" s="32"/>
      <c r="AO1723" s="32"/>
      <c r="AP1723" s="29"/>
    </row>
    <row r="1724">
      <c r="A1724" s="115"/>
      <c r="B1724" s="116"/>
      <c r="C1724" s="115"/>
      <c r="D1724" s="115"/>
      <c r="E1724" s="115"/>
      <c r="F1724" s="115"/>
      <c r="G1724" s="115"/>
      <c r="H1724" s="115"/>
      <c r="I1724" s="115"/>
      <c r="J1724" s="115"/>
      <c r="K1724" s="115"/>
      <c r="L1724" s="115"/>
      <c r="O1724" s="116"/>
      <c r="Q1724" s="116"/>
      <c r="T1724" s="114"/>
      <c r="Y1724" s="118"/>
      <c r="Z1724" s="29"/>
      <c r="AA1724" s="29"/>
      <c r="AB1724" s="29"/>
      <c r="AC1724" s="29"/>
      <c r="AD1724" s="29"/>
      <c r="AE1724" s="29"/>
      <c r="AF1724" s="29"/>
      <c r="AG1724" s="29"/>
      <c r="AH1724" s="123"/>
      <c r="AI1724" s="32"/>
      <c r="AJ1724" s="32"/>
      <c r="AK1724" s="32"/>
      <c r="AL1724" s="32"/>
      <c r="AM1724" s="32"/>
      <c r="AN1724" s="32"/>
      <c r="AO1724" s="32"/>
      <c r="AP1724" s="29"/>
    </row>
    <row r="1725">
      <c r="A1725" s="115"/>
      <c r="B1725" s="116"/>
      <c r="C1725" s="115"/>
      <c r="D1725" s="115"/>
      <c r="E1725" s="115"/>
      <c r="F1725" s="115"/>
      <c r="G1725" s="115"/>
      <c r="H1725" s="115"/>
      <c r="I1725" s="115"/>
      <c r="J1725" s="115"/>
      <c r="K1725" s="115"/>
      <c r="L1725" s="115"/>
      <c r="O1725" s="116"/>
      <c r="Q1725" s="116"/>
      <c r="T1725" s="114"/>
      <c r="Y1725" s="118"/>
      <c r="Z1725" s="29"/>
      <c r="AA1725" s="29"/>
      <c r="AB1725" s="29"/>
      <c r="AC1725" s="29"/>
      <c r="AD1725" s="29"/>
      <c r="AE1725" s="29"/>
      <c r="AF1725" s="29"/>
      <c r="AG1725" s="29"/>
      <c r="AH1725" s="123"/>
      <c r="AI1725" s="32"/>
      <c r="AJ1725" s="32"/>
      <c r="AK1725" s="32"/>
      <c r="AL1725" s="32"/>
      <c r="AM1725" s="32"/>
      <c r="AN1725" s="32"/>
      <c r="AO1725" s="32"/>
      <c r="AP1725" s="29"/>
    </row>
    <row r="1726">
      <c r="A1726" s="115"/>
      <c r="B1726" s="116"/>
      <c r="C1726" s="115"/>
      <c r="D1726" s="115"/>
      <c r="E1726" s="115"/>
      <c r="F1726" s="115"/>
      <c r="G1726" s="115"/>
      <c r="H1726" s="115"/>
      <c r="I1726" s="115"/>
      <c r="J1726" s="115"/>
      <c r="K1726" s="115"/>
      <c r="L1726" s="115"/>
      <c r="O1726" s="116"/>
      <c r="Q1726" s="116"/>
      <c r="T1726" s="114"/>
      <c r="Y1726" s="118"/>
      <c r="Z1726" s="29"/>
      <c r="AA1726" s="29"/>
      <c r="AB1726" s="29"/>
      <c r="AC1726" s="29"/>
      <c r="AD1726" s="29"/>
      <c r="AE1726" s="29"/>
      <c r="AF1726" s="29"/>
      <c r="AG1726" s="29"/>
      <c r="AH1726" s="123"/>
      <c r="AI1726" s="32"/>
      <c r="AJ1726" s="32"/>
      <c r="AK1726" s="32"/>
      <c r="AL1726" s="32"/>
      <c r="AM1726" s="32"/>
      <c r="AN1726" s="32"/>
      <c r="AO1726" s="32"/>
      <c r="AP1726" s="29"/>
    </row>
    <row r="1727">
      <c r="A1727" s="115"/>
      <c r="B1727" s="116"/>
      <c r="C1727" s="115"/>
      <c r="D1727" s="115"/>
      <c r="E1727" s="115"/>
      <c r="F1727" s="115"/>
      <c r="G1727" s="115"/>
      <c r="H1727" s="115"/>
      <c r="I1727" s="115"/>
      <c r="J1727" s="115"/>
      <c r="K1727" s="115"/>
      <c r="L1727" s="115"/>
      <c r="O1727" s="116"/>
      <c r="Q1727" s="116"/>
      <c r="T1727" s="114"/>
      <c r="Y1727" s="118"/>
      <c r="Z1727" s="29"/>
      <c r="AA1727" s="29"/>
      <c r="AB1727" s="29"/>
      <c r="AC1727" s="29"/>
      <c r="AD1727" s="29"/>
      <c r="AE1727" s="29"/>
      <c r="AF1727" s="29"/>
      <c r="AG1727" s="29"/>
      <c r="AH1727" s="123"/>
      <c r="AI1727" s="32"/>
      <c r="AJ1727" s="32"/>
      <c r="AK1727" s="32"/>
      <c r="AL1727" s="32"/>
      <c r="AM1727" s="32"/>
      <c r="AN1727" s="32"/>
      <c r="AO1727" s="32"/>
      <c r="AP1727" s="29"/>
    </row>
    <row r="1728">
      <c r="A1728" s="115"/>
      <c r="B1728" s="116"/>
      <c r="C1728" s="115"/>
      <c r="D1728" s="115"/>
      <c r="E1728" s="115"/>
      <c r="F1728" s="115"/>
      <c r="G1728" s="115"/>
      <c r="H1728" s="115"/>
      <c r="I1728" s="115"/>
      <c r="J1728" s="115"/>
      <c r="K1728" s="115"/>
      <c r="L1728" s="115"/>
      <c r="O1728" s="116"/>
      <c r="Q1728" s="116"/>
      <c r="T1728" s="114"/>
      <c r="Y1728" s="118"/>
      <c r="Z1728" s="29"/>
      <c r="AA1728" s="29"/>
      <c r="AB1728" s="29"/>
      <c r="AC1728" s="29"/>
      <c r="AD1728" s="29"/>
      <c r="AE1728" s="29"/>
      <c r="AF1728" s="29"/>
      <c r="AG1728" s="29"/>
      <c r="AH1728" s="123"/>
      <c r="AI1728" s="32"/>
      <c r="AJ1728" s="32"/>
      <c r="AK1728" s="32"/>
      <c r="AL1728" s="32"/>
      <c r="AM1728" s="32"/>
      <c r="AN1728" s="32"/>
      <c r="AO1728" s="32"/>
      <c r="AP1728" s="29"/>
    </row>
    <row r="1729">
      <c r="A1729" s="115"/>
      <c r="B1729" s="116"/>
      <c r="C1729" s="115"/>
      <c r="D1729" s="115"/>
      <c r="E1729" s="115"/>
      <c r="F1729" s="115"/>
      <c r="G1729" s="115"/>
      <c r="H1729" s="115"/>
      <c r="I1729" s="115"/>
      <c r="J1729" s="115"/>
      <c r="K1729" s="115"/>
      <c r="L1729" s="115"/>
      <c r="O1729" s="116"/>
      <c r="Q1729" s="116"/>
      <c r="T1729" s="114"/>
      <c r="Y1729" s="118"/>
      <c r="Z1729" s="29"/>
      <c r="AA1729" s="29"/>
      <c r="AB1729" s="29"/>
      <c r="AC1729" s="29"/>
      <c r="AD1729" s="29"/>
      <c r="AE1729" s="29"/>
      <c r="AF1729" s="29"/>
      <c r="AG1729" s="29"/>
      <c r="AH1729" s="123"/>
      <c r="AI1729" s="32"/>
      <c r="AJ1729" s="32"/>
      <c r="AK1729" s="32"/>
      <c r="AL1729" s="32"/>
      <c r="AM1729" s="32"/>
      <c r="AN1729" s="32"/>
      <c r="AO1729" s="32"/>
      <c r="AP1729" s="29"/>
    </row>
    <row r="1730">
      <c r="A1730" s="115"/>
      <c r="B1730" s="116"/>
      <c r="C1730" s="115"/>
      <c r="D1730" s="115"/>
      <c r="E1730" s="115"/>
      <c r="F1730" s="115"/>
      <c r="G1730" s="115"/>
      <c r="H1730" s="115"/>
      <c r="I1730" s="115"/>
      <c r="J1730" s="115"/>
      <c r="K1730" s="115"/>
      <c r="L1730" s="115"/>
      <c r="O1730" s="116"/>
      <c r="Q1730" s="116"/>
      <c r="T1730" s="114"/>
      <c r="Y1730" s="118"/>
      <c r="Z1730" s="29"/>
      <c r="AA1730" s="29"/>
      <c r="AB1730" s="29"/>
      <c r="AC1730" s="29"/>
      <c r="AD1730" s="29"/>
      <c r="AE1730" s="29"/>
      <c r="AF1730" s="29"/>
      <c r="AG1730" s="29"/>
      <c r="AH1730" s="123"/>
      <c r="AI1730" s="32"/>
      <c r="AJ1730" s="32"/>
      <c r="AK1730" s="32"/>
      <c r="AL1730" s="32"/>
      <c r="AM1730" s="32"/>
      <c r="AN1730" s="32"/>
      <c r="AO1730" s="32"/>
      <c r="AP1730" s="29"/>
    </row>
    <row r="1731">
      <c r="A1731" s="115"/>
      <c r="B1731" s="116"/>
      <c r="C1731" s="115"/>
      <c r="D1731" s="115"/>
      <c r="E1731" s="115"/>
      <c r="F1731" s="115"/>
      <c r="G1731" s="115"/>
      <c r="H1731" s="115"/>
      <c r="I1731" s="115"/>
      <c r="J1731" s="115"/>
      <c r="K1731" s="115"/>
      <c r="L1731" s="115"/>
      <c r="O1731" s="116"/>
      <c r="Q1731" s="116"/>
      <c r="T1731" s="114"/>
      <c r="Y1731" s="118"/>
      <c r="Z1731" s="29"/>
      <c r="AA1731" s="29"/>
      <c r="AB1731" s="29"/>
      <c r="AC1731" s="29"/>
      <c r="AD1731" s="29"/>
      <c r="AE1731" s="29"/>
      <c r="AF1731" s="29"/>
      <c r="AG1731" s="29"/>
      <c r="AH1731" s="123"/>
      <c r="AI1731" s="32"/>
      <c r="AJ1731" s="32"/>
      <c r="AK1731" s="32"/>
      <c r="AL1731" s="32"/>
      <c r="AM1731" s="32"/>
      <c r="AN1731" s="32"/>
      <c r="AO1731" s="32"/>
      <c r="AP1731" s="29"/>
    </row>
    <row r="1732">
      <c r="A1732" s="115"/>
      <c r="B1732" s="116"/>
      <c r="C1732" s="115"/>
      <c r="D1732" s="115"/>
      <c r="E1732" s="115"/>
      <c r="F1732" s="115"/>
      <c r="G1732" s="115"/>
      <c r="H1732" s="115"/>
      <c r="I1732" s="115"/>
      <c r="J1732" s="115"/>
      <c r="K1732" s="115"/>
      <c r="L1732" s="115"/>
      <c r="O1732" s="116"/>
      <c r="Q1732" s="116"/>
      <c r="T1732" s="114"/>
      <c r="Y1732" s="118"/>
      <c r="Z1732" s="29"/>
      <c r="AA1732" s="29"/>
      <c r="AB1732" s="29"/>
      <c r="AC1732" s="29"/>
      <c r="AD1732" s="29"/>
      <c r="AE1732" s="29"/>
      <c r="AF1732" s="29"/>
      <c r="AG1732" s="29"/>
      <c r="AH1732" s="123"/>
      <c r="AI1732" s="32"/>
      <c r="AJ1732" s="32"/>
      <c r="AK1732" s="32"/>
      <c r="AL1732" s="32"/>
      <c r="AM1732" s="32"/>
      <c r="AN1732" s="32"/>
      <c r="AO1732" s="32"/>
      <c r="AP1732" s="29"/>
    </row>
    <row r="1733">
      <c r="A1733" s="115"/>
      <c r="B1733" s="116"/>
      <c r="C1733" s="115"/>
      <c r="D1733" s="115"/>
      <c r="E1733" s="115"/>
      <c r="F1733" s="115"/>
      <c r="G1733" s="115"/>
      <c r="H1733" s="115"/>
      <c r="I1733" s="115"/>
      <c r="J1733" s="115"/>
      <c r="K1733" s="115"/>
      <c r="L1733" s="115"/>
      <c r="O1733" s="116"/>
      <c r="Q1733" s="116"/>
      <c r="T1733" s="114"/>
      <c r="Y1733" s="118"/>
      <c r="Z1733" s="29"/>
      <c r="AA1733" s="29"/>
      <c r="AB1733" s="29"/>
      <c r="AC1733" s="29"/>
      <c r="AD1733" s="29"/>
      <c r="AE1733" s="29"/>
      <c r="AF1733" s="29"/>
      <c r="AG1733" s="29"/>
      <c r="AH1733" s="123"/>
      <c r="AI1733" s="32"/>
      <c r="AJ1733" s="32"/>
      <c r="AK1733" s="32"/>
      <c r="AL1733" s="32"/>
      <c r="AM1733" s="32"/>
      <c r="AN1733" s="32"/>
      <c r="AO1733" s="32"/>
      <c r="AP1733" s="29"/>
    </row>
    <row r="1734">
      <c r="A1734" s="115"/>
      <c r="B1734" s="116"/>
      <c r="C1734" s="115"/>
      <c r="D1734" s="115"/>
      <c r="E1734" s="115"/>
      <c r="F1734" s="115"/>
      <c r="G1734" s="115"/>
      <c r="H1734" s="115"/>
      <c r="I1734" s="115"/>
      <c r="J1734" s="115"/>
      <c r="K1734" s="115"/>
      <c r="L1734" s="115"/>
      <c r="O1734" s="116"/>
      <c r="Q1734" s="116"/>
      <c r="T1734" s="114"/>
      <c r="Y1734" s="118"/>
      <c r="Z1734" s="29"/>
      <c r="AA1734" s="29"/>
      <c r="AB1734" s="29"/>
      <c r="AC1734" s="29"/>
      <c r="AD1734" s="29"/>
      <c r="AE1734" s="29"/>
      <c r="AF1734" s="29"/>
      <c r="AG1734" s="29"/>
      <c r="AH1734" s="123"/>
      <c r="AI1734" s="32"/>
      <c r="AJ1734" s="32"/>
      <c r="AK1734" s="32"/>
      <c r="AL1734" s="32"/>
      <c r="AM1734" s="32"/>
      <c r="AN1734" s="32"/>
      <c r="AO1734" s="32"/>
      <c r="AP1734" s="29"/>
    </row>
    <row r="1735">
      <c r="A1735" s="115"/>
      <c r="B1735" s="116"/>
      <c r="C1735" s="115"/>
      <c r="D1735" s="115"/>
      <c r="E1735" s="115"/>
      <c r="F1735" s="115"/>
      <c r="G1735" s="115"/>
      <c r="H1735" s="115"/>
      <c r="I1735" s="115"/>
      <c r="J1735" s="115"/>
      <c r="K1735" s="115"/>
      <c r="L1735" s="115"/>
      <c r="O1735" s="116"/>
      <c r="Q1735" s="116"/>
      <c r="T1735" s="114"/>
      <c r="Y1735" s="118"/>
      <c r="Z1735" s="29"/>
      <c r="AA1735" s="29"/>
      <c r="AB1735" s="29"/>
      <c r="AC1735" s="29"/>
      <c r="AD1735" s="29"/>
      <c r="AE1735" s="29"/>
      <c r="AF1735" s="29"/>
      <c r="AG1735" s="29"/>
      <c r="AH1735" s="123"/>
      <c r="AI1735" s="32"/>
      <c r="AJ1735" s="32"/>
      <c r="AK1735" s="32"/>
      <c r="AL1735" s="32"/>
      <c r="AM1735" s="32"/>
      <c r="AN1735" s="32"/>
      <c r="AO1735" s="32"/>
      <c r="AP1735" s="29"/>
    </row>
    <row r="1736">
      <c r="A1736" s="115"/>
      <c r="B1736" s="116"/>
      <c r="C1736" s="115"/>
      <c r="D1736" s="115"/>
      <c r="E1736" s="115"/>
      <c r="F1736" s="115"/>
      <c r="G1736" s="115"/>
      <c r="H1736" s="115"/>
      <c r="I1736" s="115"/>
      <c r="J1736" s="115"/>
      <c r="K1736" s="115"/>
      <c r="L1736" s="115"/>
      <c r="O1736" s="116"/>
      <c r="Q1736" s="116"/>
      <c r="T1736" s="114"/>
      <c r="Y1736" s="118"/>
      <c r="Z1736" s="29"/>
      <c r="AA1736" s="29"/>
      <c r="AB1736" s="29"/>
      <c r="AC1736" s="29"/>
      <c r="AD1736" s="29"/>
      <c r="AE1736" s="29"/>
      <c r="AF1736" s="29"/>
      <c r="AG1736" s="29"/>
      <c r="AH1736" s="123"/>
      <c r="AI1736" s="32"/>
      <c r="AJ1736" s="32"/>
      <c r="AK1736" s="32"/>
      <c r="AL1736" s="32"/>
      <c r="AM1736" s="32"/>
      <c r="AN1736" s="32"/>
      <c r="AO1736" s="32"/>
      <c r="AP1736" s="29"/>
    </row>
    <row r="1737">
      <c r="A1737" s="115"/>
      <c r="B1737" s="116"/>
      <c r="C1737" s="115"/>
      <c r="D1737" s="115"/>
      <c r="E1737" s="115"/>
      <c r="F1737" s="115"/>
      <c r="G1737" s="115"/>
      <c r="H1737" s="115"/>
      <c r="I1737" s="115"/>
      <c r="J1737" s="115"/>
      <c r="K1737" s="115"/>
      <c r="L1737" s="115"/>
      <c r="O1737" s="116"/>
      <c r="Q1737" s="116"/>
      <c r="T1737" s="114"/>
      <c r="Y1737" s="118"/>
      <c r="Z1737" s="29"/>
      <c r="AA1737" s="29"/>
      <c r="AB1737" s="29"/>
      <c r="AC1737" s="29"/>
      <c r="AD1737" s="29"/>
      <c r="AE1737" s="29"/>
      <c r="AF1737" s="29"/>
      <c r="AG1737" s="29"/>
      <c r="AH1737" s="123"/>
      <c r="AI1737" s="32"/>
      <c r="AJ1737" s="32"/>
      <c r="AK1737" s="32"/>
      <c r="AL1737" s="32"/>
      <c r="AM1737" s="32"/>
      <c r="AN1737" s="32"/>
      <c r="AO1737" s="32"/>
      <c r="AP1737" s="29"/>
    </row>
    <row r="1738">
      <c r="A1738" s="115"/>
      <c r="B1738" s="116"/>
      <c r="C1738" s="115"/>
      <c r="D1738" s="115"/>
      <c r="E1738" s="115"/>
      <c r="F1738" s="115"/>
      <c r="G1738" s="115"/>
      <c r="H1738" s="115"/>
      <c r="I1738" s="115"/>
      <c r="J1738" s="115"/>
      <c r="K1738" s="115"/>
      <c r="L1738" s="115"/>
      <c r="O1738" s="116"/>
      <c r="Q1738" s="116"/>
      <c r="T1738" s="114"/>
      <c r="Y1738" s="118"/>
      <c r="Z1738" s="29"/>
      <c r="AA1738" s="29"/>
      <c r="AB1738" s="29"/>
      <c r="AC1738" s="29"/>
      <c r="AD1738" s="29"/>
      <c r="AE1738" s="29"/>
      <c r="AF1738" s="29"/>
      <c r="AG1738" s="29"/>
      <c r="AH1738" s="123"/>
      <c r="AI1738" s="32"/>
      <c r="AJ1738" s="32"/>
      <c r="AK1738" s="32"/>
      <c r="AL1738" s="32"/>
      <c r="AM1738" s="32"/>
      <c r="AN1738" s="32"/>
      <c r="AO1738" s="32"/>
      <c r="AP1738" s="29"/>
    </row>
    <row r="1739">
      <c r="A1739" s="115"/>
      <c r="B1739" s="116"/>
      <c r="C1739" s="115"/>
      <c r="D1739" s="115"/>
      <c r="E1739" s="115"/>
      <c r="F1739" s="115"/>
      <c r="G1739" s="115"/>
      <c r="H1739" s="115"/>
      <c r="I1739" s="115"/>
      <c r="J1739" s="115"/>
      <c r="K1739" s="115"/>
      <c r="L1739" s="115"/>
      <c r="O1739" s="116"/>
      <c r="Q1739" s="116"/>
      <c r="T1739" s="114"/>
      <c r="Y1739" s="118"/>
      <c r="Z1739" s="29"/>
      <c r="AA1739" s="29"/>
      <c r="AB1739" s="29"/>
      <c r="AC1739" s="29"/>
      <c r="AD1739" s="29"/>
      <c r="AE1739" s="29"/>
      <c r="AF1739" s="29"/>
      <c r="AG1739" s="29"/>
      <c r="AH1739" s="123"/>
      <c r="AI1739" s="32"/>
      <c r="AJ1739" s="32"/>
      <c r="AK1739" s="32"/>
      <c r="AL1739" s="32"/>
      <c r="AM1739" s="32"/>
      <c r="AN1739" s="32"/>
      <c r="AO1739" s="32"/>
      <c r="AP1739" s="29"/>
    </row>
    <row r="1740">
      <c r="A1740" s="115"/>
      <c r="B1740" s="116"/>
      <c r="C1740" s="115"/>
      <c r="D1740" s="115"/>
      <c r="E1740" s="115"/>
      <c r="F1740" s="115"/>
      <c r="G1740" s="115"/>
      <c r="H1740" s="115"/>
      <c r="I1740" s="115"/>
      <c r="J1740" s="115"/>
      <c r="K1740" s="115"/>
      <c r="L1740" s="115"/>
      <c r="O1740" s="116"/>
      <c r="Q1740" s="116"/>
      <c r="T1740" s="114"/>
      <c r="Y1740" s="118"/>
      <c r="Z1740" s="29"/>
      <c r="AA1740" s="29"/>
      <c r="AB1740" s="29"/>
      <c r="AC1740" s="29"/>
      <c r="AD1740" s="29"/>
      <c r="AE1740" s="29"/>
      <c r="AF1740" s="29"/>
      <c r="AG1740" s="29"/>
      <c r="AH1740" s="123"/>
      <c r="AI1740" s="32"/>
      <c r="AJ1740" s="32"/>
      <c r="AK1740" s="32"/>
      <c r="AL1740" s="32"/>
      <c r="AM1740" s="32"/>
      <c r="AN1740" s="32"/>
      <c r="AO1740" s="32"/>
      <c r="AP1740" s="29"/>
    </row>
    <row r="1741">
      <c r="A1741" s="115"/>
      <c r="B1741" s="116"/>
      <c r="C1741" s="115"/>
      <c r="D1741" s="115"/>
      <c r="E1741" s="115"/>
      <c r="F1741" s="115"/>
      <c r="G1741" s="115"/>
      <c r="H1741" s="115"/>
      <c r="I1741" s="115"/>
      <c r="J1741" s="115"/>
      <c r="K1741" s="115"/>
      <c r="L1741" s="115"/>
      <c r="O1741" s="116"/>
      <c r="Q1741" s="116"/>
      <c r="T1741" s="114"/>
      <c r="Y1741" s="118"/>
      <c r="Z1741" s="29"/>
      <c r="AA1741" s="29"/>
      <c r="AB1741" s="29"/>
      <c r="AC1741" s="29"/>
      <c r="AD1741" s="29"/>
      <c r="AE1741" s="29"/>
      <c r="AF1741" s="29"/>
      <c r="AG1741" s="29"/>
      <c r="AH1741" s="123"/>
      <c r="AI1741" s="32"/>
      <c r="AJ1741" s="32"/>
      <c r="AK1741" s="32"/>
      <c r="AL1741" s="32"/>
      <c r="AM1741" s="32"/>
      <c r="AN1741" s="32"/>
      <c r="AO1741" s="32"/>
      <c r="AP1741" s="29"/>
    </row>
    <row r="1742">
      <c r="A1742" s="115"/>
      <c r="B1742" s="116"/>
      <c r="C1742" s="115"/>
      <c r="D1742" s="115"/>
      <c r="E1742" s="115"/>
      <c r="F1742" s="115"/>
      <c r="G1742" s="115"/>
      <c r="H1742" s="115"/>
      <c r="I1742" s="115"/>
      <c r="J1742" s="115"/>
      <c r="K1742" s="115"/>
      <c r="L1742" s="115"/>
      <c r="O1742" s="116"/>
      <c r="Q1742" s="116"/>
      <c r="T1742" s="114"/>
      <c r="Y1742" s="118"/>
      <c r="Z1742" s="29"/>
      <c r="AA1742" s="29"/>
      <c r="AB1742" s="29"/>
      <c r="AC1742" s="29"/>
      <c r="AD1742" s="29"/>
      <c r="AE1742" s="29"/>
      <c r="AF1742" s="29"/>
      <c r="AG1742" s="29"/>
      <c r="AH1742" s="123"/>
      <c r="AI1742" s="32"/>
      <c r="AJ1742" s="32"/>
      <c r="AK1742" s="32"/>
      <c r="AL1742" s="32"/>
      <c r="AM1742" s="32"/>
      <c r="AN1742" s="32"/>
      <c r="AO1742" s="32"/>
      <c r="AP1742" s="29"/>
    </row>
    <row r="1743">
      <c r="A1743" s="115"/>
      <c r="B1743" s="116"/>
      <c r="C1743" s="115"/>
      <c r="D1743" s="115"/>
      <c r="E1743" s="115"/>
      <c r="F1743" s="115"/>
      <c r="G1743" s="115"/>
      <c r="H1743" s="115"/>
      <c r="I1743" s="115"/>
      <c r="J1743" s="115"/>
      <c r="K1743" s="115"/>
      <c r="L1743" s="115"/>
      <c r="O1743" s="116"/>
      <c r="Q1743" s="116"/>
      <c r="T1743" s="114"/>
      <c r="Y1743" s="118"/>
      <c r="Z1743" s="29"/>
      <c r="AA1743" s="29"/>
      <c r="AB1743" s="29"/>
      <c r="AC1743" s="29"/>
      <c r="AD1743" s="29"/>
      <c r="AE1743" s="29"/>
      <c r="AF1743" s="29"/>
      <c r="AG1743" s="29"/>
      <c r="AH1743" s="123"/>
      <c r="AI1743" s="32"/>
      <c r="AJ1743" s="32"/>
      <c r="AK1743" s="32"/>
      <c r="AL1743" s="32"/>
      <c r="AM1743" s="32"/>
      <c r="AN1743" s="32"/>
      <c r="AO1743" s="32"/>
      <c r="AP1743" s="29"/>
    </row>
    <row r="1744">
      <c r="A1744" s="115"/>
      <c r="B1744" s="116"/>
      <c r="C1744" s="115"/>
      <c r="D1744" s="115"/>
      <c r="E1744" s="115"/>
      <c r="F1744" s="115"/>
      <c r="G1744" s="115"/>
      <c r="H1744" s="115"/>
      <c r="I1744" s="115"/>
      <c r="J1744" s="115"/>
      <c r="K1744" s="115"/>
      <c r="L1744" s="115"/>
      <c r="O1744" s="116"/>
      <c r="Q1744" s="116"/>
      <c r="T1744" s="114"/>
      <c r="Y1744" s="118"/>
      <c r="Z1744" s="29"/>
      <c r="AA1744" s="29"/>
      <c r="AB1744" s="29"/>
      <c r="AC1744" s="29"/>
      <c r="AD1744" s="29"/>
      <c r="AE1744" s="29"/>
      <c r="AF1744" s="29"/>
      <c r="AG1744" s="29"/>
      <c r="AH1744" s="123"/>
      <c r="AI1744" s="32"/>
      <c r="AJ1744" s="32"/>
      <c r="AK1744" s="32"/>
      <c r="AL1744" s="32"/>
      <c r="AM1744" s="32"/>
      <c r="AN1744" s="32"/>
      <c r="AO1744" s="32"/>
      <c r="AP1744" s="29"/>
    </row>
    <row r="1745">
      <c r="A1745" s="115"/>
      <c r="B1745" s="116"/>
      <c r="C1745" s="115"/>
      <c r="D1745" s="115"/>
      <c r="E1745" s="115"/>
      <c r="F1745" s="115"/>
      <c r="G1745" s="115"/>
      <c r="H1745" s="115"/>
      <c r="I1745" s="115"/>
      <c r="J1745" s="115"/>
      <c r="K1745" s="115"/>
      <c r="L1745" s="115"/>
      <c r="O1745" s="116"/>
      <c r="Q1745" s="116"/>
      <c r="T1745" s="114"/>
      <c r="Y1745" s="118"/>
      <c r="Z1745" s="29"/>
      <c r="AA1745" s="29"/>
      <c r="AB1745" s="29"/>
      <c r="AC1745" s="29"/>
      <c r="AD1745" s="29"/>
      <c r="AE1745" s="29"/>
      <c r="AF1745" s="29"/>
      <c r="AG1745" s="29"/>
      <c r="AH1745" s="123"/>
      <c r="AI1745" s="32"/>
      <c r="AJ1745" s="32"/>
      <c r="AK1745" s="32"/>
      <c r="AL1745" s="32"/>
      <c r="AM1745" s="32"/>
      <c r="AN1745" s="32"/>
      <c r="AO1745" s="32"/>
      <c r="AP1745" s="29"/>
    </row>
    <row r="1746">
      <c r="A1746" s="115"/>
      <c r="B1746" s="116"/>
      <c r="C1746" s="115"/>
      <c r="D1746" s="115"/>
      <c r="E1746" s="115"/>
      <c r="F1746" s="115"/>
      <c r="G1746" s="115"/>
      <c r="H1746" s="115"/>
      <c r="I1746" s="115"/>
      <c r="J1746" s="115"/>
      <c r="K1746" s="115"/>
      <c r="L1746" s="115"/>
      <c r="O1746" s="116"/>
      <c r="Q1746" s="116"/>
      <c r="T1746" s="114"/>
      <c r="Y1746" s="118"/>
      <c r="Z1746" s="29"/>
      <c r="AA1746" s="29"/>
      <c r="AB1746" s="29"/>
      <c r="AC1746" s="29"/>
      <c r="AD1746" s="29"/>
      <c r="AE1746" s="29"/>
      <c r="AF1746" s="29"/>
      <c r="AG1746" s="29"/>
      <c r="AH1746" s="123"/>
      <c r="AI1746" s="32"/>
      <c r="AJ1746" s="32"/>
      <c r="AK1746" s="32"/>
      <c r="AL1746" s="32"/>
      <c r="AM1746" s="32"/>
      <c r="AN1746" s="32"/>
      <c r="AO1746" s="32"/>
      <c r="AP1746" s="29"/>
    </row>
    <row r="1747">
      <c r="A1747" s="115"/>
      <c r="B1747" s="116"/>
      <c r="C1747" s="115"/>
      <c r="D1747" s="115"/>
      <c r="E1747" s="115"/>
      <c r="F1747" s="115"/>
      <c r="G1747" s="115"/>
      <c r="H1747" s="115"/>
      <c r="I1747" s="115"/>
      <c r="J1747" s="115"/>
      <c r="K1747" s="115"/>
      <c r="L1747" s="115"/>
      <c r="O1747" s="116"/>
      <c r="Q1747" s="116"/>
      <c r="T1747" s="114"/>
      <c r="Y1747" s="118"/>
      <c r="Z1747" s="29"/>
      <c r="AA1747" s="29"/>
      <c r="AB1747" s="29"/>
      <c r="AC1747" s="29"/>
      <c r="AD1747" s="29"/>
      <c r="AE1747" s="29"/>
      <c r="AF1747" s="29"/>
      <c r="AG1747" s="29"/>
      <c r="AH1747" s="123"/>
      <c r="AI1747" s="32"/>
      <c r="AJ1747" s="32"/>
      <c r="AK1747" s="32"/>
      <c r="AL1747" s="32"/>
      <c r="AM1747" s="32"/>
      <c r="AN1747" s="32"/>
      <c r="AO1747" s="32"/>
      <c r="AP1747" s="29"/>
    </row>
    <row r="1748">
      <c r="A1748" s="115"/>
      <c r="B1748" s="116"/>
      <c r="C1748" s="115"/>
      <c r="D1748" s="115"/>
      <c r="E1748" s="115"/>
      <c r="F1748" s="115"/>
      <c r="G1748" s="115"/>
      <c r="H1748" s="115"/>
      <c r="I1748" s="115"/>
      <c r="J1748" s="115"/>
      <c r="K1748" s="115"/>
      <c r="L1748" s="115"/>
      <c r="O1748" s="116"/>
      <c r="Q1748" s="116"/>
      <c r="T1748" s="114"/>
      <c r="Y1748" s="118"/>
      <c r="Z1748" s="29"/>
      <c r="AA1748" s="29"/>
      <c r="AB1748" s="29"/>
      <c r="AC1748" s="29"/>
      <c r="AD1748" s="29"/>
      <c r="AE1748" s="29"/>
      <c r="AF1748" s="29"/>
      <c r="AG1748" s="29"/>
      <c r="AH1748" s="123"/>
      <c r="AI1748" s="32"/>
      <c r="AJ1748" s="32"/>
      <c r="AK1748" s="32"/>
      <c r="AL1748" s="32"/>
      <c r="AM1748" s="32"/>
      <c r="AN1748" s="32"/>
      <c r="AO1748" s="32"/>
      <c r="AP1748" s="29"/>
    </row>
    <row r="1749">
      <c r="A1749" s="115"/>
      <c r="B1749" s="116"/>
      <c r="C1749" s="115"/>
      <c r="D1749" s="115"/>
      <c r="E1749" s="115"/>
      <c r="F1749" s="115"/>
      <c r="G1749" s="115"/>
      <c r="H1749" s="115"/>
      <c r="I1749" s="115"/>
      <c r="J1749" s="115"/>
      <c r="K1749" s="115"/>
      <c r="L1749" s="115"/>
      <c r="O1749" s="116"/>
      <c r="Q1749" s="116"/>
      <c r="T1749" s="114"/>
      <c r="Y1749" s="118"/>
      <c r="Z1749" s="29"/>
      <c r="AA1749" s="29"/>
      <c r="AB1749" s="29"/>
      <c r="AC1749" s="29"/>
      <c r="AD1749" s="29"/>
      <c r="AE1749" s="29"/>
      <c r="AF1749" s="29"/>
      <c r="AG1749" s="29"/>
      <c r="AH1749" s="123"/>
      <c r="AI1749" s="32"/>
      <c r="AJ1749" s="32"/>
      <c r="AK1749" s="32"/>
      <c r="AL1749" s="32"/>
      <c r="AM1749" s="32"/>
      <c r="AN1749" s="32"/>
      <c r="AO1749" s="32"/>
      <c r="AP1749" s="29"/>
    </row>
    <row r="1750">
      <c r="A1750" s="115"/>
      <c r="B1750" s="116"/>
      <c r="C1750" s="115"/>
      <c r="D1750" s="115"/>
      <c r="E1750" s="115"/>
      <c r="F1750" s="115"/>
      <c r="G1750" s="115"/>
      <c r="H1750" s="115"/>
      <c r="I1750" s="115"/>
      <c r="J1750" s="115"/>
      <c r="K1750" s="115"/>
      <c r="L1750" s="115"/>
      <c r="O1750" s="116"/>
      <c r="Q1750" s="116"/>
      <c r="T1750" s="114"/>
      <c r="Y1750" s="118"/>
      <c r="Z1750" s="29"/>
      <c r="AA1750" s="29"/>
      <c r="AB1750" s="29"/>
      <c r="AC1750" s="29"/>
      <c r="AD1750" s="29"/>
      <c r="AE1750" s="29"/>
      <c r="AF1750" s="29"/>
      <c r="AG1750" s="29"/>
      <c r="AH1750" s="123"/>
      <c r="AI1750" s="32"/>
      <c r="AJ1750" s="32"/>
      <c r="AK1750" s="32"/>
      <c r="AL1750" s="32"/>
      <c r="AM1750" s="32"/>
      <c r="AN1750" s="32"/>
      <c r="AO1750" s="32"/>
      <c r="AP1750" s="29"/>
    </row>
    <row r="1751">
      <c r="A1751" s="115"/>
      <c r="B1751" s="116"/>
      <c r="C1751" s="115"/>
      <c r="D1751" s="115"/>
      <c r="E1751" s="115"/>
      <c r="F1751" s="115"/>
      <c r="G1751" s="115"/>
      <c r="H1751" s="115"/>
      <c r="I1751" s="115"/>
      <c r="J1751" s="115"/>
      <c r="K1751" s="115"/>
      <c r="L1751" s="115"/>
      <c r="O1751" s="116"/>
      <c r="Q1751" s="116"/>
      <c r="T1751" s="114"/>
      <c r="Y1751" s="118"/>
      <c r="Z1751" s="29"/>
      <c r="AA1751" s="29"/>
      <c r="AB1751" s="29"/>
      <c r="AC1751" s="29"/>
      <c r="AD1751" s="29"/>
      <c r="AE1751" s="29"/>
      <c r="AF1751" s="29"/>
      <c r="AG1751" s="29"/>
      <c r="AH1751" s="123"/>
      <c r="AI1751" s="32"/>
      <c r="AJ1751" s="32"/>
      <c r="AK1751" s="32"/>
      <c r="AL1751" s="32"/>
      <c r="AM1751" s="32"/>
      <c r="AN1751" s="32"/>
      <c r="AO1751" s="32"/>
      <c r="AP1751" s="29"/>
    </row>
    <row r="1752">
      <c r="A1752" s="115"/>
      <c r="B1752" s="116"/>
      <c r="C1752" s="115"/>
      <c r="D1752" s="115"/>
      <c r="E1752" s="115"/>
      <c r="F1752" s="115"/>
      <c r="G1752" s="115"/>
      <c r="H1752" s="115"/>
      <c r="I1752" s="115"/>
      <c r="J1752" s="115"/>
      <c r="K1752" s="115"/>
      <c r="L1752" s="115"/>
      <c r="O1752" s="116"/>
      <c r="Q1752" s="116"/>
      <c r="T1752" s="114"/>
      <c r="Y1752" s="118"/>
      <c r="Z1752" s="29"/>
      <c r="AA1752" s="29"/>
      <c r="AB1752" s="29"/>
      <c r="AC1752" s="29"/>
      <c r="AD1752" s="29"/>
      <c r="AE1752" s="29"/>
      <c r="AF1752" s="29"/>
      <c r="AG1752" s="29"/>
      <c r="AH1752" s="123"/>
      <c r="AI1752" s="32"/>
      <c r="AJ1752" s="32"/>
      <c r="AK1752" s="32"/>
      <c r="AL1752" s="32"/>
      <c r="AM1752" s="32"/>
      <c r="AN1752" s="32"/>
      <c r="AO1752" s="32"/>
      <c r="AP1752" s="29"/>
    </row>
    <row r="1753">
      <c r="A1753" s="115"/>
      <c r="B1753" s="116"/>
      <c r="C1753" s="115"/>
      <c r="D1753" s="115"/>
      <c r="E1753" s="115"/>
      <c r="F1753" s="115"/>
      <c r="G1753" s="115"/>
      <c r="H1753" s="115"/>
      <c r="I1753" s="115"/>
      <c r="J1753" s="115"/>
      <c r="K1753" s="115"/>
      <c r="L1753" s="115"/>
      <c r="O1753" s="116"/>
      <c r="Q1753" s="116"/>
      <c r="T1753" s="114"/>
      <c r="Y1753" s="118"/>
      <c r="Z1753" s="29"/>
      <c r="AA1753" s="29"/>
      <c r="AB1753" s="29"/>
      <c r="AC1753" s="29"/>
      <c r="AD1753" s="29"/>
      <c r="AE1753" s="29"/>
      <c r="AF1753" s="29"/>
      <c r="AG1753" s="29"/>
      <c r="AH1753" s="123"/>
      <c r="AI1753" s="32"/>
      <c r="AJ1753" s="32"/>
      <c r="AK1753" s="32"/>
      <c r="AL1753" s="32"/>
      <c r="AM1753" s="32"/>
      <c r="AN1753" s="32"/>
      <c r="AO1753" s="32"/>
      <c r="AP1753" s="29"/>
    </row>
    <row r="1754">
      <c r="A1754" s="115"/>
      <c r="B1754" s="116"/>
      <c r="C1754" s="115"/>
      <c r="D1754" s="115"/>
      <c r="E1754" s="115"/>
      <c r="F1754" s="115"/>
      <c r="G1754" s="115"/>
      <c r="H1754" s="115"/>
      <c r="I1754" s="115"/>
      <c r="J1754" s="115"/>
      <c r="K1754" s="115"/>
      <c r="L1754" s="115"/>
      <c r="O1754" s="116"/>
      <c r="Q1754" s="116"/>
      <c r="T1754" s="114"/>
      <c r="Y1754" s="118"/>
      <c r="Z1754" s="29"/>
      <c r="AA1754" s="29"/>
      <c r="AB1754" s="29"/>
      <c r="AC1754" s="29"/>
      <c r="AD1754" s="29"/>
      <c r="AE1754" s="29"/>
      <c r="AF1754" s="29"/>
      <c r="AG1754" s="29"/>
      <c r="AH1754" s="123"/>
      <c r="AI1754" s="32"/>
      <c r="AJ1754" s="32"/>
      <c r="AK1754" s="32"/>
      <c r="AL1754" s="32"/>
      <c r="AM1754" s="32"/>
      <c r="AN1754" s="32"/>
      <c r="AO1754" s="32"/>
      <c r="AP1754" s="29"/>
    </row>
    <row r="1755">
      <c r="A1755" s="115"/>
      <c r="B1755" s="116"/>
      <c r="C1755" s="115"/>
      <c r="D1755" s="115"/>
      <c r="E1755" s="115"/>
      <c r="F1755" s="115"/>
      <c r="G1755" s="115"/>
      <c r="H1755" s="115"/>
      <c r="I1755" s="115"/>
      <c r="J1755" s="115"/>
      <c r="K1755" s="115"/>
      <c r="L1755" s="115"/>
      <c r="O1755" s="116"/>
      <c r="Q1755" s="116"/>
      <c r="T1755" s="114"/>
      <c r="Y1755" s="118"/>
      <c r="Z1755" s="29"/>
      <c r="AA1755" s="29"/>
      <c r="AB1755" s="29"/>
      <c r="AC1755" s="29"/>
      <c r="AD1755" s="29"/>
      <c r="AE1755" s="29"/>
      <c r="AF1755" s="29"/>
      <c r="AG1755" s="29"/>
      <c r="AH1755" s="123"/>
      <c r="AI1755" s="32"/>
      <c r="AJ1755" s="32"/>
      <c r="AK1755" s="32"/>
      <c r="AL1755" s="32"/>
      <c r="AM1755" s="32"/>
      <c r="AN1755" s="32"/>
      <c r="AO1755" s="32"/>
      <c r="AP1755" s="29"/>
    </row>
    <row r="1756">
      <c r="A1756" s="115"/>
      <c r="B1756" s="116"/>
      <c r="C1756" s="115"/>
      <c r="D1756" s="115"/>
      <c r="E1756" s="115"/>
      <c r="F1756" s="115"/>
      <c r="G1756" s="115"/>
      <c r="H1756" s="115"/>
      <c r="I1756" s="115"/>
      <c r="J1756" s="115"/>
      <c r="K1756" s="115"/>
      <c r="L1756" s="115"/>
      <c r="O1756" s="116"/>
      <c r="Q1756" s="116"/>
      <c r="T1756" s="114"/>
      <c r="Y1756" s="118"/>
      <c r="Z1756" s="29"/>
      <c r="AA1756" s="29"/>
      <c r="AB1756" s="29"/>
      <c r="AC1756" s="29"/>
      <c r="AD1756" s="29"/>
      <c r="AE1756" s="29"/>
      <c r="AF1756" s="29"/>
      <c r="AG1756" s="29"/>
      <c r="AH1756" s="123"/>
      <c r="AI1756" s="32"/>
      <c r="AJ1756" s="32"/>
      <c r="AK1756" s="32"/>
      <c r="AL1756" s="32"/>
      <c r="AM1756" s="32"/>
      <c r="AN1756" s="32"/>
      <c r="AO1756" s="32"/>
      <c r="AP1756" s="29"/>
    </row>
    <row r="1757">
      <c r="A1757" s="115"/>
      <c r="B1757" s="116"/>
      <c r="C1757" s="115"/>
      <c r="D1757" s="115"/>
      <c r="E1757" s="115"/>
      <c r="F1757" s="115"/>
      <c r="G1757" s="115"/>
      <c r="H1757" s="115"/>
      <c r="I1757" s="115"/>
      <c r="J1757" s="115"/>
      <c r="K1757" s="115"/>
      <c r="L1757" s="115"/>
      <c r="O1757" s="116"/>
      <c r="Q1757" s="116"/>
      <c r="T1757" s="114"/>
      <c r="Y1757" s="118"/>
      <c r="Z1757" s="29"/>
      <c r="AA1757" s="29"/>
      <c r="AB1757" s="29"/>
      <c r="AC1757" s="29"/>
      <c r="AD1757" s="29"/>
      <c r="AE1757" s="29"/>
      <c r="AF1757" s="29"/>
      <c r="AG1757" s="29"/>
      <c r="AH1757" s="123"/>
      <c r="AI1757" s="32"/>
      <c r="AJ1757" s="32"/>
      <c r="AK1757" s="32"/>
      <c r="AL1757" s="32"/>
      <c r="AM1757" s="32"/>
      <c r="AN1757" s="32"/>
      <c r="AO1757" s="32"/>
      <c r="AP1757" s="29"/>
    </row>
    <row r="1758">
      <c r="A1758" s="115"/>
      <c r="B1758" s="116"/>
      <c r="C1758" s="115"/>
      <c r="D1758" s="115"/>
      <c r="E1758" s="115"/>
      <c r="F1758" s="115"/>
      <c r="G1758" s="115"/>
      <c r="H1758" s="115"/>
      <c r="I1758" s="115"/>
      <c r="J1758" s="115"/>
      <c r="K1758" s="115"/>
      <c r="L1758" s="115"/>
      <c r="O1758" s="116"/>
      <c r="Q1758" s="116"/>
      <c r="T1758" s="114"/>
      <c r="Y1758" s="118"/>
      <c r="Z1758" s="29"/>
      <c r="AA1758" s="29"/>
      <c r="AB1758" s="29"/>
      <c r="AC1758" s="29"/>
      <c r="AD1758" s="29"/>
      <c r="AE1758" s="29"/>
      <c r="AF1758" s="29"/>
      <c r="AG1758" s="29"/>
      <c r="AH1758" s="123"/>
      <c r="AI1758" s="32"/>
      <c r="AJ1758" s="32"/>
      <c r="AK1758" s="32"/>
      <c r="AL1758" s="32"/>
      <c r="AM1758" s="32"/>
      <c r="AN1758" s="32"/>
      <c r="AO1758" s="32"/>
      <c r="AP1758" s="29"/>
    </row>
    <row r="1759">
      <c r="A1759" s="115"/>
      <c r="B1759" s="116"/>
      <c r="C1759" s="115"/>
      <c r="D1759" s="115"/>
      <c r="E1759" s="115"/>
      <c r="F1759" s="115"/>
      <c r="G1759" s="115"/>
      <c r="H1759" s="115"/>
      <c r="I1759" s="115"/>
      <c r="J1759" s="115"/>
      <c r="K1759" s="115"/>
      <c r="L1759" s="115"/>
      <c r="O1759" s="116"/>
      <c r="Q1759" s="116"/>
      <c r="T1759" s="114"/>
      <c r="Y1759" s="118"/>
      <c r="Z1759" s="29"/>
      <c r="AA1759" s="29"/>
      <c r="AB1759" s="29"/>
      <c r="AC1759" s="29"/>
      <c r="AD1759" s="29"/>
      <c r="AE1759" s="29"/>
      <c r="AF1759" s="29"/>
      <c r="AG1759" s="29"/>
      <c r="AH1759" s="123"/>
      <c r="AI1759" s="32"/>
      <c r="AJ1759" s="32"/>
      <c r="AK1759" s="32"/>
      <c r="AL1759" s="32"/>
      <c r="AM1759" s="32"/>
      <c r="AN1759" s="32"/>
      <c r="AO1759" s="32"/>
      <c r="AP1759" s="29"/>
    </row>
    <row r="1760">
      <c r="A1760" s="115"/>
      <c r="B1760" s="116"/>
      <c r="C1760" s="115"/>
      <c r="D1760" s="115"/>
      <c r="E1760" s="115"/>
      <c r="F1760" s="115"/>
      <c r="G1760" s="115"/>
      <c r="H1760" s="115"/>
      <c r="I1760" s="115"/>
      <c r="J1760" s="115"/>
      <c r="K1760" s="115"/>
      <c r="L1760" s="115"/>
      <c r="O1760" s="116"/>
      <c r="Q1760" s="116"/>
      <c r="T1760" s="114"/>
      <c r="Y1760" s="118"/>
      <c r="Z1760" s="29"/>
      <c r="AA1760" s="29"/>
      <c r="AB1760" s="29"/>
      <c r="AC1760" s="29"/>
      <c r="AD1760" s="29"/>
      <c r="AE1760" s="29"/>
      <c r="AF1760" s="29"/>
      <c r="AG1760" s="29"/>
      <c r="AH1760" s="123"/>
      <c r="AI1760" s="32"/>
      <c r="AJ1760" s="32"/>
      <c r="AK1760" s="32"/>
      <c r="AL1760" s="32"/>
      <c r="AM1760" s="32"/>
      <c r="AN1760" s="32"/>
      <c r="AO1760" s="32"/>
      <c r="AP1760" s="29"/>
    </row>
    <row r="1761">
      <c r="A1761" s="115"/>
      <c r="B1761" s="116"/>
      <c r="C1761" s="115"/>
      <c r="D1761" s="115"/>
      <c r="E1761" s="115"/>
      <c r="F1761" s="115"/>
      <c r="G1761" s="115"/>
      <c r="H1761" s="115"/>
      <c r="I1761" s="115"/>
      <c r="J1761" s="115"/>
      <c r="K1761" s="115"/>
      <c r="L1761" s="115"/>
      <c r="O1761" s="116"/>
      <c r="Q1761" s="116"/>
      <c r="T1761" s="114"/>
      <c r="Y1761" s="118"/>
      <c r="Z1761" s="29"/>
      <c r="AA1761" s="29"/>
      <c r="AB1761" s="29"/>
      <c r="AC1761" s="29"/>
      <c r="AD1761" s="29"/>
      <c r="AE1761" s="29"/>
      <c r="AF1761" s="29"/>
      <c r="AG1761" s="29"/>
      <c r="AH1761" s="123"/>
      <c r="AI1761" s="32"/>
      <c r="AJ1761" s="32"/>
      <c r="AK1761" s="32"/>
      <c r="AL1761" s="32"/>
      <c r="AM1761" s="32"/>
      <c r="AN1761" s="32"/>
      <c r="AO1761" s="32"/>
      <c r="AP1761" s="29"/>
    </row>
    <row r="1762">
      <c r="A1762" s="115"/>
      <c r="B1762" s="116"/>
      <c r="C1762" s="115"/>
      <c r="D1762" s="115"/>
      <c r="E1762" s="115"/>
      <c r="F1762" s="115"/>
      <c r="G1762" s="115"/>
      <c r="H1762" s="115"/>
      <c r="I1762" s="115"/>
      <c r="J1762" s="115"/>
      <c r="K1762" s="115"/>
      <c r="L1762" s="115"/>
      <c r="O1762" s="116"/>
      <c r="Q1762" s="116"/>
      <c r="T1762" s="114"/>
      <c r="Y1762" s="118"/>
      <c r="Z1762" s="29"/>
      <c r="AA1762" s="29"/>
      <c r="AB1762" s="29"/>
      <c r="AC1762" s="29"/>
      <c r="AD1762" s="29"/>
      <c r="AE1762" s="29"/>
      <c r="AF1762" s="29"/>
      <c r="AG1762" s="29"/>
      <c r="AH1762" s="123"/>
      <c r="AI1762" s="32"/>
      <c r="AJ1762" s="32"/>
      <c r="AK1762" s="32"/>
      <c r="AL1762" s="32"/>
      <c r="AM1762" s="32"/>
      <c r="AN1762" s="32"/>
      <c r="AO1762" s="32"/>
      <c r="AP1762" s="29"/>
    </row>
    <row r="1763">
      <c r="A1763" s="115"/>
      <c r="B1763" s="116"/>
      <c r="C1763" s="115"/>
      <c r="D1763" s="115"/>
      <c r="E1763" s="115"/>
      <c r="F1763" s="115"/>
      <c r="G1763" s="115"/>
      <c r="H1763" s="115"/>
      <c r="I1763" s="115"/>
      <c r="J1763" s="115"/>
      <c r="K1763" s="115"/>
      <c r="L1763" s="115"/>
      <c r="O1763" s="116"/>
      <c r="Q1763" s="116"/>
      <c r="T1763" s="114"/>
      <c r="Y1763" s="118"/>
      <c r="Z1763" s="29"/>
      <c r="AA1763" s="29"/>
      <c r="AB1763" s="29"/>
      <c r="AC1763" s="29"/>
      <c r="AD1763" s="29"/>
      <c r="AE1763" s="29"/>
      <c r="AF1763" s="29"/>
      <c r="AG1763" s="29"/>
      <c r="AH1763" s="123"/>
      <c r="AI1763" s="32"/>
      <c r="AJ1763" s="32"/>
      <c r="AK1763" s="32"/>
      <c r="AL1763" s="32"/>
      <c r="AM1763" s="32"/>
      <c r="AN1763" s="32"/>
      <c r="AO1763" s="32"/>
      <c r="AP1763" s="29"/>
    </row>
    <row r="1764">
      <c r="A1764" s="115"/>
      <c r="B1764" s="116"/>
      <c r="C1764" s="115"/>
      <c r="D1764" s="115"/>
      <c r="E1764" s="115"/>
      <c r="F1764" s="115"/>
      <c r="G1764" s="115"/>
      <c r="H1764" s="115"/>
      <c r="I1764" s="115"/>
      <c r="J1764" s="115"/>
      <c r="K1764" s="115"/>
      <c r="L1764" s="115"/>
      <c r="O1764" s="116"/>
      <c r="Q1764" s="116"/>
      <c r="T1764" s="114"/>
      <c r="Y1764" s="118"/>
      <c r="Z1764" s="29"/>
      <c r="AA1764" s="29"/>
      <c r="AB1764" s="29"/>
      <c r="AC1764" s="29"/>
      <c r="AD1764" s="29"/>
      <c r="AE1764" s="29"/>
      <c r="AF1764" s="29"/>
      <c r="AG1764" s="29"/>
      <c r="AH1764" s="123"/>
      <c r="AI1764" s="32"/>
      <c r="AJ1764" s="32"/>
      <c r="AK1764" s="32"/>
      <c r="AL1764" s="32"/>
      <c r="AM1764" s="32"/>
      <c r="AN1764" s="32"/>
      <c r="AO1764" s="32"/>
      <c r="AP1764" s="29"/>
    </row>
    <row r="1765">
      <c r="A1765" s="115"/>
      <c r="B1765" s="116"/>
      <c r="C1765" s="115"/>
      <c r="D1765" s="115"/>
      <c r="E1765" s="115"/>
      <c r="F1765" s="115"/>
      <c r="G1765" s="115"/>
      <c r="H1765" s="115"/>
      <c r="I1765" s="115"/>
      <c r="J1765" s="115"/>
      <c r="K1765" s="115"/>
      <c r="L1765" s="115"/>
      <c r="O1765" s="116"/>
      <c r="Q1765" s="116"/>
      <c r="T1765" s="114"/>
      <c r="Y1765" s="118"/>
      <c r="Z1765" s="29"/>
      <c r="AA1765" s="29"/>
      <c r="AB1765" s="29"/>
      <c r="AC1765" s="29"/>
      <c r="AD1765" s="29"/>
      <c r="AE1765" s="29"/>
      <c r="AF1765" s="29"/>
      <c r="AG1765" s="29"/>
      <c r="AH1765" s="123"/>
      <c r="AI1765" s="32"/>
      <c r="AJ1765" s="32"/>
      <c r="AK1765" s="32"/>
      <c r="AL1765" s="32"/>
      <c r="AM1765" s="32"/>
      <c r="AN1765" s="32"/>
      <c r="AO1765" s="32"/>
      <c r="AP1765" s="29"/>
    </row>
    <row r="1766">
      <c r="A1766" s="115"/>
      <c r="B1766" s="116"/>
      <c r="C1766" s="115"/>
      <c r="D1766" s="115"/>
      <c r="E1766" s="115"/>
      <c r="F1766" s="115"/>
      <c r="G1766" s="115"/>
      <c r="H1766" s="115"/>
      <c r="I1766" s="115"/>
      <c r="J1766" s="115"/>
      <c r="K1766" s="115"/>
      <c r="L1766" s="115"/>
      <c r="O1766" s="116"/>
      <c r="Q1766" s="116"/>
      <c r="T1766" s="114"/>
      <c r="Y1766" s="118"/>
      <c r="Z1766" s="29"/>
      <c r="AA1766" s="29"/>
      <c r="AB1766" s="29"/>
      <c r="AC1766" s="29"/>
      <c r="AD1766" s="29"/>
      <c r="AE1766" s="29"/>
      <c r="AF1766" s="29"/>
      <c r="AG1766" s="29"/>
      <c r="AH1766" s="123"/>
      <c r="AI1766" s="32"/>
      <c r="AJ1766" s="32"/>
      <c r="AK1766" s="32"/>
      <c r="AL1766" s="32"/>
      <c r="AM1766" s="32"/>
      <c r="AN1766" s="32"/>
      <c r="AO1766" s="32"/>
      <c r="AP1766" s="29"/>
    </row>
    <row r="1767">
      <c r="A1767" s="115"/>
      <c r="B1767" s="116"/>
      <c r="C1767" s="115"/>
      <c r="D1767" s="115"/>
      <c r="E1767" s="115"/>
      <c r="F1767" s="115"/>
      <c r="G1767" s="115"/>
      <c r="H1767" s="115"/>
      <c r="I1767" s="115"/>
      <c r="J1767" s="115"/>
      <c r="K1767" s="115"/>
      <c r="L1767" s="115"/>
      <c r="O1767" s="116"/>
      <c r="Q1767" s="116"/>
      <c r="T1767" s="114"/>
      <c r="Y1767" s="118"/>
      <c r="Z1767" s="29"/>
      <c r="AA1767" s="29"/>
      <c r="AB1767" s="29"/>
      <c r="AC1767" s="29"/>
      <c r="AD1767" s="29"/>
      <c r="AE1767" s="29"/>
      <c r="AF1767" s="29"/>
      <c r="AG1767" s="29"/>
      <c r="AH1767" s="123"/>
      <c r="AI1767" s="32"/>
      <c r="AJ1767" s="32"/>
      <c r="AK1767" s="32"/>
      <c r="AL1767" s="32"/>
      <c r="AM1767" s="32"/>
      <c r="AN1767" s="32"/>
      <c r="AO1767" s="32"/>
      <c r="AP1767" s="29"/>
    </row>
    <row r="1768">
      <c r="A1768" s="115"/>
      <c r="B1768" s="116"/>
      <c r="C1768" s="115"/>
      <c r="D1768" s="115"/>
      <c r="E1768" s="115"/>
      <c r="F1768" s="115"/>
      <c r="G1768" s="115"/>
      <c r="H1768" s="115"/>
      <c r="I1768" s="115"/>
      <c r="J1768" s="115"/>
      <c r="K1768" s="115"/>
      <c r="L1768" s="115"/>
      <c r="O1768" s="116"/>
      <c r="Q1768" s="116"/>
      <c r="T1768" s="114"/>
      <c r="Y1768" s="118"/>
      <c r="Z1768" s="29"/>
      <c r="AA1768" s="29"/>
      <c r="AB1768" s="29"/>
      <c r="AC1768" s="29"/>
      <c r="AD1768" s="29"/>
      <c r="AE1768" s="29"/>
      <c r="AF1768" s="29"/>
      <c r="AG1768" s="29"/>
      <c r="AH1768" s="123"/>
      <c r="AI1768" s="32"/>
      <c r="AJ1768" s="32"/>
      <c r="AK1768" s="32"/>
      <c r="AL1768" s="32"/>
      <c r="AM1768" s="32"/>
      <c r="AN1768" s="32"/>
      <c r="AO1768" s="32"/>
      <c r="AP1768" s="29"/>
    </row>
    <row r="1769">
      <c r="A1769" s="115"/>
      <c r="B1769" s="116"/>
      <c r="C1769" s="115"/>
      <c r="D1769" s="115"/>
      <c r="E1769" s="115"/>
      <c r="F1769" s="115"/>
      <c r="G1769" s="115"/>
      <c r="H1769" s="115"/>
      <c r="I1769" s="115"/>
      <c r="J1769" s="115"/>
      <c r="K1769" s="115"/>
      <c r="L1769" s="115"/>
      <c r="O1769" s="116"/>
      <c r="Q1769" s="116"/>
      <c r="T1769" s="114"/>
      <c r="Y1769" s="118"/>
      <c r="Z1769" s="29"/>
      <c r="AA1769" s="29"/>
      <c r="AB1769" s="29"/>
      <c r="AC1769" s="29"/>
      <c r="AD1769" s="29"/>
      <c r="AE1769" s="29"/>
      <c r="AF1769" s="29"/>
      <c r="AG1769" s="29"/>
      <c r="AH1769" s="123"/>
      <c r="AI1769" s="32"/>
      <c r="AJ1769" s="32"/>
      <c r="AK1769" s="32"/>
      <c r="AL1769" s="32"/>
      <c r="AM1769" s="32"/>
      <c r="AN1769" s="32"/>
      <c r="AO1769" s="32"/>
      <c r="AP1769" s="29"/>
    </row>
    <row r="1770">
      <c r="A1770" s="115"/>
      <c r="B1770" s="116"/>
      <c r="C1770" s="115"/>
      <c r="D1770" s="115"/>
      <c r="E1770" s="115"/>
      <c r="F1770" s="115"/>
      <c r="G1770" s="115"/>
      <c r="H1770" s="115"/>
      <c r="I1770" s="115"/>
      <c r="J1770" s="115"/>
      <c r="K1770" s="115"/>
      <c r="L1770" s="115"/>
      <c r="O1770" s="116"/>
      <c r="Q1770" s="116"/>
      <c r="T1770" s="114"/>
      <c r="Y1770" s="118"/>
      <c r="Z1770" s="29"/>
      <c r="AA1770" s="29"/>
      <c r="AB1770" s="29"/>
      <c r="AC1770" s="29"/>
      <c r="AD1770" s="29"/>
      <c r="AE1770" s="29"/>
      <c r="AF1770" s="29"/>
      <c r="AG1770" s="29"/>
      <c r="AH1770" s="123"/>
      <c r="AI1770" s="32"/>
      <c r="AJ1770" s="32"/>
      <c r="AK1770" s="32"/>
      <c r="AL1770" s="32"/>
      <c r="AM1770" s="32"/>
      <c r="AN1770" s="32"/>
      <c r="AO1770" s="32"/>
      <c r="AP1770" s="29"/>
    </row>
    <row r="1771">
      <c r="A1771" s="115"/>
      <c r="B1771" s="116"/>
      <c r="C1771" s="115"/>
      <c r="D1771" s="115"/>
      <c r="E1771" s="115"/>
      <c r="F1771" s="115"/>
      <c r="G1771" s="115"/>
      <c r="H1771" s="115"/>
      <c r="I1771" s="115"/>
      <c r="J1771" s="115"/>
      <c r="K1771" s="115"/>
      <c r="L1771" s="115"/>
      <c r="O1771" s="116"/>
      <c r="Q1771" s="116"/>
      <c r="T1771" s="114"/>
      <c r="Y1771" s="118"/>
      <c r="Z1771" s="29"/>
      <c r="AA1771" s="29"/>
      <c r="AB1771" s="29"/>
      <c r="AC1771" s="29"/>
      <c r="AD1771" s="29"/>
      <c r="AE1771" s="29"/>
      <c r="AF1771" s="29"/>
      <c r="AG1771" s="29"/>
      <c r="AH1771" s="123"/>
      <c r="AI1771" s="32"/>
      <c r="AJ1771" s="32"/>
      <c r="AK1771" s="32"/>
      <c r="AL1771" s="32"/>
      <c r="AM1771" s="32"/>
      <c r="AN1771" s="32"/>
      <c r="AO1771" s="32"/>
      <c r="AP1771" s="29"/>
    </row>
    <row r="1772">
      <c r="A1772" s="115"/>
      <c r="B1772" s="116"/>
      <c r="C1772" s="115"/>
      <c r="D1772" s="115"/>
      <c r="E1772" s="115"/>
      <c r="F1772" s="115"/>
      <c r="G1772" s="115"/>
      <c r="H1772" s="115"/>
      <c r="I1772" s="115"/>
      <c r="J1772" s="115"/>
      <c r="K1772" s="115"/>
      <c r="L1772" s="115"/>
      <c r="O1772" s="116"/>
      <c r="Q1772" s="116"/>
      <c r="T1772" s="114"/>
      <c r="Y1772" s="118"/>
      <c r="Z1772" s="29"/>
      <c r="AA1772" s="29"/>
      <c r="AB1772" s="29"/>
      <c r="AC1772" s="29"/>
      <c r="AD1772" s="29"/>
      <c r="AE1772" s="29"/>
      <c r="AF1772" s="29"/>
      <c r="AG1772" s="29"/>
      <c r="AH1772" s="123"/>
      <c r="AI1772" s="32"/>
      <c r="AJ1772" s="32"/>
      <c r="AK1772" s="32"/>
      <c r="AL1772" s="32"/>
      <c r="AM1772" s="32"/>
      <c r="AN1772" s="32"/>
      <c r="AO1772" s="32"/>
      <c r="AP1772" s="29"/>
    </row>
    <row r="1773">
      <c r="A1773" s="115"/>
      <c r="B1773" s="116"/>
      <c r="C1773" s="115"/>
      <c r="D1773" s="115"/>
      <c r="E1773" s="115"/>
      <c r="F1773" s="115"/>
      <c r="G1773" s="115"/>
      <c r="H1773" s="115"/>
      <c r="I1773" s="115"/>
      <c r="J1773" s="115"/>
      <c r="K1773" s="115"/>
      <c r="L1773" s="115"/>
      <c r="O1773" s="116"/>
      <c r="Q1773" s="116"/>
      <c r="T1773" s="114"/>
      <c r="Y1773" s="118"/>
      <c r="Z1773" s="29"/>
      <c r="AA1773" s="29"/>
      <c r="AB1773" s="29"/>
      <c r="AC1773" s="29"/>
      <c r="AD1773" s="29"/>
      <c r="AE1773" s="29"/>
      <c r="AF1773" s="29"/>
      <c r="AG1773" s="29"/>
      <c r="AH1773" s="123"/>
      <c r="AI1773" s="32"/>
      <c r="AJ1773" s="32"/>
      <c r="AK1773" s="32"/>
      <c r="AL1773" s="32"/>
      <c r="AM1773" s="32"/>
      <c r="AN1773" s="32"/>
      <c r="AO1773" s="32"/>
      <c r="AP1773" s="29"/>
    </row>
    <row r="1774">
      <c r="A1774" s="115"/>
      <c r="B1774" s="116"/>
      <c r="C1774" s="115"/>
      <c r="D1774" s="115"/>
      <c r="E1774" s="115"/>
      <c r="F1774" s="115"/>
      <c r="G1774" s="115"/>
      <c r="H1774" s="115"/>
      <c r="I1774" s="115"/>
      <c r="J1774" s="115"/>
      <c r="K1774" s="115"/>
      <c r="L1774" s="115"/>
      <c r="O1774" s="116"/>
      <c r="Q1774" s="116"/>
      <c r="T1774" s="114"/>
      <c r="Y1774" s="118"/>
      <c r="Z1774" s="29"/>
      <c r="AA1774" s="29"/>
      <c r="AB1774" s="29"/>
      <c r="AC1774" s="29"/>
      <c r="AD1774" s="29"/>
      <c r="AE1774" s="29"/>
      <c r="AF1774" s="29"/>
      <c r="AG1774" s="29"/>
      <c r="AH1774" s="123"/>
      <c r="AI1774" s="32"/>
      <c r="AJ1774" s="32"/>
      <c r="AK1774" s="32"/>
      <c r="AL1774" s="32"/>
      <c r="AM1774" s="32"/>
      <c r="AN1774" s="32"/>
      <c r="AO1774" s="32"/>
      <c r="AP1774" s="29"/>
    </row>
    <row r="1775">
      <c r="A1775" s="115"/>
      <c r="B1775" s="116"/>
      <c r="C1775" s="115"/>
      <c r="D1775" s="115"/>
      <c r="E1775" s="115"/>
      <c r="F1775" s="115"/>
      <c r="G1775" s="115"/>
      <c r="H1775" s="115"/>
      <c r="I1775" s="115"/>
      <c r="J1775" s="115"/>
      <c r="K1775" s="115"/>
      <c r="L1775" s="115"/>
      <c r="O1775" s="116"/>
      <c r="Q1775" s="116"/>
      <c r="T1775" s="114"/>
      <c r="Y1775" s="118"/>
      <c r="Z1775" s="29"/>
      <c r="AA1775" s="29"/>
      <c r="AB1775" s="29"/>
      <c r="AC1775" s="29"/>
      <c r="AD1775" s="29"/>
      <c r="AE1775" s="29"/>
      <c r="AF1775" s="29"/>
      <c r="AG1775" s="29"/>
      <c r="AH1775" s="123"/>
      <c r="AI1775" s="32"/>
      <c r="AJ1775" s="32"/>
      <c r="AK1775" s="32"/>
      <c r="AL1775" s="32"/>
      <c r="AM1775" s="32"/>
      <c r="AN1775" s="32"/>
      <c r="AO1775" s="32"/>
      <c r="AP1775" s="29"/>
    </row>
    <row r="1776">
      <c r="A1776" s="115"/>
      <c r="B1776" s="116"/>
      <c r="C1776" s="115"/>
      <c r="D1776" s="115"/>
      <c r="E1776" s="115"/>
      <c r="F1776" s="115"/>
      <c r="G1776" s="115"/>
      <c r="H1776" s="115"/>
      <c r="I1776" s="115"/>
      <c r="J1776" s="115"/>
      <c r="K1776" s="115"/>
      <c r="L1776" s="115"/>
      <c r="O1776" s="116"/>
      <c r="Q1776" s="116"/>
      <c r="T1776" s="114"/>
      <c r="Y1776" s="118"/>
      <c r="Z1776" s="29"/>
      <c r="AA1776" s="29"/>
      <c r="AB1776" s="29"/>
      <c r="AC1776" s="29"/>
      <c r="AD1776" s="29"/>
      <c r="AE1776" s="29"/>
      <c r="AF1776" s="29"/>
      <c r="AG1776" s="29"/>
      <c r="AH1776" s="123"/>
      <c r="AI1776" s="32"/>
      <c r="AJ1776" s="32"/>
      <c r="AK1776" s="32"/>
      <c r="AL1776" s="32"/>
      <c r="AM1776" s="32"/>
      <c r="AN1776" s="32"/>
      <c r="AO1776" s="32"/>
      <c r="AP1776" s="29"/>
    </row>
    <row r="1777">
      <c r="A1777" s="115"/>
      <c r="B1777" s="116"/>
      <c r="C1777" s="115"/>
      <c r="D1777" s="115"/>
      <c r="E1777" s="115"/>
      <c r="F1777" s="115"/>
      <c r="G1777" s="115"/>
      <c r="H1777" s="115"/>
      <c r="I1777" s="115"/>
      <c r="J1777" s="115"/>
      <c r="K1777" s="115"/>
      <c r="L1777" s="115"/>
      <c r="O1777" s="116"/>
      <c r="Q1777" s="116"/>
      <c r="T1777" s="114"/>
      <c r="Y1777" s="118"/>
      <c r="Z1777" s="29"/>
      <c r="AA1777" s="29"/>
      <c r="AB1777" s="29"/>
      <c r="AC1777" s="29"/>
      <c r="AD1777" s="29"/>
      <c r="AE1777" s="29"/>
      <c r="AF1777" s="29"/>
      <c r="AG1777" s="29"/>
      <c r="AH1777" s="123"/>
      <c r="AI1777" s="32"/>
      <c r="AJ1777" s="32"/>
      <c r="AK1777" s="32"/>
      <c r="AL1777" s="32"/>
      <c r="AM1777" s="32"/>
      <c r="AN1777" s="32"/>
      <c r="AO1777" s="32"/>
      <c r="AP1777" s="29"/>
    </row>
    <row r="1778">
      <c r="A1778" s="115"/>
      <c r="B1778" s="116"/>
      <c r="C1778" s="115"/>
      <c r="D1778" s="115"/>
      <c r="E1778" s="115"/>
      <c r="F1778" s="115"/>
      <c r="G1778" s="115"/>
      <c r="H1778" s="115"/>
      <c r="I1778" s="115"/>
      <c r="J1778" s="115"/>
      <c r="K1778" s="115"/>
      <c r="L1778" s="115"/>
      <c r="O1778" s="116"/>
      <c r="Q1778" s="116"/>
      <c r="T1778" s="114"/>
      <c r="Y1778" s="118"/>
      <c r="Z1778" s="29"/>
      <c r="AA1778" s="29"/>
      <c r="AB1778" s="29"/>
      <c r="AC1778" s="29"/>
      <c r="AD1778" s="29"/>
      <c r="AE1778" s="29"/>
      <c r="AF1778" s="29"/>
      <c r="AG1778" s="29"/>
      <c r="AH1778" s="123"/>
      <c r="AI1778" s="32"/>
      <c r="AJ1778" s="32"/>
      <c r="AK1778" s="32"/>
      <c r="AL1778" s="32"/>
      <c r="AM1778" s="32"/>
      <c r="AN1778" s="32"/>
      <c r="AO1778" s="32"/>
      <c r="AP1778" s="29"/>
    </row>
    <row r="1779">
      <c r="A1779" s="115"/>
      <c r="B1779" s="116"/>
      <c r="C1779" s="115"/>
      <c r="D1779" s="115"/>
      <c r="E1779" s="115"/>
      <c r="F1779" s="115"/>
      <c r="G1779" s="115"/>
      <c r="H1779" s="115"/>
      <c r="I1779" s="115"/>
      <c r="J1779" s="115"/>
      <c r="K1779" s="115"/>
      <c r="L1779" s="115"/>
      <c r="O1779" s="116"/>
      <c r="Q1779" s="116"/>
      <c r="T1779" s="114"/>
      <c r="Y1779" s="118"/>
      <c r="Z1779" s="29"/>
      <c r="AA1779" s="29"/>
      <c r="AB1779" s="29"/>
      <c r="AC1779" s="29"/>
      <c r="AD1779" s="29"/>
      <c r="AE1779" s="29"/>
      <c r="AF1779" s="29"/>
      <c r="AG1779" s="29"/>
      <c r="AH1779" s="123"/>
      <c r="AI1779" s="32"/>
      <c r="AJ1779" s="32"/>
      <c r="AK1779" s="32"/>
      <c r="AL1779" s="32"/>
      <c r="AM1779" s="32"/>
      <c r="AN1779" s="32"/>
      <c r="AO1779" s="32"/>
      <c r="AP1779" s="29"/>
    </row>
    <row r="1780">
      <c r="A1780" s="115"/>
      <c r="B1780" s="116"/>
      <c r="C1780" s="115"/>
      <c r="D1780" s="115"/>
      <c r="E1780" s="115"/>
      <c r="F1780" s="115"/>
      <c r="G1780" s="115"/>
      <c r="H1780" s="115"/>
      <c r="I1780" s="115"/>
      <c r="J1780" s="115"/>
      <c r="K1780" s="115"/>
      <c r="L1780" s="115"/>
      <c r="O1780" s="116"/>
      <c r="Q1780" s="116"/>
      <c r="T1780" s="114"/>
      <c r="Y1780" s="118"/>
      <c r="Z1780" s="29"/>
      <c r="AA1780" s="29"/>
      <c r="AB1780" s="29"/>
      <c r="AC1780" s="29"/>
      <c r="AD1780" s="29"/>
      <c r="AE1780" s="29"/>
      <c r="AF1780" s="29"/>
      <c r="AG1780" s="29"/>
      <c r="AH1780" s="123"/>
      <c r="AI1780" s="32"/>
      <c r="AJ1780" s="32"/>
      <c r="AK1780" s="32"/>
      <c r="AL1780" s="32"/>
      <c r="AM1780" s="32"/>
      <c r="AN1780" s="32"/>
      <c r="AO1780" s="32"/>
      <c r="AP1780" s="29"/>
    </row>
    <row r="1781">
      <c r="A1781" s="115"/>
      <c r="B1781" s="116"/>
      <c r="C1781" s="115"/>
      <c r="D1781" s="115"/>
      <c r="E1781" s="115"/>
      <c r="F1781" s="115"/>
      <c r="G1781" s="115"/>
      <c r="H1781" s="115"/>
      <c r="I1781" s="115"/>
      <c r="J1781" s="115"/>
      <c r="K1781" s="115"/>
      <c r="L1781" s="115"/>
      <c r="O1781" s="116"/>
      <c r="Q1781" s="116"/>
      <c r="T1781" s="114"/>
      <c r="Y1781" s="118"/>
      <c r="Z1781" s="29"/>
      <c r="AA1781" s="29"/>
      <c r="AB1781" s="29"/>
      <c r="AC1781" s="29"/>
      <c r="AD1781" s="29"/>
      <c r="AE1781" s="29"/>
      <c r="AF1781" s="29"/>
      <c r="AG1781" s="29"/>
      <c r="AH1781" s="123"/>
      <c r="AI1781" s="32"/>
      <c r="AJ1781" s="32"/>
      <c r="AK1781" s="32"/>
      <c r="AL1781" s="32"/>
      <c r="AM1781" s="32"/>
      <c r="AN1781" s="32"/>
      <c r="AO1781" s="32"/>
      <c r="AP1781" s="29"/>
    </row>
    <row r="1782">
      <c r="A1782" s="115"/>
      <c r="B1782" s="116"/>
      <c r="C1782" s="115"/>
      <c r="D1782" s="115"/>
      <c r="E1782" s="115"/>
      <c r="F1782" s="115"/>
      <c r="G1782" s="115"/>
      <c r="H1782" s="115"/>
      <c r="I1782" s="115"/>
      <c r="J1782" s="115"/>
      <c r="K1782" s="115"/>
      <c r="L1782" s="115"/>
      <c r="O1782" s="116"/>
      <c r="Q1782" s="116"/>
      <c r="T1782" s="114"/>
      <c r="Y1782" s="118"/>
      <c r="Z1782" s="29"/>
      <c r="AA1782" s="29"/>
      <c r="AB1782" s="29"/>
      <c r="AC1782" s="29"/>
      <c r="AD1782" s="29"/>
      <c r="AE1782" s="29"/>
      <c r="AF1782" s="29"/>
      <c r="AG1782" s="29"/>
      <c r="AH1782" s="123"/>
      <c r="AI1782" s="32"/>
      <c r="AJ1782" s="32"/>
      <c r="AK1782" s="32"/>
      <c r="AL1782" s="32"/>
      <c r="AM1782" s="32"/>
      <c r="AN1782" s="32"/>
      <c r="AO1782" s="32"/>
      <c r="AP1782" s="29"/>
    </row>
    <row r="1783">
      <c r="A1783" s="115"/>
      <c r="B1783" s="116"/>
      <c r="C1783" s="115"/>
      <c r="D1783" s="115"/>
      <c r="E1783" s="115"/>
      <c r="F1783" s="115"/>
      <c r="G1783" s="115"/>
      <c r="H1783" s="115"/>
      <c r="I1783" s="115"/>
      <c r="J1783" s="115"/>
      <c r="K1783" s="115"/>
      <c r="L1783" s="115"/>
      <c r="O1783" s="116"/>
      <c r="Q1783" s="116"/>
      <c r="T1783" s="114"/>
      <c r="Y1783" s="118"/>
      <c r="Z1783" s="29"/>
      <c r="AA1783" s="29"/>
      <c r="AB1783" s="29"/>
      <c r="AC1783" s="29"/>
      <c r="AD1783" s="29"/>
      <c r="AE1783" s="29"/>
      <c r="AF1783" s="29"/>
      <c r="AG1783" s="29"/>
      <c r="AH1783" s="123"/>
      <c r="AI1783" s="32"/>
      <c r="AJ1783" s="32"/>
      <c r="AK1783" s="32"/>
      <c r="AL1783" s="32"/>
      <c r="AM1783" s="32"/>
      <c r="AN1783" s="32"/>
      <c r="AO1783" s="32"/>
      <c r="AP1783" s="29"/>
    </row>
    <row r="1784">
      <c r="A1784" s="115"/>
      <c r="B1784" s="116"/>
      <c r="C1784" s="115"/>
      <c r="D1784" s="115"/>
      <c r="E1784" s="115"/>
      <c r="F1784" s="115"/>
      <c r="G1784" s="115"/>
      <c r="H1784" s="115"/>
      <c r="I1784" s="115"/>
      <c r="J1784" s="115"/>
      <c r="K1784" s="115"/>
      <c r="L1784" s="115"/>
      <c r="O1784" s="116"/>
      <c r="Q1784" s="116"/>
      <c r="T1784" s="114"/>
      <c r="Y1784" s="118"/>
      <c r="Z1784" s="29"/>
      <c r="AA1784" s="29"/>
      <c r="AB1784" s="29"/>
      <c r="AC1784" s="29"/>
      <c r="AD1784" s="29"/>
      <c r="AE1784" s="29"/>
      <c r="AF1784" s="29"/>
      <c r="AG1784" s="29"/>
      <c r="AH1784" s="123"/>
      <c r="AI1784" s="32"/>
      <c r="AJ1784" s="32"/>
      <c r="AK1784" s="32"/>
      <c r="AL1784" s="32"/>
      <c r="AM1784" s="32"/>
      <c r="AN1784" s="32"/>
      <c r="AO1784" s="32"/>
      <c r="AP1784" s="29"/>
    </row>
    <row r="1785">
      <c r="A1785" s="115"/>
      <c r="B1785" s="116"/>
      <c r="C1785" s="115"/>
      <c r="D1785" s="115"/>
      <c r="E1785" s="115"/>
      <c r="F1785" s="115"/>
      <c r="G1785" s="115"/>
      <c r="H1785" s="115"/>
      <c r="I1785" s="115"/>
      <c r="J1785" s="115"/>
      <c r="K1785" s="115"/>
      <c r="L1785" s="115"/>
      <c r="O1785" s="116"/>
      <c r="Q1785" s="116"/>
      <c r="T1785" s="114"/>
      <c r="Y1785" s="118"/>
      <c r="Z1785" s="29"/>
      <c r="AA1785" s="29"/>
      <c r="AB1785" s="29"/>
      <c r="AC1785" s="29"/>
      <c r="AD1785" s="29"/>
      <c r="AE1785" s="29"/>
      <c r="AF1785" s="29"/>
      <c r="AG1785" s="29"/>
      <c r="AH1785" s="123"/>
      <c r="AI1785" s="32"/>
      <c r="AJ1785" s="32"/>
      <c r="AK1785" s="32"/>
      <c r="AL1785" s="32"/>
      <c r="AM1785" s="32"/>
      <c r="AN1785" s="32"/>
      <c r="AO1785" s="32"/>
      <c r="AP1785" s="29"/>
    </row>
    <row r="1786">
      <c r="A1786" s="115"/>
      <c r="B1786" s="116"/>
      <c r="C1786" s="115"/>
      <c r="D1786" s="115"/>
      <c r="E1786" s="115"/>
      <c r="F1786" s="115"/>
      <c r="G1786" s="115"/>
      <c r="H1786" s="115"/>
      <c r="I1786" s="115"/>
      <c r="J1786" s="115"/>
      <c r="K1786" s="115"/>
      <c r="L1786" s="115"/>
      <c r="O1786" s="116"/>
      <c r="Q1786" s="116"/>
      <c r="T1786" s="114"/>
      <c r="Y1786" s="118"/>
      <c r="Z1786" s="29"/>
      <c r="AA1786" s="29"/>
      <c r="AB1786" s="29"/>
      <c r="AC1786" s="29"/>
      <c r="AD1786" s="29"/>
      <c r="AE1786" s="29"/>
      <c r="AF1786" s="29"/>
      <c r="AG1786" s="29"/>
      <c r="AH1786" s="123"/>
      <c r="AI1786" s="32"/>
      <c r="AJ1786" s="32"/>
      <c r="AK1786" s="32"/>
      <c r="AL1786" s="32"/>
      <c r="AM1786" s="32"/>
      <c r="AN1786" s="32"/>
      <c r="AO1786" s="32"/>
      <c r="AP1786" s="29"/>
    </row>
    <row r="1787">
      <c r="A1787" s="115"/>
      <c r="B1787" s="116"/>
      <c r="C1787" s="115"/>
      <c r="D1787" s="115"/>
      <c r="E1787" s="115"/>
      <c r="F1787" s="115"/>
      <c r="G1787" s="115"/>
      <c r="H1787" s="115"/>
      <c r="I1787" s="115"/>
      <c r="J1787" s="115"/>
      <c r="K1787" s="115"/>
      <c r="L1787" s="115"/>
      <c r="O1787" s="116"/>
      <c r="Q1787" s="116"/>
      <c r="T1787" s="114"/>
      <c r="Y1787" s="118"/>
      <c r="Z1787" s="29"/>
      <c r="AA1787" s="29"/>
      <c r="AB1787" s="29"/>
      <c r="AC1787" s="29"/>
      <c r="AD1787" s="29"/>
      <c r="AE1787" s="29"/>
      <c r="AF1787" s="29"/>
      <c r="AG1787" s="29"/>
      <c r="AH1787" s="123"/>
      <c r="AI1787" s="32"/>
      <c r="AJ1787" s="32"/>
      <c r="AK1787" s="32"/>
      <c r="AL1787" s="32"/>
      <c r="AM1787" s="32"/>
      <c r="AN1787" s="32"/>
      <c r="AO1787" s="32"/>
      <c r="AP1787" s="29"/>
    </row>
    <row r="1788">
      <c r="A1788" s="115"/>
      <c r="B1788" s="116"/>
      <c r="C1788" s="115"/>
      <c r="D1788" s="115"/>
      <c r="E1788" s="115"/>
      <c r="F1788" s="115"/>
      <c r="G1788" s="115"/>
      <c r="H1788" s="115"/>
      <c r="I1788" s="115"/>
      <c r="J1788" s="115"/>
      <c r="K1788" s="115"/>
      <c r="L1788" s="115"/>
      <c r="O1788" s="116"/>
      <c r="Q1788" s="116"/>
      <c r="T1788" s="114"/>
      <c r="Y1788" s="118"/>
      <c r="Z1788" s="29"/>
      <c r="AA1788" s="29"/>
      <c r="AB1788" s="29"/>
      <c r="AC1788" s="29"/>
      <c r="AD1788" s="29"/>
      <c r="AE1788" s="29"/>
      <c r="AF1788" s="29"/>
      <c r="AG1788" s="29"/>
      <c r="AH1788" s="123"/>
      <c r="AI1788" s="32"/>
      <c r="AJ1788" s="32"/>
      <c r="AK1788" s="32"/>
      <c r="AL1788" s="32"/>
      <c r="AM1788" s="32"/>
      <c r="AN1788" s="32"/>
      <c r="AO1788" s="32"/>
      <c r="AP1788" s="29"/>
    </row>
    <row r="1789">
      <c r="A1789" s="115"/>
      <c r="B1789" s="116"/>
      <c r="C1789" s="115"/>
      <c r="D1789" s="115"/>
      <c r="E1789" s="115"/>
      <c r="F1789" s="115"/>
      <c r="G1789" s="115"/>
      <c r="H1789" s="115"/>
      <c r="I1789" s="115"/>
      <c r="J1789" s="115"/>
      <c r="K1789" s="115"/>
      <c r="L1789" s="115"/>
      <c r="O1789" s="116"/>
      <c r="Q1789" s="116"/>
      <c r="T1789" s="114"/>
      <c r="Y1789" s="118"/>
      <c r="Z1789" s="29"/>
      <c r="AA1789" s="29"/>
      <c r="AB1789" s="29"/>
      <c r="AC1789" s="29"/>
      <c r="AD1789" s="29"/>
      <c r="AE1789" s="29"/>
      <c r="AF1789" s="29"/>
      <c r="AG1789" s="29"/>
      <c r="AH1789" s="123"/>
      <c r="AI1789" s="32"/>
      <c r="AJ1789" s="32"/>
      <c r="AK1789" s="32"/>
      <c r="AL1789" s="32"/>
      <c r="AM1789" s="32"/>
      <c r="AN1789" s="32"/>
      <c r="AO1789" s="32"/>
      <c r="AP1789" s="29"/>
    </row>
    <row r="1790">
      <c r="A1790" s="115"/>
      <c r="B1790" s="116"/>
      <c r="C1790" s="115"/>
      <c r="D1790" s="115"/>
      <c r="E1790" s="115"/>
      <c r="F1790" s="115"/>
      <c r="G1790" s="115"/>
      <c r="H1790" s="115"/>
      <c r="I1790" s="115"/>
      <c r="J1790" s="115"/>
      <c r="K1790" s="115"/>
      <c r="L1790" s="115"/>
      <c r="O1790" s="116"/>
      <c r="Q1790" s="116"/>
      <c r="T1790" s="114"/>
      <c r="Y1790" s="118"/>
      <c r="Z1790" s="29"/>
      <c r="AA1790" s="29"/>
      <c r="AB1790" s="29"/>
      <c r="AC1790" s="29"/>
      <c r="AD1790" s="29"/>
      <c r="AE1790" s="29"/>
      <c r="AF1790" s="29"/>
      <c r="AG1790" s="29"/>
      <c r="AH1790" s="123"/>
      <c r="AI1790" s="32"/>
      <c r="AJ1790" s="32"/>
      <c r="AK1790" s="32"/>
      <c r="AL1790" s="32"/>
      <c r="AM1790" s="32"/>
      <c r="AN1790" s="32"/>
      <c r="AO1790" s="32"/>
      <c r="AP1790" s="29"/>
    </row>
    <row r="1791">
      <c r="A1791" s="115"/>
      <c r="B1791" s="116"/>
      <c r="C1791" s="115"/>
      <c r="D1791" s="115"/>
      <c r="E1791" s="115"/>
      <c r="F1791" s="115"/>
      <c r="G1791" s="115"/>
      <c r="H1791" s="115"/>
      <c r="I1791" s="115"/>
      <c r="J1791" s="115"/>
      <c r="K1791" s="115"/>
      <c r="L1791" s="115"/>
      <c r="O1791" s="116"/>
      <c r="Q1791" s="116"/>
      <c r="T1791" s="114"/>
      <c r="Y1791" s="118"/>
      <c r="Z1791" s="29"/>
      <c r="AA1791" s="29"/>
      <c r="AB1791" s="29"/>
      <c r="AC1791" s="29"/>
      <c r="AD1791" s="29"/>
      <c r="AE1791" s="29"/>
      <c r="AF1791" s="29"/>
      <c r="AG1791" s="29"/>
      <c r="AH1791" s="123"/>
      <c r="AI1791" s="32"/>
      <c r="AJ1791" s="32"/>
      <c r="AK1791" s="32"/>
      <c r="AL1791" s="32"/>
      <c r="AM1791" s="32"/>
      <c r="AN1791" s="32"/>
      <c r="AO1791" s="32"/>
      <c r="AP1791" s="29"/>
    </row>
    <row r="1792">
      <c r="A1792" s="115"/>
      <c r="B1792" s="116"/>
      <c r="C1792" s="115"/>
      <c r="D1792" s="115"/>
      <c r="E1792" s="115"/>
      <c r="F1792" s="115"/>
      <c r="G1792" s="115"/>
      <c r="H1792" s="115"/>
      <c r="I1792" s="115"/>
      <c r="J1792" s="115"/>
      <c r="K1792" s="115"/>
      <c r="L1792" s="115"/>
      <c r="O1792" s="116"/>
      <c r="Q1792" s="116"/>
      <c r="T1792" s="114"/>
      <c r="Y1792" s="118"/>
      <c r="Z1792" s="29"/>
      <c r="AA1792" s="29"/>
      <c r="AB1792" s="29"/>
      <c r="AC1792" s="29"/>
      <c r="AD1792" s="29"/>
      <c r="AE1792" s="29"/>
      <c r="AF1792" s="29"/>
      <c r="AG1792" s="29"/>
      <c r="AH1792" s="123"/>
      <c r="AI1792" s="32"/>
      <c r="AJ1792" s="32"/>
      <c r="AK1792" s="32"/>
      <c r="AL1792" s="32"/>
      <c r="AM1792" s="32"/>
      <c r="AN1792" s="32"/>
      <c r="AO1792" s="32"/>
      <c r="AP1792" s="29"/>
    </row>
    <row r="1793">
      <c r="A1793" s="115"/>
      <c r="B1793" s="116"/>
      <c r="C1793" s="115"/>
      <c r="D1793" s="115"/>
      <c r="E1793" s="115"/>
      <c r="F1793" s="115"/>
      <c r="G1793" s="115"/>
      <c r="H1793" s="115"/>
      <c r="I1793" s="115"/>
      <c r="J1793" s="115"/>
      <c r="K1793" s="115"/>
      <c r="L1793" s="115"/>
      <c r="O1793" s="116"/>
      <c r="Q1793" s="116"/>
      <c r="T1793" s="114"/>
      <c r="Y1793" s="118"/>
      <c r="Z1793" s="29"/>
      <c r="AA1793" s="29"/>
      <c r="AB1793" s="29"/>
      <c r="AC1793" s="29"/>
      <c r="AD1793" s="29"/>
      <c r="AE1793" s="29"/>
      <c r="AF1793" s="29"/>
      <c r="AG1793" s="29"/>
      <c r="AH1793" s="123"/>
      <c r="AI1793" s="32"/>
      <c r="AJ1793" s="32"/>
      <c r="AK1793" s="32"/>
      <c r="AL1793" s="32"/>
      <c r="AM1793" s="32"/>
      <c r="AN1793" s="32"/>
      <c r="AO1793" s="32"/>
      <c r="AP1793" s="29"/>
    </row>
    <row r="1794">
      <c r="A1794" s="115"/>
      <c r="B1794" s="116"/>
      <c r="C1794" s="115"/>
      <c r="D1794" s="115"/>
      <c r="E1794" s="115"/>
      <c r="F1794" s="115"/>
      <c r="G1794" s="115"/>
      <c r="H1794" s="115"/>
      <c r="I1794" s="115"/>
      <c r="J1794" s="115"/>
      <c r="K1794" s="115"/>
      <c r="L1794" s="115"/>
      <c r="O1794" s="116"/>
      <c r="Q1794" s="116"/>
      <c r="T1794" s="114"/>
      <c r="Y1794" s="118"/>
      <c r="Z1794" s="29"/>
      <c r="AA1794" s="29"/>
      <c r="AB1794" s="29"/>
      <c r="AC1794" s="29"/>
      <c r="AD1794" s="29"/>
      <c r="AE1794" s="29"/>
      <c r="AF1794" s="29"/>
      <c r="AG1794" s="29"/>
      <c r="AH1794" s="123"/>
      <c r="AI1794" s="32"/>
      <c r="AJ1794" s="32"/>
      <c r="AK1794" s="32"/>
      <c r="AL1794" s="32"/>
      <c r="AM1794" s="32"/>
      <c r="AN1794" s="32"/>
      <c r="AO1794" s="32"/>
      <c r="AP1794" s="29"/>
    </row>
    <row r="1795">
      <c r="A1795" s="115"/>
      <c r="B1795" s="116"/>
      <c r="C1795" s="115"/>
      <c r="D1795" s="115"/>
      <c r="E1795" s="115"/>
      <c r="F1795" s="115"/>
      <c r="G1795" s="115"/>
      <c r="H1795" s="115"/>
      <c r="I1795" s="115"/>
      <c r="J1795" s="115"/>
      <c r="K1795" s="115"/>
      <c r="L1795" s="115"/>
      <c r="O1795" s="116"/>
      <c r="Q1795" s="116"/>
      <c r="T1795" s="114"/>
      <c r="Y1795" s="118"/>
      <c r="Z1795" s="29"/>
      <c r="AA1795" s="29"/>
      <c r="AB1795" s="29"/>
      <c r="AC1795" s="29"/>
      <c r="AD1795" s="29"/>
      <c r="AE1795" s="29"/>
      <c r="AF1795" s="29"/>
      <c r="AG1795" s="29"/>
      <c r="AH1795" s="123"/>
      <c r="AI1795" s="32"/>
      <c r="AJ1795" s="32"/>
      <c r="AK1795" s="32"/>
      <c r="AL1795" s="32"/>
      <c r="AM1795" s="32"/>
      <c r="AN1795" s="32"/>
      <c r="AO1795" s="32"/>
      <c r="AP1795" s="29"/>
    </row>
    <row r="1796">
      <c r="A1796" s="115"/>
      <c r="B1796" s="116"/>
      <c r="C1796" s="115"/>
      <c r="D1796" s="115"/>
      <c r="E1796" s="115"/>
      <c r="F1796" s="115"/>
      <c r="G1796" s="115"/>
      <c r="H1796" s="115"/>
      <c r="I1796" s="115"/>
      <c r="J1796" s="115"/>
      <c r="K1796" s="115"/>
      <c r="L1796" s="115"/>
      <c r="O1796" s="116"/>
      <c r="Q1796" s="116"/>
      <c r="T1796" s="114"/>
      <c r="Y1796" s="118"/>
      <c r="Z1796" s="29"/>
      <c r="AA1796" s="29"/>
      <c r="AB1796" s="29"/>
      <c r="AC1796" s="29"/>
      <c r="AD1796" s="29"/>
      <c r="AE1796" s="29"/>
      <c r="AF1796" s="29"/>
      <c r="AG1796" s="29"/>
      <c r="AH1796" s="123"/>
      <c r="AI1796" s="32"/>
      <c r="AJ1796" s="32"/>
      <c r="AK1796" s="32"/>
      <c r="AL1796" s="32"/>
      <c r="AM1796" s="32"/>
      <c r="AN1796" s="32"/>
      <c r="AO1796" s="32"/>
      <c r="AP1796" s="29"/>
    </row>
    <row r="1797">
      <c r="A1797" s="115"/>
      <c r="B1797" s="116"/>
      <c r="C1797" s="115"/>
      <c r="D1797" s="115"/>
      <c r="E1797" s="115"/>
      <c r="F1797" s="115"/>
      <c r="G1797" s="115"/>
      <c r="H1797" s="115"/>
      <c r="I1797" s="115"/>
      <c r="J1797" s="115"/>
      <c r="K1797" s="115"/>
      <c r="L1797" s="115"/>
      <c r="O1797" s="116"/>
      <c r="Q1797" s="116"/>
      <c r="T1797" s="114"/>
      <c r="Y1797" s="118"/>
      <c r="Z1797" s="29"/>
      <c r="AA1797" s="29"/>
      <c r="AB1797" s="29"/>
      <c r="AC1797" s="29"/>
      <c r="AD1797" s="29"/>
      <c r="AE1797" s="29"/>
      <c r="AF1797" s="29"/>
      <c r="AG1797" s="29"/>
      <c r="AH1797" s="123"/>
      <c r="AI1797" s="32"/>
      <c r="AJ1797" s="32"/>
      <c r="AK1797" s="32"/>
      <c r="AL1797" s="32"/>
      <c r="AM1797" s="32"/>
      <c r="AN1797" s="32"/>
      <c r="AO1797" s="32"/>
      <c r="AP1797" s="29"/>
    </row>
    <row r="1798">
      <c r="A1798" s="115"/>
      <c r="B1798" s="116"/>
      <c r="C1798" s="115"/>
      <c r="D1798" s="115"/>
      <c r="E1798" s="115"/>
      <c r="F1798" s="115"/>
      <c r="G1798" s="115"/>
      <c r="H1798" s="115"/>
      <c r="I1798" s="115"/>
      <c r="J1798" s="115"/>
      <c r="K1798" s="115"/>
      <c r="L1798" s="115"/>
      <c r="O1798" s="116"/>
      <c r="Q1798" s="116"/>
      <c r="T1798" s="114"/>
      <c r="Y1798" s="118"/>
      <c r="Z1798" s="29"/>
      <c r="AA1798" s="29"/>
      <c r="AB1798" s="29"/>
      <c r="AC1798" s="29"/>
      <c r="AD1798" s="29"/>
      <c r="AE1798" s="29"/>
      <c r="AF1798" s="29"/>
      <c r="AG1798" s="29"/>
      <c r="AH1798" s="123"/>
      <c r="AI1798" s="32"/>
      <c r="AJ1798" s="32"/>
      <c r="AK1798" s="32"/>
      <c r="AL1798" s="32"/>
      <c r="AM1798" s="32"/>
      <c r="AN1798" s="32"/>
      <c r="AO1798" s="32"/>
      <c r="AP1798" s="29"/>
    </row>
    <row r="1799">
      <c r="A1799" s="115"/>
      <c r="B1799" s="116"/>
      <c r="C1799" s="115"/>
      <c r="D1799" s="115"/>
      <c r="E1799" s="115"/>
      <c r="F1799" s="115"/>
      <c r="G1799" s="115"/>
      <c r="H1799" s="115"/>
      <c r="I1799" s="115"/>
      <c r="J1799" s="115"/>
      <c r="K1799" s="115"/>
      <c r="L1799" s="115"/>
      <c r="O1799" s="116"/>
      <c r="Q1799" s="116"/>
      <c r="T1799" s="114"/>
      <c r="Y1799" s="118"/>
      <c r="Z1799" s="29"/>
      <c r="AA1799" s="29"/>
      <c r="AB1799" s="29"/>
      <c r="AC1799" s="29"/>
      <c r="AD1799" s="29"/>
      <c r="AE1799" s="29"/>
      <c r="AF1799" s="29"/>
      <c r="AG1799" s="29"/>
      <c r="AH1799" s="123"/>
      <c r="AI1799" s="32"/>
      <c r="AJ1799" s="32"/>
      <c r="AK1799" s="32"/>
      <c r="AL1799" s="32"/>
      <c r="AM1799" s="32"/>
      <c r="AN1799" s="32"/>
      <c r="AO1799" s="32"/>
      <c r="AP1799" s="29"/>
    </row>
    <row r="1800">
      <c r="A1800" s="115"/>
      <c r="B1800" s="116"/>
      <c r="C1800" s="115"/>
      <c r="D1800" s="115"/>
      <c r="E1800" s="115"/>
      <c r="F1800" s="115"/>
      <c r="G1800" s="115"/>
      <c r="H1800" s="115"/>
      <c r="I1800" s="115"/>
      <c r="J1800" s="115"/>
      <c r="K1800" s="115"/>
      <c r="L1800" s="115"/>
      <c r="O1800" s="116"/>
      <c r="Q1800" s="116"/>
      <c r="T1800" s="114"/>
      <c r="Y1800" s="118"/>
      <c r="Z1800" s="29"/>
      <c r="AA1800" s="29"/>
      <c r="AB1800" s="29"/>
      <c r="AC1800" s="29"/>
      <c r="AD1800" s="29"/>
      <c r="AE1800" s="29"/>
      <c r="AF1800" s="29"/>
      <c r="AG1800" s="29"/>
      <c r="AH1800" s="123"/>
      <c r="AI1800" s="32"/>
      <c r="AJ1800" s="32"/>
      <c r="AK1800" s="32"/>
      <c r="AL1800" s="32"/>
      <c r="AM1800" s="32"/>
      <c r="AN1800" s="32"/>
      <c r="AO1800" s="32"/>
      <c r="AP1800" s="29"/>
    </row>
    <row r="1801">
      <c r="A1801" s="115"/>
      <c r="B1801" s="116"/>
      <c r="C1801" s="115"/>
      <c r="D1801" s="115"/>
      <c r="E1801" s="115"/>
      <c r="F1801" s="115"/>
      <c r="G1801" s="115"/>
      <c r="H1801" s="115"/>
      <c r="I1801" s="115"/>
      <c r="J1801" s="115"/>
      <c r="K1801" s="115"/>
      <c r="L1801" s="115"/>
      <c r="O1801" s="116"/>
      <c r="Q1801" s="116"/>
      <c r="T1801" s="114"/>
      <c r="Y1801" s="118"/>
      <c r="Z1801" s="29"/>
      <c r="AA1801" s="29"/>
      <c r="AB1801" s="29"/>
      <c r="AC1801" s="29"/>
      <c r="AD1801" s="29"/>
      <c r="AE1801" s="29"/>
      <c r="AF1801" s="29"/>
      <c r="AG1801" s="29"/>
      <c r="AH1801" s="123"/>
      <c r="AI1801" s="32"/>
      <c r="AJ1801" s="32"/>
      <c r="AK1801" s="32"/>
      <c r="AL1801" s="32"/>
      <c r="AM1801" s="32"/>
      <c r="AN1801" s="32"/>
      <c r="AO1801" s="32"/>
      <c r="AP1801" s="29"/>
    </row>
    <row r="1802">
      <c r="A1802" s="115"/>
      <c r="B1802" s="116"/>
      <c r="C1802" s="115"/>
      <c r="D1802" s="115"/>
      <c r="E1802" s="115"/>
      <c r="F1802" s="115"/>
      <c r="G1802" s="115"/>
      <c r="H1802" s="115"/>
      <c r="I1802" s="115"/>
      <c r="J1802" s="115"/>
      <c r="K1802" s="115"/>
      <c r="L1802" s="115"/>
      <c r="O1802" s="116"/>
      <c r="Q1802" s="116"/>
      <c r="T1802" s="114"/>
      <c r="Y1802" s="118"/>
      <c r="Z1802" s="29"/>
      <c r="AA1802" s="29"/>
      <c r="AB1802" s="29"/>
      <c r="AC1802" s="29"/>
      <c r="AD1802" s="29"/>
      <c r="AE1802" s="29"/>
      <c r="AF1802" s="29"/>
      <c r="AG1802" s="29"/>
      <c r="AH1802" s="123"/>
      <c r="AI1802" s="32"/>
      <c r="AJ1802" s="32"/>
      <c r="AK1802" s="32"/>
      <c r="AL1802" s="32"/>
      <c r="AM1802" s="32"/>
      <c r="AN1802" s="32"/>
      <c r="AO1802" s="32"/>
      <c r="AP1802" s="29"/>
    </row>
    <row r="1803">
      <c r="A1803" s="115"/>
      <c r="B1803" s="116"/>
      <c r="C1803" s="115"/>
      <c r="D1803" s="115"/>
      <c r="E1803" s="115"/>
      <c r="F1803" s="115"/>
      <c r="G1803" s="115"/>
      <c r="H1803" s="115"/>
      <c r="I1803" s="115"/>
      <c r="J1803" s="115"/>
      <c r="K1803" s="115"/>
      <c r="L1803" s="115"/>
      <c r="O1803" s="116"/>
      <c r="Q1803" s="116"/>
      <c r="T1803" s="114"/>
      <c r="Y1803" s="118"/>
      <c r="Z1803" s="29"/>
      <c r="AA1803" s="29"/>
      <c r="AB1803" s="29"/>
      <c r="AC1803" s="29"/>
      <c r="AD1803" s="29"/>
      <c r="AE1803" s="29"/>
      <c r="AF1803" s="29"/>
      <c r="AG1803" s="29"/>
      <c r="AH1803" s="123"/>
      <c r="AI1803" s="32"/>
      <c r="AJ1803" s="32"/>
      <c r="AK1803" s="32"/>
      <c r="AL1803" s="32"/>
      <c r="AM1803" s="32"/>
      <c r="AN1803" s="32"/>
      <c r="AO1803" s="32"/>
      <c r="AP1803" s="29"/>
    </row>
    <row r="1804">
      <c r="A1804" s="115"/>
      <c r="B1804" s="116"/>
      <c r="C1804" s="115"/>
      <c r="D1804" s="115"/>
      <c r="E1804" s="115"/>
      <c r="F1804" s="115"/>
      <c r="G1804" s="115"/>
      <c r="H1804" s="115"/>
      <c r="I1804" s="115"/>
      <c r="J1804" s="115"/>
      <c r="K1804" s="115"/>
      <c r="L1804" s="115"/>
      <c r="O1804" s="116"/>
      <c r="Q1804" s="116"/>
      <c r="T1804" s="114"/>
      <c r="Y1804" s="118"/>
      <c r="Z1804" s="29"/>
      <c r="AA1804" s="29"/>
      <c r="AB1804" s="29"/>
      <c r="AC1804" s="29"/>
      <c r="AD1804" s="29"/>
      <c r="AE1804" s="29"/>
      <c r="AF1804" s="29"/>
      <c r="AG1804" s="29"/>
      <c r="AH1804" s="123"/>
      <c r="AI1804" s="32"/>
      <c r="AJ1804" s="32"/>
      <c r="AK1804" s="32"/>
      <c r="AL1804" s="32"/>
      <c r="AM1804" s="32"/>
      <c r="AN1804" s="32"/>
      <c r="AO1804" s="32"/>
      <c r="AP1804" s="29"/>
    </row>
    <row r="1805">
      <c r="A1805" s="115"/>
      <c r="B1805" s="116"/>
      <c r="C1805" s="115"/>
      <c r="D1805" s="115"/>
      <c r="E1805" s="115"/>
      <c r="F1805" s="115"/>
      <c r="G1805" s="115"/>
      <c r="H1805" s="115"/>
      <c r="I1805" s="115"/>
      <c r="J1805" s="115"/>
      <c r="K1805" s="115"/>
      <c r="L1805" s="115"/>
      <c r="O1805" s="116"/>
      <c r="Q1805" s="116"/>
      <c r="T1805" s="114"/>
      <c r="Y1805" s="118"/>
      <c r="Z1805" s="29"/>
      <c r="AA1805" s="29"/>
      <c r="AB1805" s="29"/>
      <c r="AC1805" s="29"/>
      <c r="AD1805" s="29"/>
      <c r="AE1805" s="29"/>
      <c r="AF1805" s="29"/>
      <c r="AG1805" s="29"/>
      <c r="AH1805" s="123"/>
      <c r="AI1805" s="32"/>
      <c r="AJ1805" s="32"/>
      <c r="AK1805" s="32"/>
      <c r="AL1805" s="32"/>
      <c r="AM1805" s="32"/>
      <c r="AN1805" s="32"/>
      <c r="AO1805" s="32"/>
      <c r="AP1805" s="29"/>
    </row>
    <row r="1806">
      <c r="A1806" s="115"/>
      <c r="B1806" s="116"/>
      <c r="C1806" s="115"/>
      <c r="D1806" s="115"/>
      <c r="E1806" s="115"/>
      <c r="F1806" s="115"/>
      <c r="G1806" s="115"/>
      <c r="H1806" s="115"/>
      <c r="I1806" s="115"/>
      <c r="J1806" s="115"/>
      <c r="K1806" s="115"/>
      <c r="L1806" s="115"/>
      <c r="O1806" s="116"/>
      <c r="Q1806" s="116"/>
      <c r="T1806" s="114"/>
      <c r="Y1806" s="118"/>
      <c r="Z1806" s="29"/>
      <c r="AA1806" s="29"/>
      <c r="AB1806" s="29"/>
      <c r="AC1806" s="29"/>
      <c r="AD1806" s="29"/>
      <c r="AE1806" s="29"/>
      <c r="AF1806" s="29"/>
      <c r="AG1806" s="29"/>
      <c r="AH1806" s="123"/>
      <c r="AI1806" s="32"/>
      <c r="AJ1806" s="32"/>
      <c r="AK1806" s="32"/>
      <c r="AL1806" s="32"/>
      <c r="AM1806" s="32"/>
      <c r="AN1806" s="32"/>
      <c r="AO1806" s="32"/>
      <c r="AP1806" s="29"/>
    </row>
    <row r="1807">
      <c r="A1807" s="115"/>
      <c r="B1807" s="116"/>
      <c r="C1807" s="115"/>
      <c r="D1807" s="115"/>
      <c r="E1807" s="115"/>
      <c r="F1807" s="115"/>
      <c r="G1807" s="115"/>
      <c r="H1807" s="115"/>
      <c r="I1807" s="115"/>
      <c r="J1807" s="115"/>
      <c r="K1807" s="115"/>
      <c r="L1807" s="115"/>
      <c r="O1807" s="116"/>
      <c r="Q1807" s="116"/>
      <c r="T1807" s="114"/>
      <c r="Y1807" s="118"/>
      <c r="Z1807" s="29"/>
      <c r="AA1807" s="29"/>
      <c r="AB1807" s="29"/>
      <c r="AC1807" s="29"/>
      <c r="AD1807" s="29"/>
      <c r="AE1807" s="29"/>
      <c r="AF1807" s="29"/>
      <c r="AG1807" s="29"/>
      <c r="AH1807" s="123"/>
      <c r="AI1807" s="32"/>
      <c r="AJ1807" s="32"/>
      <c r="AK1807" s="32"/>
      <c r="AL1807" s="32"/>
      <c r="AM1807" s="32"/>
      <c r="AN1807" s="32"/>
      <c r="AO1807" s="32"/>
      <c r="AP1807" s="29"/>
    </row>
    <row r="1808">
      <c r="A1808" s="115"/>
      <c r="B1808" s="116"/>
      <c r="C1808" s="115"/>
      <c r="D1808" s="115"/>
      <c r="E1808" s="115"/>
      <c r="F1808" s="115"/>
      <c r="G1808" s="115"/>
      <c r="H1808" s="115"/>
      <c r="I1808" s="115"/>
      <c r="J1808" s="115"/>
      <c r="K1808" s="115"/>
      <c r="L1808" s="115"/>
      <c r="O1808" s="116"/>
      <c r="Q1808" s="116"/>
      <c r="T1808" s="114"/>
      <c r="Y1808" s="118"/>
      <c r="Z1808" s="29"/>
      <c r="AA1808" s="29"/>
      <c r="AB1808" s="29"/>
      <c r="AC1808" s="29"/>
      <c r="AD1808" s="29"/>
      <c r="AE1808" s="29"/>
      <c r="AF1808" s="29"/>
      <c r="AG1808" s="29"/>
      <c r="AH1808" s="123"/>
      <c r="AI1808" s="32"/>
      <c r="AJ1808" s="32"/>
      <c r="AK1808" s="32"/>
      <c r="AL1808" s="32"/>
      <c r="AM1808" s="32"/>
      <c r="AN1808" s="32"/>
      <c r="AO1808" s="32"/>
      <c r="AP1808" s="29"/>
    </row>
    <row r="1809">
      <c r="A1809" s="115"/>
      <c r="B1809" s="116"/>
      <c r="C1809" s="115"/>
      <c r="D1809" s="115"/>
      <c r="E1809" s="115"/>
      <c r="F1809" s="115"/>
      <c r="G1809" s="115"/>
      <c r="H1809" s="115"/>
      <c r="I1809" s="115"/>
      <c r="J1809" s="115"/>
      <c r="K1809" s="115"/>
      <c r="L1809" s="115"/>
      <c r="O1809" s="116"/>
      <c r="Q1809" s="116"/>
      <c r="T1809" s="114"/>
      <c r="Y1809" s="118"/>
      <c r="Z1809" s="29"/>
      <c r="AA1809" s="29"/>
      <c r="AB1809" s="29"/>
      <c r="AC1809" s="29"/>
      <c r="AD1809" s="29"/>
      <c r="AE1809" s="29"/>
      <c r="AF1809" s="29"/>
      <c r="AG1809" s="29"/>
      <c r="AH1809" s="123"/>
      <c r="AI1809" s="32"/>
      <c r="AJ1809" s="32"/>
      <c r="AK1809" s="32"/>
      <c r="AL1809" s="32"/>
      <c r="AM1809" s="32"/>
      <c r="AN1809" s="32"/>
      <c r="AO1809" s="32"/>
      <c r="AP1809" s="29"/>
    </row>
    <row r="1810">
      <c r="A1810" s="115"/>
      <c r="B1810" s="116"/>
      <c r="C1810" s="115"/>
      <c r="D1810" s="115"/>
      <c r="E1810" s="115"/>
      <c r="F1810" s="115"/>
      <c r="G1810" s="115"/>
      <c r="H1810" s="115"/>
      <c r="I1810" s="115"/>
      <c r="J1810" s="115"/>
      <c r="K1810" s="115"/>
      <c r="L1810" s="115"/>
      <c r="O1810" s="116"/>
      <c r="Q1810" s="116"/>
      <c r="T1810" s="114"/>
      <c r="Y1810" s="118"/>
      <c r="Z1810" s="29"/>
      <c r="AA1810" s="29"/>
      <c r="AB1810" s="29"/>
      <c r="AC1810" s="29"/>
      <c r="AD1810" s="29"/>
      <c r="AE1810" s="29"/>
      <c r="AF1810" s="29"/>
      <c r="AG1810" s="29"/>
      <c r="AH1810" s="123"/>
      <c r="AI1810" s="32"/>
      <c r="AJ1810" s="32"/>
      <c r="AK1810" s="32"/>
      <c r="AL1810" s="32"/>
      <c r="AM1810" s="32"/>
      <c r="AN1810" s="32"/>
      <c r="AO1810" s="32"/>
      <c r="AP1810" s="29"/>
    </row>
    <row r="1811">
      <c r="A1811" s="115"/>
      <c r="B1811" s="116"/>
      <c r="C1811" s="115"/>
      <c r="D1811" s="115"/>
      <c r="E1811" s="115"/>
      <c r="F1811" s="115"/>
      <c r="G1811" s="115"/>
      <c r="H1811" s="115"/>
      <c r="I1811" s="115"/>
      <c r="J1811" s="115"/>
      <c r="K1811" s="115"/>
      <c r="L1811" s="115"/>
      <c r="O1811" s="116"/>
      <c r="Q1811" s="116"/>
      <c r="T1811" s="114"/>
      <c r="Y1811" s="118"/>
      <c r="Z1811" s="29"/>
      <c r="AA1811" s="29"/>
      <c r="AB1811" s="29"/>
      <c r="AC1811" s="29"/>
      <c r="AD1811" s="29"/>
      <c r="AE1811" s="29"/>
      <c r="AF1811" s="29"/>
      <c r="AG1811" s="29"/>
      <c r="AH1811" s="123"/>
      <c r="AI1811" s="32"/>
      <c r="AJ1811" s="32"/>
      <c r="AK1811" s="32"/>
      <c r="AL1811" s="32"/>
      <c r="AM1811" s="32"/>
      <c r="AN1811" s="32"/>
      <c r="AO1811" s="32"/>
      <c r="AP1811" s="29"/>
    </row>
    <row r="1812">
      <c r="A1812" s="115"/>
      <c r="B1812" s="116"/>
      <c r="C1812" s="115"/>
      <c r="D1812" s="115"/>
      <c r="E1812" s="115"/>
      <c r="F1812" s="115"/>
      <c r="G1812" s="115"/>
      <c r="H1812" s="115"/>
      <c r="I1812" s="115"/>
      <c r="J1812" s="115"/>
      <c r="K1812" s="115"/>
      <c r="L1812" s="115"/>
      <c r="O1812" s="116"/>
      <c r="Q1812" s="116"/>
      <c r="T1812" s="114"/>
      <c r="Y1812" s="118"/>
      <c r="Z1812" s="29"/>
      <c r="AA1812" s="29"/>
      <c r="AB1812" s="29"/>
      <c r="AC1812" s="29"/>
      <c r="AD1812" s="29"/>
      <c r="AE1812" s="29"/>
      <c r="AF1812" s="29"/>
      <c r="AG1812" s="29"/>
      <c r="AH1812" s="123"/>
      <c r="AI1812" s="32"/>
      <c r="AJ1812" s="32"/>
      <c r="AK1812" s="32"/>
      <c r="AL1812" s="32"/>
      <c r="AM1812" s="32"/>
      <c r="AN1812" s="32"/>
      <c r="AO1812" s="32"/>
      <c r="AP1812" s="29"/>
    </row>
    <row r="1813">
      <c r="A1813" s="115"/>
      <c r="B1813" s="116"/>
      <c r="C1813" s="115"/>
      <c r="D1813" s="115"/>
      <c r="E1813" s="115"/>
      <c r="F1813" s="115"/>
      <c r="G1813" s="115"/>
      <c r="H1813" s="115"/>
      <c r="I1813" s="115"/>
      <c r="J1813" s="115"/>
      <c r="K1813" s="115"/>
      <c r="L1813" s="115"/>
      <c r="O1813" s="116"/>
      <c r="Q1813" s="116"/>
      <c r="T1813" s="114"/>
      <c r="Y1813" s="118"/>
      <c r="Z1813" s="29"/>
      <c r="AA1813" s="29"/>
      <c r="AB1813" s="29"/>
      <c r="AC1813" s="29"/>
      <c r="AD1813" s="29"/>
      <c r="AE1813" s="29"/>
      <c r="AF1813" s="29"/>
      <c r="AG1813" s="29"/>
      <c r="AH1813" s="123"/>
      <c r="AI1813" s="32"/>
      <c r="AJ1813" s="32"/>
      <c r="AK1813" s="32"/>
      <c r="AL1813" s="32"/>
      <c r="AM1813" s="32"/>
      <c r="AN1813" s="32"/>
      <c r="AO1813" s="32"/>
      <c r="AP1813" s="29"/>
    </row>
    <row r="1814">
      <c r="A1814" s="115"/>
      <c r="B1814" s="116"/>
      <c r="C1814" s="115"/>
      <c r="D1814" s="115"/>
      <c r="E1814" s="115"/>
      <c r="F1814" s="115"/>
      <c r="G1814" s="115"/>
      <c r="H1814" s="115"/>
      <c r="I1814" s="115"/>
      <c r="J1814" s="115"/>
      <c r="K1814" s="115"/>
      <c r="L1814" s="115"/>
      <c r="O1814" s="116"/>
      <c r="Q1814" s="116"/>
      <c r="T1814" s="114"/>
      <c r="Y1814" s="118"/>
      <c r="Z1814" s="29"/>
      <c r="AA1814" s="29"/>
      <c r="AB1814" s="29"/>
      <c r="AC1814" s="29"/>
      <c r="AD1814" s="29"/>
      <c r="AE1814" s="29"/>
      <c r="AF1814" s="29"/>
      <c r="AG1814" s="29"/>
      <c r="AH1814" s="123"/>
      <c r="AI1814" s="32"/>
      <c r="AJ1814" s="32"/>
      <c r="AK1814" s="32"/>
      <c r="AL1814" s="32"/>
      <c r="AM1814" s="32"/>
      <c r="AN1814" s="32"/>
      <c r="AO1814" s="32"/>
      <c r="AP1814" s="29"/>
    </row>
    <row r="1815">
      <c r="A1815" s="115"/>
      <c r="B1815" s="116"/>
      <c r="C1815" s="115"/>
      <c r="D1815" s="115"/>
      <c r="E1815" s="115"/>
      <c r="F1815" s="115"/>
      <c r="G1815" s="115"/>
      <c r="H1815" s="115"/>
      <c r="I1815" s="115"/>
      <c r="J1815" s="115"/>
      <c r="K1815" s="115"/>
      <c r="L1815" s="115"/>
      <c r="O1815" s="116"/>
      <c r="Q1815" s="116"/>
      <c r="T1815" s="114"/>
      <c r="Y1815" s="118"/>
      <c r="Z1815" s="29"/>
      <c r="AA1815" s="29"/>
      <c r="AB1815" s="29"/>
      <c r="AC1815" s="29"/>
      <c r="AD1815" s="29"/>
      <c r="AE1815" s="29"/>
      <c r="AF1815" s="29"/>
      <c r="AG1815" s="29"/>
      <c r="AH1815" s="123"/>
      <c r="AI1815" s="32"/>
      <c r="AJ1815" s="32"/>
      <c r="AK1815" s="32"/>
      <c r="AL1815" s="32"/>
      <c r="AM1815" s="32"/>
      <c r="AN1815" s="32"/>
      <c r="AO1815" s="32"/>
      <c r="AP1815" s="29"/>
    </row>
    <row r="1816">
      <c r="A1816" s="115"/>
      <c r="B1816" s="116"/>
      <c r="C1816" s="115"/>
      <c r="D1816" s="115"/>
      <c r="E1816" s="115"/>
      <c r="F1816" s="115"/>
      <c r="G1816" s="115"/>
      <c r="H1816" s="115"/>
      <c r="I1816" s="115"/>
      <c r="J1816" s="115"/>
      <c r="K1816" s="115"/>
      <c r="L1816" s="115"/>
      <c r="O1816" s="116"/>
      <c r="Q1816" s="116"/>
      <c r="T1816" s="114"/>
      <c r="Y1816" s="118"/>
      <c r="Z1816" s="29"/>
      <c r="AA1816" s="29"/>
      <c r="AB1816" s="29"/>
      <c r="AC1816" s="29"/>
      <c r="AD1816" s="29"/>
      <c r="AE1816" s="29"/>
      <c r="AF1816" s="29"/>
      <c r="AG1816" s="29"/>
      <c r="AH1816" s="123"/>
      <c r="AI1816" s="32"/>
      <c r="AJ1816" s="32"/>
      <c r="AK1816" s="32"/>
      <c r="AL1816" s="32"/>
      <c r="AM1816" s="32"/>
      <c r="AN1816" s="32"/>
      <c r="AO1816" s="32"/>
      <c r="AP1816" s="29"/>
    </row>
    <row r="1817">
      <c r="A1817" s="115"/>
      <c r="B1817" s="116"/>
      <c r="C1817" s="115"/>
      <c r="D1817" s="115"/>
      <c r="E1817" s="115"/>
      <c r="F1817" s="115"/>
      <c r="G1817" s="115"/>
      <c r="H1817" s="115"/>
      <c r="I1817" s="115"/>
      <c r="J1817" s="115"/>
      <c r="K1817" s="115"/>
      <c r="L1817" s="115"/>
      <c r="O1817" s="116"/>
      <c r="Q1817" s="116"/>
      <c r="T1817" s="114"/>
      <c r="Y1817" s="118"/>
      <c r="Z1817" s="29"/>
      <c r="AA1817" s="29"/>
      <c r="AB1817" s="29"/>
      <c r="AC1817" s="29"/>
      <c r="AD1817" s="29"/>
      <c r="AE1817" s="29"/>
      <c r="AF1817" s="29"/>
      <c r="AG1817" s="29"/>
      <c r="AH1817" s="123"/>
      <c r="AI1817" s="32"/>
      <c r="AJ1817" s="32"/>
      <c r="AK1817" s="32"/>
      <c r="AL1817" s="32"/>
      <c r="AM1817" s="32"/>
      <c r="AN1817" s="32"/>
      <c r="AO1817" s="32"/>
      <c r="AP1817" s="29"/>
    </row>
    <row r="1818">
      <c r="A1818" s="115"/>
      <c r="B1818" s="116"/>
      <c r="C1818" s="115"/>
      <c r="D1818" s="115"/>
      <c r="E1818" s="115"/>
      <c r="F1818" s="115"/>
      <c r="G1818" s="115"/>
      <c r="H1818" s="115"/>
      <c r="I1818" s="115"/>
      <c r="J1818" s="115"/>
      <c r="K1818" s="115"/>
      <c r="L1818" s="115"/>
      <c r="O1818" s="116"/>
      <c r="Q1818" s="116"/>
      <c r="T1818" s="114"/>
      <c r="Y1818" s="118"/>
      <c r="Z1818" s="29"/>
      <c r="AA1818" s="29"/>
      <c r="AB1818" s="29"/>
      <c r="AC1818" s="29"/>
      <c r="AD1818" s="29"/>
      <c r="AE1818" s="29"/>
      <c r="AF1818" s="29"/>
      <c r="AG1818" s="29"/>
      <c r="AH1818" s="123"/>
      <c r="AI1818" s="32"/>
      <c r="AJ1818" s="32"/>
      <c r="AK1818" s="32"/>
      <c r="AL1818" s="32"/>
      <c r="AM1818" s="32"/>
      <c r="AN1818" s="32"/>
      <c r="AO1818" s="32"/>
      <c r="AP1818" s="29"/>
    </row>
    <row r="1819">
      <c r="A1819" s="115"/>
      <c r="B1819" s="116"/>
      <c r="C1819" s="115"/>
      <c r="D1819" s="115"/>
      <c r="E1819" s="115"/>
      <c r="F1819" s="115"/>
      <c r="G1819" s="115"/>
      <c r="H1819" s="115"/>
      <c r="I1819" s="115"/>
      <c r="J1819" s="115"/>
      <c r="K1819" s="115"/>
      <c r="L1819" s="115"/>
      <c r="O1819" s="116"/>
      <c r="Q1819" s="116"/>
      <c r="T1819" s="114"/>
      <c r="Y1819" s="118"/>
      <c r="Z1819" s="29"/>
      <c r="AA1819" s="29"/>
      <c r="AB1819" s="29"/>
      <c r="AC1819" s="29"/>
      <c r="AD1819" s="29"/>
      <c r="AE1819" s="29"/>
      <c r="AF1819" s="29"/>
      <c r="AG1819" s="29"/>
      <c r="AH1819" s="123"/>
      <c r="AI1819" s="32"/>
      <c r="AJ1819" s="32"/>
      <c r="AK1819" s="32"/>
      <c r="AL1819" s="32"/>
      <c r="AM1819" s="32"/>
      <c r="AN1819" s="32"/>
      <c r="AO1819" s="32"/>
      <c r="AP1819" s="29"/>
    </row>
    <row r="1820">
      <c r="A1820" s="115"/>
      <c r="B1820" s="116"/>
      <c r="C1820" s="115"/>
      <c r="D1820" s="115"/>
      <c r="E1820" s="115"/>
      <c r="F1820" s="115"/>
      <c r="G1820" s="115"/>
      <c r="H1820" s="115"/>
      <c r="I1820" s="115"/>
      <c r="J1820" s="115"/>
      <c r="K1820" s="115"/>
      <c r="L1820" s="115"/>
      <c r="O1820" s="116"/>
      <c r="Q1820" s="116"/>
      <c r="T1820" s="114"/>
      <c r="Y1820" s="118"/>
      <c r="Z1820" s="29"/>
      <c r="AA1820" s="29"/>
      <c r="AB1820" s="29"/>
      <c r="AC1820" s="29"/>
      <c r="AD1820" s="29"/>
      <c r="AE1820" s="29"/>
      <c r="AF1820" s="29"/>
      <c r="AG1820" s="29"/>
      <c r="AH1820" s="123"/>
      <c r="AI1820" s="32"/>
      <c r="AJ1820" s="32"/>
      <c r="AK1820" s="32"/>
      <c r="AL1820" s="32"/>
      <c r="AM1820" s="32"/>
      <c r="AN1820" s="32"/>
      <c r="AO1820" s="32"/>
      <c r="AP1820" s="29"/>
    </row>
    <row r="1821">
      <c r="A1821" s="115"/>
      <c r="B1821" s="116"/>
      <c r="C1821" s="115"/>
      <c r="D1821" s="115"/>
      <c r="E1821" s="115"/>
      <c r="F1821" s="115"/>
      <c r="G1821" s="115"/>
      <c r="H1821" s="115"/>
      <c r="I1821" s="115"/>
      <c r="J1821" s="115"/>
      <c r="K1821" s="115"/>
      <c r="L1821" s="115"/>
      <c r="O1821" s="116"/>
      <c r="Q1821" s="116"/>
      <c r="T1821" s="114"/>
      <c r="Y1821" s="118"/>
      <c r="Z1821" s="29"/>
      <c r="AA1821" s="29"/>
      <c r="AB1821" s="29"/>
      <c r="AC1821" s="29"/>
      <c r="AD1821" s="29"/>
      <c r="AE1821" s="29"/>
      <c r="AF1821" s="29"/>
      <c r="AG1821" s="29"/>
      <c r="AH1821" s="123"/>
      <c r="AI1821" s="32"/>
      <c r="AJ1821" s="32"/>
      <c r="AK1821" s="32"/>
      <c r="AL1821" s="32"/>
      <c r="AM1821" s="32"/>
      <c r="AN1821" s="32"/>
      <c r="AO1821" s="32"/>
      <c r="AP1821" s="29"/>
    </row>
    <row r="1822">
      <c r="A1822" s="115"/>
      <c r="B1822" s="116"/>
      <c r="C1822" s="115"/>
      <c r="D1822" s="115"/>
      <c r="E1822" s="115"/>
      <c r="F1822" s="115"/>
      <c r="G1822" s="115"/>
      <c r="H1822" s="115"/>
      <c r="I1822" s="115"/>
      <c r="J1822" s="115"/>
      <c r="K1822" s="115"/>
      <c r="L1822" s="115"/>
      <c r="O1822" s="116"/>
      <c r="Q1822" s="116"/>
      <c r="T1822" s="114"/>
      <c r="Y1822" s="118"/>
      <c r="Z1822" s="29"/>
      <c r="AA1822" s="29"/>
      <c r="AB1822" s="29"/>
      <c r="AC1822" s="29"/>
      <c r="AD1822" s="29"/>
      <c r="AE1822" s="29"/>
      <c r="AF1822" s="29"/>
      <c r="AG1822" s="29"/>
      <c r="AH1822" s="123"/>
      <c r="AI1822" s="32"/>
      <c r="AJ1822" s="32"/>
      <c r="AK1822" s="32"/>
      <c r="AL1822" s="32"/>
      <c r="AM1822" s="32"/>
      <c r="AN1822" s="32"/>
      <c r="AO1822" s="32"/>
      <c r="AP1822" s="29"/>
    </row>
    <row r="1823">
      <c r="A1823" s="115"/>
      <c r="B1823" s="116"/>
      <c r="C1823" s="115"/>
      <c r="D1823" s="115"/>
      <c r="E1823" s="115"/>
      <c r="F1823" s="115"/>
      <c r="G1823" s="115"/>
      <c r="H1823" s="115"/>
      <c r="I1823" s="115"/>
      <c r="J1823" s="115"/>
      <c r="K1823" s="115"/>
      <c r="L1823" s="115"/>
      <c r="O1823" s="116"/>
      <c r="Q1823" s="116"/>
      <c r="T1823" s="114"/>
      <c r="Y1823" s="118"/>
      <c r="Z1823" s="29"/>
      <c r="AA1823" s="29"/>
      <c r="AB1823" s="29"/>
      <c r="AC1823" s="29"/>
      <c r="AD1823" s="29"/>
      <c r="AE1823" s="29"/>
      <c r="AF1823" s="29"/>
      <c r="AG1823" s="29"/>
      <c r="AH1823" s="123"/>
      <c r="AI1823" s="32"/>
      <c r="AJ1823" s="32"/>
      <c r="AK1823" s="32"/>
      <c r="AL1823" s="32"/>
      <c r="AM1823" s="32"/>
      <c r="AN1823" s="32"/>
      <c r="AO1823" s="32"/>
      <c r="AP1823" s="29"/>
    </row>
    <row r="1824">
      <c r="A1824" s="115"/>
      <c r="B1824" s="116"/>
      <c r="C1824" s="115"/>
      <c r="D1824" s="115"/>
      <c r="E1824" s="115"/>
      <c r="F1824" s="115"/>
      <c r="G1824" s="115"/>
      <c r="H1824" s="115"/>
      <c r="I1824" s="115"/>
      <c r="J1824" s="115"/>
      <c r="K1824" s="115"/>
      <c r="L1824" s="115"/>
      <c r="O1824" s="116"/>
      <c r="Q1824" s="116"/>
      <c r="T1824" s="114"/>
      <c r="Y1824" s="118"/>
      <c r="Z1824" s="29"/>
      <c r="AA1824" s="29"/>
      <c r="AB1824" s="29"/>
      <c r="AC1824" s="29"/>
      <c r="AD1824" s="29"/>
      <c r="AE1824" s="29"/>
      <c r="AF1824" s="29"/>
      <c r="AG1824" s="29"/>
      <c r="AH1824" s="123"/>
      <c r="AI1824" s="32"/>
      <c r="AJ1824" s="32"/>
      <c r="AK1824" s="32"/>
      <c r="AL1824" s="32"/>
      <c r="AM1824" s="32"/>
      <c r="AN1824" s="32"/>
      <c r="AO1824" s="32"/>
      <c r="AP1824" s="29"/>
    </row>
    <row r="1825">
      <c r="A1825" s="115"/>
      <c r="B1825" s="116"/>
      <c r="C1825" s="115"/>
      <c r="D1825" s="115"/>
      <c r="E1825" s="115"/>
      <c r="F1825" s="115"/>
      <c r="G1825" s="115"/>
      <c r="H1825" s="115"/>
      <c r="I1825" s="115"/>
      <c r="J1825" s="115"/>
      <c r="K1825" s="115"/>
      <c r="L1825" s="115"/>
      <c r="O1825" s="116"/>
      <c r="Q1825" s="116"/>
      <c r="T1825" s="114"/>
      <c r="Y1825" s="118"/>
      <c r="Z1825" s="29"/>
      <c r="AA1825" s="29"/>
      <c r="AB1825" s="29"/>
      <c r="AC1825" s="29"/>
      <c r="AD1825" s="29"/>
      <c r="AE1825" s="29"/>
      <c r="AF1825" s="29"/>
      <c r="AG1825" s="29"/>
      <c r="AH1825" s="123"/>
      <c r="AI1825" s="32"/>
      <c r="AJ1825" s="32"/>
      <c r="AK1825" s="32"/>
      <c r="AL1825" s="32"/>
      <c r="AM1825" s="32"/>
      <c r="AN1825" s="32"/>
      <c r="AO1825" s="32"/>
      <c r="AP1825" s="29"/>
    </row>
    <row r="1826">
      <c r="A1826" s="115"/>
      <c r="B1826" s="116"/>
      <c r="C1826" s="115"/>
      <c r="D1826" s="115"/>
      <c r="E1826" s="115"/>
      <c r="F1826" s="115"/>
      <c r="G1826" s="115"/>
      <c r="H1826" s="115"/>
      <c r="I1826" s="115"/>
      <c r="J1826" s="115"/>
      <c r="K1826" s="115"/>
      <c r="L1826" s="115"/>
      <c r="O1826" s="116"/>
      <c r="Q1826" s="116"/>
      <c r="T1826" s="114"/>
      <c r="Y1826" s="118"/>
      <c r="Z1826" s="29"/>
      <c r="AA1826" s="29"/>
      <c r="AB1826" s="29"/>
      <c r="AC1826" s="29"/>
      <c r="AD1826" s="29"/>
      <c r="AE1826" s="29"/>
      <c r="AF1826" s="29"/>
      <c r="AG1826" s="29"/>
      <c r="AH1826" s="123"/>
      <c r="AI1826" s="32"/>
      <c r="AJ1826" s="32"/>
      <c r="AK1826" s="32"/>
      <c r="AL1826" s="32"/>
      <c r="AM1826" s="32"/>
      <c r="AN1826" s="32"/>
      <c r="AO1826" s="32"/>
      <c r="AP1826" s="29"/>
    </row>
    <row r="1827">
      <c r="A1827" s="115"/>
      <c r="B1827" s="116"/>
      <c r="C1827" s="115"/>
      <c r="D1827" s="115"/>
      <c r="E1827" s="115"/>
      <c r="F1827" s="115"/>
      <c r="G1827" s="115"/>
      <c r="H1827" s="115"/>
      <c r="I1827" s="115"/>
      <c r="J1827" s="115"/>
      <c r="K1827" s="115"/>
      <c r="L1827" s="115"/>
      <c r="O1827" s="116"/>
      <c r="Q1827" s="116"/>
      <c r="T1827" s="114"/>
      <c r="Y1827" s="118"/>
      <c r="Z1827" s="29"/>
      <c r="AA1827" s="29"/>
      <c r="AB1827" s="29"/>
      <c r="AC1827" s="29"/>
      <c r="AD1827" s="29"/>
      <c r="AE1827" s="29"/>
      <c r="AF1827" s="29"/>
      <c r="AG1827" s="29"/>
      <c r="AH1827" s="123"/>
      <c r="AI1827" s="32"/>
      <c r="AJ1827" s="32"/>
      <c r="AK1827" s="32"/>
      <c r="AL1827" s="32"/>
      <c r="AM1827" s="32"/>
      <c r="AN1827" s="32"/>
      <c r="AO1827" s="32"/>
      <c r="AP1827" s="29"/>
    </row>
    <row r="1828">
      <c r="A1828" s="115"/>
      <c r="B1828" s="116"/>
      <c r="C1828" s="115"/>
      <c r="D1828" s="115"/>
      <c r="E1828" s="115"/>
      <c r="F1828" s="115"/>
      <c r="G1828" s="115"/>
      <c r="H1828" s="115"/>
      <c r="I1828" s="115"/>
      <c r="J1828" s="115"/>
      <c r="K1828" s="115"/>
      <c r="L1828" s="115"/>
      <c r="O1828" s="116"/>
      <c r="Q1828" s="116"/>
      <c r="T1828" s="114"/>
      <c r="Y1828" s="118"/>
      <c r="Z1828" s="29"/>
      <c r="AA1828" s="29"/>
      <c r="AB1828" s="29"/>
      <c r="AC1828" s="29"/>
      <c r="AD1828" s="29"/>
      <c r="AE1828" s="29"/>
      <c r="AF1828" s="29"/>
      <c r="AG1828" s="29"/>
      <c r="AH1828" s="123"/>
      <c r="AI1828" s="32"/>
      <c r="AJ1828" s="32"/>
      <c r="AK1828" s="32"/>
      <c r="AL1828" s="32"/>
      <c r="AM1828" s="32"/>
      <c r="AN1828" s="32"/>
      <c r="AO1828" s="32"/>
      <c r="AP1828" s="29"/>
    </row>
    <row r="1829">
      <c r="A1829" s="115"/>
      <c r="B1829" s="116"/>
      <c r="C1829" s="115"/>
      <c r="D1829" s="115"/>
      <c r="E1829" s="115"/>
      <c r="F1829" s="115"/>
      <c r="G1829" s="115"/>
      <c r="H1829" s="115"/>
      <c r="I1829" s="115"/>
      <c r="J1829" s="115"/>
      <c r="K1829" s="115"/>
      <c r="L1829" s="115"/>
      <c r="O1829" s="116"/>
      <c r="Q1829" s="116"/>
      <c r="T1829" s="114"/>
      <c r="Y1829" s="118"/>
      <c r="Z1829" s="29"/>
      <c r="AA1829" s="29"/>
      <c r="AB1829" s="29"/>
      <c r="AC1829" s="29"/>
      <c r="AD1829" s="29"/>
      <c r="AE1829" s="29"/>
      <c r="AF1829" s="29"/>
      <c r="AG1829" s="29"/>
      <c r="AH1829" s="123"/>
      <c r="AI1829" s="32"/>
      <c r="AJ1829" s="32"/>
      <c r="AK1829" s="32"/>
      <c r="AL1829" s="32"/>
      <c r="AM1829" s="32"/>
      <c r="AN1829" s="32"/>
      <c r="AO1829" s="32"/>
      <c r="AP1829" s="29"/>
    </row>
    <row r="1830">
      <c r="A1830" s="115"/>
      <c r="B1830" s="116"/>
      <c r="C1830" s="115"/>
      <c r="D1830" s="115"/>
      <c r="E1830" s="115"/>
      <c r="F1830" s="115"/>
      <c r="G1830" s="115"/>
      <c r="H1830" s="115"/>
      <c r="I1830" s="115"/>
      <c r="J1830" s="115"/>
      <c r="K1830" s="115"/>
      <c r="L1830" s="115"/>
      <c r="O1830" s="116"/>
      <c r="Q1830" s="116"/>
      <c r="T1830" s="114"/>
      <c r="Y1830" s="118"/>
      <c r="Z1830" s="29"/>
      <c r="AA1830" s="29"/>
      <c r="AB1830" s="29"/>
      <c r="AC1830" s="29"/>
      <c r="AD1830" s="29"/>
      <c r="AE1830" s="29"/>
      <c r="AF1830" s="29"/>
      <c r="AG1830" s="29"/>
      <c r="AH1830" s="123"/>
      <c r="AI1830" s="32"/>
      <c r="AJ1830" s="32"/>
      <c r="AK1830" s="32"/>
      <c r="AL1830" s="32"/>
      <c r="AM1830" s="32"/>
      <c r="AN1830" s="32"/>
      <c r="AO1830" s="32"/>
      <c r="AP1830" s="29"/>
    </row>
    <row r="1831">
      <c r="A1831" s="115"/>
      <c r="B1831" s="116"/>
      <c r="C1831" s="115"/>
      <c r="D1831" s="115"/>
      <c r="E1831" s="115"/>
      <c r="F1831" s="115"/>
      <c r="G1831" s="115"/>
      <c r="H1831" s="115"/>
      <c r="I1831" s="115"/>
      <c r="J1831" s="115"/>
      <c r="K1831" s="115"/>
      <c r="L1831" s="115"/>
      <c r="O1831" s="116"/>
      <c r="Q1831" s="116"/>
      <c r="T1831" s="114"/>
      <c r="Y1831" s="118"/>
      <c r="Z1831" s="29"/>
      <c r="AA1831" s="29"/>
      <c r="AB1831" s="29"/>
      <c r="AC1831" s="29"/>
      <c r="AD1831" s="29"/>
      <c r="AE1831" s="29"/>
      <c r="AF1831" s="29"/>
      <c r="AG1831" s="29"/>
      <c r="AH1831" s="123"/>
      <c r="AI1831" s="32"/>
      <c r="AJ1831" s="32"/>
      <c r="AK1831" s="32"/>
      <c r="AL1831" s="32"/>
      <c r="AM1831" s="32"/>
      <c r="AN1831" s="32"/>
      <c r="AO1831" s="32"/>
      <c r="AP1831" s="29"/>
    </row>
    <row r="1832">
      <c r="A1832" s="115"/>
      <c r="B1832" s="116"/>
      <c r="C1832" s="115"/>
      <c r="D1832" s="115"/>
      <c r="E1832" s="115"/>
      <c r="F1832" s="115"/>
      <c r="G1832" s="115"/>
      <c r="H1832" s="115"/>
      <c r="I1832" s="115"/>
      <c r="J1832" s="115"/>
      <c r="K1832" s="115"/>
      <c r="L1832" s="115"/>
      <c r="O1832" s="116"/>
      <c r="Q1832" s="116"/>
      <c r="T1832" s="114"/>
      <c r="Y1832" s="118"/>
      <c r="Z1832" s="29"/>
      <c r="AA1832" s="29"/>
      <c r="AB1832" s="29"/>
      <c r="AC1832" s="29"/>
      <c r="AD1832" s="29"/>
      <c r="AE1832" s="29"/>
      <c r="AF1832" s="29"/>
      <c r="AG1832" s="29"/>
      <c r="AH1832" s="123"/>
      <c r="AI1832" s="32"/>
      <c r="AJ1832" s="32"/>
      <c r="AK1832" s="32"/>
      <c r="AL1832" s="32"/>
      <c r="AM1832" s="32"/>
      <c r="AN1832" s="32"/>
      <c r="AO1832" s="32"/>
      <c r="AP1832" s="29"/>
    </row>
    <row r="1833">
      <c r="A1833" s="115"/>
      <c r="B1833" s="116"/>
      <c r="C1833" s="115"/>
      <c r="D1833" s="115"/>
      <c r="E1833" s="115"/>
      <c r="F1833" s="115"/>
      <c r="G1833" s="115"/>
      <c r="H1833" s="115"/>
      <c r="I1833" s="115"/>
      <c r="J1833" s="115"/>
      <c r="K1833" s="115"/>
      <c r="L1833" s="115"/>
      <c r="O1833" s="116"/>
      <c r="Q1833" s="116"/>
      <c r="T1833" s="114"/>
      <c r="Y1833" s="118"/>
      <c r="Z1833" s="29"/>
      <c r="AA1833" s="29"/>
      <c r="AB1833" s="29"/>
      <c r="AC1833" s="29"/>
      <c r="AD1833" s="29"/>
      <c r="AE1833" s="29"/>
      <c r="AF1833" s="29"/>
      <c r="AG1833" s="29"/>
      <c r="AH1833" s="123"/>
      <c r="AI1833" s="32"/>
      <c r="AJ1833" s="32"/>
      <c r="AK1833" s="32"/>
      <c r="AL1833" s="32"/>
      <c r="AM1833" s="32"/>
      <c r="AN1833" s="32"/>
      <c r="AO1833" s="32"/>
      <c r="AP1833" s="29"/>
    </row>
    <row r="1834">
      <c r="A1834" s="115"/>
      <c r="B1834" s="116"/>
      <c r="C1834" s="115"/>
      <c r="D1834" s="115"/>
      <c r="E1834" s="115"/>
      <c r="F1834" s="115"/>
      <c r="G1834" s="115"/>
      <c r="H1834" s="115"/>
      <c r="I1834" s="115"/>
      <c r="J1834" s="115"/>
      <c r="K1834" s="115"/>
      <c r="L1834" s="115"/>
      <c r="O1834" s="116"/>
      <c r="Q1834" s="116"/>
      <c r="T1834" s="114"/>
      <c r="Y1834" s="118"/>
      <c r="Z1834" s="29"/>
      <c r="AA1834" s="29"/>
      <c r="AB1834" s="29"/>
      <c r="AC1834" s="29"/>
      <c r="AD1834" s="29"/>
      <c r="AE1834" s="29"/>
      <c r="AF1834" s="29"/>
      <c r="AG1834" s="29"/>
      <c r="AH1834" s="123"/>
      <c r="AI1834" s="32"/>
      <c r="AJ1834" s="32"/>
      <c r="AK1834" s="32"/>
      <c r="AL1834" s="32"/>
      <c r="AM1834" s="32"/>
      <c r="AN1834" s="32"/>
      <c r="AO1834" s="32"/>
      <c r="AP1834" s="29"/>
    </row>
    <row r="1835">
      <c r="A1835" s="115"/>
      <c r="B1835" s="116"/>
      <c r="C1835" s="115"/>
      <c r="D1835" s="115"/>
      <c r="E1835" s="115"/>
      <c r="F1835" s="115"/>
      <c r="G1835" s="115"/>
      <c r="H1835" s="115"/>
      <c r="I1835" s="115"/>
      <c r="J1835" s="115"/>
      <c r="K1835" s="115"/>
      <c r="L1835" s="115"/>
      <c r="O1835" s="116"/>
      <c r="Q1835" s="116"/>
      <c r="T1835" s="114"/>
      <c r="Y1835" s="118"/>
      <c r="Z1835" s="29"/>
      <c r="AA1835" s="29"/>
      <c r="AB1835" s="29"/>
      <c r="AC1835" s="29"/>
      <c r="AD1835" s="29"/>
      <c r="AE1835" s="29"/>
      <c r="AF1835" s="29"/>
      <c r="AG1835" s="29"/>
      <c r="AH1835" s="123"/>
      <c r="AI1835" s="32"/>
      <c r="AJ1835" s="32"/>
      <c r="AK1835" s="32"/>
      <c r="AL1835" s="32"/>
      <c r="AM1835" s="32"/>
      <c r="AN1835" s="32"/>
      <c r="AO1835" s="32"/>
      <c r="AP1835" s="29"/>
    </row>
    <row r="1836">
      <c r="A1836" s="115"/>
      <c r="B1836" s="116"/>
      <c r="C1836" s="115"/>
      <c r="D1836" s="115"/>
      <c r="E1836" s="115"/>
      <c r="F1836" s="115"/>
      <c r="G1836" s="115"/>
      <c r="H1836" s="115"/>
      <c r="I1836" s="115"/>
      <c r="J1836" s="115"/>
      <c r="K1836" s="115"/>
      <c r="L1836" s="115"/>
      <c r="O1836" s="116"/>
      <c r="Q1836" s="116"/>
      <c r="T1836" s="114"/>
      <c r="Y1836" s="118"/>
      <c r="Z1836" s="29"/>
      <c r="AA1836" s="29"/>
      <c r="AB1836" s="29"/>
      <c r="AC1836" s="29"/>
      <c r="AD1836" s="29"/>
      <c r="AE1836" s="29"/>
      <c r="AF1836" s="29"/>
      <c r="AG1836" s="29"/>
      <c r="AH1836" s="123"/>
      <c r="AI1836" s="32"/>
      <c r="AJ1836" s="32"/>
      <c r="AK1836" s="32"/>
      <c r="AL1836" s="32"/>
      <c r="AM1836" s="32"/>
      <c r="AN1836" s="32"/>
      <c r="AO1836" s="32"/>
      <c r="AP1836" s="29"/>
    </row>
    <row r="1837">
      <c r="A1837" s="115"/>
      <c r="B1837" s="116"/>
      <c r="C1837" s="115"/>
      <c r="D1837" s="115"/>
      <c r="E1837" s="115"/>
      <c r="F1837" s="115"/>
      <c r="G1837" s="115"/>
      <c r="H1837" s="115"/>
      <c r="I1837" s="115"/>
      <c r="J1837" s="115"/>
      <c r="K1837" s="115"/>
      <c r="L1837" s="115"/>
      <c r="O1837" s="116"/>
      <c r="Q1837" s="116"/>
      <c r="T1837" s="114"/>
      <c r="Y1837" s="118"/>
      <c r="Z1837" s="29"/>
      <c r="AA1837" s="29"/>
      <c r="AB1837" s="29"/>
      <c r="AC1837" s="29"/>
      <c r="AD1837" s="29"/>
      <c r="AE1837" s="29"/>
      <c r="AF1837" s="29"/>
      <c r="AG1837" s="29"/>
      <c r="AH1837" s="123"/>
      <c r="AI1837" s="32"/>
      <c r="AJ1837" s="32"/>
      <c r="AK1837" s="32"/>
      <c r="AL1837" s="32"/>
      <c r="AM1837" s="32"/>
      <c r="AN1837" s="32"/>
      <c r="AO1837" s="32"/>
      <c r="AP1837" s="29"/>
    </row>
    <row r="1838">
      <c r="A1838" s="115"/>
      <c r="B1838" s="116"/>
      <c r="C1838" s="115"/>
      <c r="D1838" s="115"/>
      <c r="E1838" s="115"/>
      <c r="F1838" s="115"/>
      <c r="G1838" s="115"/>
      <c r="H1838" s="115"/>
      <c r="I1838" s="115"/>
      <c r="J1838" s="115"/>
      <c r="K1838" s="115"/>
      <c r="L1838" s="115"/>
      <c r="O1838" s="116"/>
      <c r="Q1838" s="116"/>
      <c r="T1838" s="114"/>
      <c r="Y1838" s="118"/>
      <c r="Z1838" s="29"/>
      <c r="AA1838" s="29"/>
      <c r="AB1838" s="29"/>
      <c r="AC1838" s="29"/>
      <c r="AD1838" s="29"/>
      <c r="AE1838" s="29"/>
      <c r="AF1838" s="29"/>
      <c r="AG1838" s="29"/>
      <c r="AH1838" s="123"/>
      <c r="AI1838" s="32"/>
      <c r="AJ1838" s="32"/>
      <c r="AK1838" s="32"/>
      <c r="AL1838" s="32"/>
      <c r="AM1838" s="32"/>
      <c r="AN1838" s="32"/>
      <c r="AO1838" s="32"/>
      <c r="AP1838" s="29"/>
    </row>
    <row r="1839">
      <c r="A1839" s="115"/>
      <c r="B1839" s="116"/>
      <c r="C1839" s="115"/>
      <c r="D1839" s="115"/>
      <c r="E1839" s="115"/>
      <c r="F1839" s="115"/>
      <c r="G1839" s="115"/>
      <c r="H1839" s="115"/>
      <c r="I1839" s="115"/>
      <c r="J1839" s="115"/>
      <c r="K1839" s="115"/>
      <c r="L1839" s="115"/>
      <c r="O1839" s="116"/>
      <c r="Q1839" s="116"/>
      <c r="T1839" s="114"/>
      <c r="Y1839" s="118"/>
      <c r="Z1839" s="29"/>
      <c r="AA1839" s="29"/>
      <c r="AB1839" s="29"/>
      <c r="AC1839" s="29"/>
      <c r="AD1839" s="29"/>
      <c r="AE1839" s="29"/>
      <c r="AF1839" s="29"/>
      <c r="AG1839" s="29"/>
      <c r="AH1839" s="123"/>
      <c r="AI1839" s="32"/>
      <c r="AJ1839" s="32"/>
      <c r="AK1839" s="32"/>
      <c r="AL1839" s="32"/>
      <c r="AM1839" s="32"/>
      <c r="AN1839" s="32"/>
      <c r="AO1839" s="32"/>
      <c r="AP1839" s="29"/>
    </row>
    <row r="1840">
      <c r="A1840" s="115"/>
      <c r="B1840" s="116"/>
      <c r="C1840" s="115"/>
      <c r="D1840" s="115"/>
      <c r="E1840" s="115"/>
      <c r="F1840" s="115"/>
      <c r="G1840" s="115"/>
      <c r="H1840" s="115"/>
      <c r="I1840" s="115"/>
      <c r="J1840" s="115"/>
      <c r="K1840" s="115"/>
      <c r="L1840" s="115"/>
      <c r="O1840" s="116"/>
      <c r="Q1840" s="116"/>
      <c r="T1840" s="114"/>
      <c r="Y1840" s="118"/>
      <c r="Z1840" s="29"/>
      <c r="AA1840" s="29"/>
      <c r="AB1840" s="29"/>
      <c r="AC1840" s="29"/>
      <c r="AD1840" s="29"/>
      <c r="AE1840" s="29"/>
      <c r="AF1840" s="29"/>
      <c r="AG1840" s="29"/>
      <c r="AH1840" s="123"/>
      <c r="AI1840" s="32"/>
      <c r="AJ1840" s="32"/>
      <c r="AK1840" s="32"/>
      <c r="AL1840" s="32"/>
      <c r="AM1840" s="32"/>
      <c r="AN1840" s="32"/>
      <c r="AO1840" s="32"/>
      <c r="AP1840" s="29"/>
    </row>
    <row r="1841">
      <c r="A1841" s="115"/>
      <c r="B1841" s="116"/>
      <c r="C1841" s="115"/>
      <c r="D1841" s="115"/>
      <c r="E1841" s="115"/>
      <c r="F1841" s="115"/>
      <c r="G1841" s="115"/>
      <c r="H1841" s="115"/>
      <c r="I1841" s="115"/>
      <c r="J1841" s="115"/>
      <c r="K1841" s="115"/>
      <c r="L1841" s="115"/>
      <c r="O1841" s="116"/>
      <c r="Q1841" s="116"/>
      <c r="T1841" s="114"/>
      <c r="Y1841" s="118"/>
      <c r="Z1841" s="29"/>
      <c r="AA1841" s="29"/>
      <c r="AB1841" s="29"/>
      <c r="AC1841" s="29"/>
      <c r="AD1841" s="29"/>
      <c r="AE1841" s="29"/>
      <c r="AF1841" s="29"/>
      <c r="AG1841" s="29"/>
      <c r="AH1841" s="123"/>
      <c r="AI1841" s="32"/>
      <c r="AJ1841" s="32"/>
      <c r="AK1841" s="32"/>
      <c r="AL1841" s="32"/>
      <c r="AM1841" s="32"/>
      <c r="AN1841" s="32"/>
      <c r="AO1841" s="32"/>
      <c r="AP1841" s="29"/>
    </row>
    <row r="1842">
      <c r="A1842" s="115"/>
      <c r="B1842" s="116"/>
      <c r="C1842" s="115"/>
      <c r="D1842" s="115"/>
      <c r="E1842" s="115"/>
      <c r="F1842" s="115"/>
      <c r="G1842" s="115"/>
      <c r="H1842" s="115"/>
      <c r="I1842" s="115"/>
      <c r="J1842" s="115"/>
      <c r="K1842" s="115"/>
      <c r="L1842" s="115"/>
      <c r="O1842" s="116"/>
      <c r="Q1842" s="116"/>
      <c r="T1842" s="114"/>
      <c r="Y1842" s="118"/>
      <c r="Z1842" s="29"/>
      <c r="AA1842" s="29"/>
      <c r="AB1842" s="29"/>
      <c r="AC1842" s="29"/>
      <c r="AD1842" s="29"/>
      <c r="AE1842" s="29"/>
      <c r="AF1842" s="29"/>
      <c r="AG1842" s="29"/>
      <c r="AH1842" s="123"/>
      <c r="AI1842" s="32"/>
      <c r="AJ1842" s="32"/>
      <c r="AK1842" s="32"/>
      <c r="AL1842" s="32"/>
      <c r="AM1842" s="32"/>
      <c r="AN1842" s="32"/>
      <c r="AO1842" s="32"/>
      <c r="AP1842" s="29"/>
    </row>
    <row r="1843">
      <c r="A1843" s="115"/>
      <c r="B1843" s="116"/>
      <c r="C1843" s="115"/>
      <c r="D1843" s="115"/>
      <c r="E1843" s="115"/>
      <c r="F1843" s="115"/>
      <c r="G1843" s="115"/>
      <c r="H1843" s="115"/>
      <c r="I1843" s="115"/>
      <c r="J1843" s="115"/>
      <c r="K1843" s="115"/>
      <c r="L1843" s="115"/>
      <c r="O1843" s="116"/>
      <c r="Q1843" s="116"/>
      <c r="T1843" s="114"/>
      <c r="Y1843" s="118"/>
      <c r="Z1843" s="29"/>
      <c r="AA1843" s="29"/>
      <c r="AB1843" s="29"/>
      <c r="AC1843" s="29"/>
      <c r="AD1843" s="29"/>
      <c r="AE1843" s="29"/>
      <c r="AF1843" s="29"/>
      <c r="AG1843" s="29"/>
      <c r="AH1843" s="123"/>
      <c r="AI1843" s="32"/>
      <c r="AJ1843" s="32"/>
      <c r="AK1843" s="32"/>
      <c r="AL1843" s="32"/>
      <c r="AM1843" s="32"/>
      <c r="AN1843" s="32"/>
      <c r="AO1843" s="32"/>
      <c r="AP1843" s="29"/>
    </row>
    <row r="1844">
      <c r="A1844" s="115"/>
      <c r="B1844" s="116"/>
      <c r="C1844" s="115"/>
      <c r="D1844" s="115"/>
      <c r="E1844" s="115"/>
      <c r="F1844" s="115"/>
      <c r="G1844" s="115"/>
      <c r="H1844" s="115"/>
      <c r="I1844" s="115"/>
      <c r="J1844" s="115"/>
      <c r="K1844" s="115"/>
      <c r="L1844" s="115"/>
      <c r="O1844" s="116"/>
      <c r="Q1844" s="116"/>
      <c r="T1844" s="114"/>
      <c r="Y1844" s="118"/>
      <c r="Z1844" s="29"/>
      <c r="AA1844" s="29"/>
      <c r="AB1844" s="29"/>
      <c r="AC1844" s="29"/>
      <c r="AD1844" s="29"/>
      <c r="AE1844" s="29"/>
      <c r="AF1844" s="29"/>
      <c r="AG1844" s="29"/>
      <c r="AH1844" s="123"/>
      <c r="AI1844" s="32"/>
      <c r="AJ1844" s="32"/>
      <c r="AK1844" s="32"/>
      <c r="AL1844" s="32"/>
      <c r="AM1844" s="32"/>
      <c r="AN1844" s="32"/>
      <c r="AO1844" s="32"/>
      <c r="AP1844" s="29"/>
    </row>
    <row r="1845">
      <c r="A1845" s="115"/>
      <c r="B1845" s="116"/>
      <c r="C1845" s="115"/>
      <c r="D1845" s="115"/>
      <c r="E1845" s="115"/>
      <c r="F1845" s="115"/>
      <c r="G1845" s="115"/>
      <c r="H1845" s="115"/>
      <c r="I1845" s="115"/>
      <c r="J1845" s="115"/>
      <c r="K1845" s="115"/>
      <c r="L1845" s="115"/>
      <c r="O1845" s="116"/>
      <c r="Q1845" s="116"/>
      <c r="T1845" s="114"/>
      <c r="Y1845" s="118"/>
      <c r="Z1845" s="29"/>
      <c r="AA1845" s="29"/>
      <c r="AB1845" s="29"/>
      <c r="AC1845" s="29"/>
      <c r="AD1845" s="29"/>
      <c r="AE1845" s="29"/>
      <c r="AF1845" s="29"/>
      <c r="AG1845" s="29"/>
      <c r="AH1845" s="123"/>
      <c r="AI1845" s="32"/>
      <c r="AJ1845" s="32"/>
      <c r="AK1845" s="32"/>
      <c r="AL1845" s="32"/>
      <c r="AM1845" s="32"/>
      <c r="AN1845" s="32"/>
      <c r="AO1845" s="32"/>
      <c r="AP1845" s="29"/>
    </row>
    <row r="1846">
      <c r="A1846" s="115"/>
      <c r="B1846" s="116"/>
      <c r="C1846" s="115"/>
      <c r="D1846" s="115"/>
      <c r="E1846" s="115"/>
      <c r="F1846" s="115"/>
      <c r="G1846" s="115"/>
      <c r="H1846" s="115"/>
      <c r="I1846" s="115"/>
      <c r="J1846" s="115"/>
      <c r="K1846" s="115"/>
      <c r="L1846" s="115"/>
      <c r="O1846" s="116"/>
      <c r="Q1846" s="116"/>
      <c r="T1846" s="114"/>
      <c r="Y1846" s="118"/>
      <c r="Z1846" s="29"/>
      <c r="AA1846" s="29"/>
      <c r="AB1846" s="29"/>
      <c r="AC1846" s="29"/>
      <c r="AD1846" s="29"/>
      <c r="AE1846" s="29"/>
      <c r="AF1846" s="29"/>
      <c r="AG1846" s="29"/>
      <c r="AH1846" s="123"/>
      <c r="AI1846" s="32"/>
      <c r="AJ1846" s="32"/>
      <c r="AK1846" s="32"/>
      <c r="AL1846" s="32"/>
      <c r="AM1846" s="32"/>
      <c r="AN1846" s="32"/>
      <c r="AO1846" s="32"/>
      <c r="AP1846" s="29"/>
    </row>
    <row r="1847">
      <c r="A1847" s="115"/>
      <c r="B1847" s="116"/>
      <c r="C1847" s="115"/>
      <c r="D1847" s="115"/>
      <c r="E1847" s="115"/>
      <c r="F1847" s="115"/>
      <c r="G1847" s="115"/>
      <c r="H1847" s="115"/>
      <c r="I1847" s="115"/>
      <c r="J1847" s="115"/>
      <c r="K1847" s="115"/>
      <c r="L1847" s="115"/>
      <c r="O1847" s="116"/>
      <c r="Q1847" s="116"/>
      <c r="T1847" s="114"/>
      <c r="Y1847" s="118"/>
      <c r="Z1847" s="29"/>
      <c r="AA1847" s="29"/>
      <c r="AB1847" s="29"/>
      <c r="AC1847" s="29"/>
      <c r="AD1847" s="29"/>
      <c r="AE1847" s="29"/>
      <c r="AF1847" s="29"/>
      <c r="AG1847" s="29"/>
      <c r="AH1847" s="123"/>
      <c r="AI1847" s="32"/>
      <c r="AJ1847" s="32"/>
      <c r="AK1847" s="32"/>
      <c r="AL1847" s="32"/>
      <c r="AM1847" s="32"/>
      <c r="AN1847" s="32"/>
      <c r="AO1847" s="32"/>
      <c r="AP1847" s="29"/>
    </row>
    <row r="1848">
      <c r="A1848" s="115"/>
      <c r="B1848" s="116"/>
      <c r="C1848" s="115"/>
      <c r="D1848" s="115"/>
      <c r="E1848" s="115"/>
      <c r="F1848" s="115"/>
      <c r="G1848" s="115"/>
      <c r="H1848" s="115"/>
      <c r="I1848" s="115"/>
      <c r="J1848" s="115"/>
      <c r="K1848" s="115"/>
      <c r="L1848" s="115"/>
      <c r="O1848" s="116"/>
      <c r="Q1848" s="116"/>
      <c r="T1848" s="114"/>
      <c r="Y1848" s="118"/>
      <c r="Z1848" s="29"/>
      <c r="AA1848" s="29"/>
      <c r="AB1848" s="29"/>
      <c r="AC1848" s="29"/>
      <c r="AD1848" s="29"/>
      <c r="AE1848" s="29"/>
      <c r="AF1848" s="29"/>
      <c r="AG1848" s="29"/>
      <c r="AH1848" s="123"/>
      <c r="AI1848" s="32"/>
      <c r="AJ1848" s="32"/>
      <c r="AK1848" s="32"/>
      <c r="AL1848" s="32"/>
      <c r="AM1848" s="32"/>
      <c r="AN1848" s="32"/>
      <c r="AO1848" s="32"/>
      <c r="AP1848" s="29"/>
    </row>
    <row r="1849">
      <c r="A1849" s="115"/>
      <c r="B1849" s="116"/>
      <c r="C1849" s="115"/>
      <c r="D1849" s="115"/>
      <c r="E1849" s="115"/>
      <c r="F1849" s="115"/>
      <c r="G1849" s="115"/>
      <c r="H1849" s="115"/>
      <c r="I1849" s="115"/>
      <c r="J1849" s="115"/>
      <c r="K1849" s="115"/>
      <c r="L1849" s="115"/>
      <c r="O1849" s="116"/>
      <c r="Q1849" s="116"/>
      <c r="T1849" s="114"/>
      <c r="Y1849" s="118"/>
      <c r="Z1849" s="29"/>
      <c r="AA1849" s="29"/>
      <c r="AB1849" s="29"/>
      <c r="AC1849" s="29"/>
      <c r="AD1849" s="29"/>
      <c r="AE1849" s="29"/>
      <c r="AF1849" s="29"/>
      <c r="AG1849" s="29"/>
      <c r="AH1849" s="123"/>
      <c r="AI1849" s="32"/>
      <c r="AJ1849" s="32"/>
      <c r="AK1849" s="32"/>
      <c r="AL1849" s="32"/>
      <c r="AM1849" s="32"/>
      <c r="AN1849" s="32"/>
      <c r="AO1849" s="32"/>
      <c r="AP1849" s="29"/>
    </row>
    <row r="1850">
      <c r="A1850" s="115"/>
      <c r="B1850" s="116"/>
      <c r="C1850" s="115"/>
      <c r="D1850" s="115"/>
      <c r="E1850" s="115"/>
      <c r="F1850" s="115"/>
      <c r="G1850" s="115"/>
      <c r="H1850" s="115"/>
      <c r="I1850" s="115"/>
      <c r="J1850" s="115"/>
      <c r="K1850" s="115"/>
      <c r="L1850" s="115"/>
      <c r="O1850" s="116"/>
      <c r="Q1850" s="116"/>
      <c r="T1850" s="114"/>
      <c r="Y1850" s="118"/>
      <c r="Z1850" s="29"/>
      <c r="AA1850" s="29"/>
      <c r="AB1850" s="29"/>
      <c r="AC1850" s="29"/>
      <c r="AD1850" s="29"/>
      <c r="AE1850" s="29"/>
      <c r="AF1850" s="29"/>
      <c r="AG1850" s="29"/>
      <c r="AH1850" s="123"/>
      <c r="AI1850" s="32"/>
      <c r="AJ1850" s="32"/>
      <c r="AK1850" s="32"/>
      <c r="AL1850" s="32"/>
      <c r="AM1850" s="32"/>
      <c r="AN1850" s="32"/>
      <c r="AO1850" s="32"/>
      <c r="AP1850" s="29"/>
    </row>
    <row r="1851">
      <c r="A1851" s="115"/>
      <c r="B1851" s="116"/>
      <c r="C1851" s="115"/>
      <c r="D1851" s="115"/>
      <c r="E1851" s="115"/>
      <c r="F1851" s="115"/>
      <c r="G1851" s="115"/>
      <c r="H1851" s="115"/>
      <c r="I1851" s="115"/>
      <c r="J1851" s="115"/>
      <c r="K1851" s="115"/>
      <c r="L1851" s="115"/>
      <c r="O1851" s="116"/>
      <c r="Q1851" s="116"/>
      <c r="T1851" s="114"/>
      <c r="Y1851" s="118"/>
      <c r="Z1851" s="29"/>
      <c r="AA1851" s="29"/>
      <c r="AB1851" s="29"/>
      <c r="AC1851" s="29"/>
      <c r="AD1851" s="29"/>
      <c r="AE1851" s="29"/>
      <c r="AF1851" s="29"/>
      <c r="AG1851" s="29"/>
      <c r="AH1851" s="123"/>
      <c r="AI1851" s="32"/>
      <c r="AJ1851" s="32"/>
      <c r="AK1851" s="32"/>
      <c r="AL1851" s="32"/>
      <c r="AM1851" s="32"/>
      <c r="AN1851" s="32"/>
      <c r="AO1851" s="32"/>
      <c r="AP1851" s="29"/>
    </row>
    <row r="1852">
      <c r="A1852" s="115"/>
      <c r="B1852" s="116"/>
      <c r="C1852" s="115"/>
      <c r="D1852" s="115"/>
      <c r="E1852" s="115"/>
      <c r="F1852" s="115"/>
      <c r="G1852" s="115"/>
      <c r="H1852" s="115"/>
      <c r="I1852" s="115"/>
      <c r="J1852" s="115"/>
      <c r="K1852" s="115"/>
      <c r="L1852" s="115"/>
      <c r="O1852" s="116"/>
      <c r="Q1852" s="116"/>
      <c r="T1852" s="114"/>
      <c r="Y1852" s="118"/>
      <c r="Z1852" s="29"/>
      <c r="AA1852" s="29"/>
      <c r="AB1852" s="29"/>
      <c r="AC1852" s="29"/>
      <c r="AD1852" s="29"/>
      <c r="AE1852" s="29"/>
      <c r="AF1852" s="29"/>
      <c r="AG1852" s="29"/>
      <c r="AH1852" s="123"/>
      <c r="AI1852" s="32"/>
      <c r="AJ1852" s="32"/>
      <c r="AK1852" s="32"/>
      <c r="AL1852" s="32"/>
      <c r="AM1852" s="32"/>
      <c r="AN1852" s="32"/>
      <c r="AO1852" s="32"/>
      <c r="AP1852" s="29"/>
    </row>
    <row r="1853">
      <c r="A1853" s="115"/>
      <c r="B1853" s="116"/>
      <c r="C1853" s="115"/>
      <c r="D1853" s="115"/>
      <c r="E1853" s="115"/>
      <c r="F1853" s="115"/>
      <c r="G1853" s="115"/>
      <c r="H1853" s="115"/>
      <c r="I1853" s="115"/>
      <c r="J1853" s="115"/>
      <c r="K1853" s="115"/>
      <c r="L1853" s="115"/>
      <c r="O1853" s="116"/>
      <c r="Q1853" s="116"/>
      <c r="T1853" s="114"/>
      <c r="Y1853" s="118"/>
      <c r="Z1853" s="29"/>
      <c r="AA1853" s="29"/>
      <c r="AB1853" s="29"/>
      <c r="AC1853" s="29"/>
      <c r="AD1853" s="29"/>
      <c r="AE1853" s="29"/>
      <c r="AF1853" s="29"/>
      <c r="AG1853" s="29"/>
      <c r="AH1853" s="123"/>
      <c r="AI1853" s="32"/>
      <c r="AJ1853" s="32"/>
      <c r="AK1853" s="32"/>
      <c r="AL1853" s="32"/>
      <c r="AM1853" s="32"/>
      <c r="AN1853" s="32"/>
      <c r="AO1853" s="32"/>
      <c r="AP1853" s="29"/>
    </row>
    <row r="1854">
      <c r="A1854" s="115"/>
      <c r="B1854" s="116"/>
      <c r="C1854" s="115"/>
      <c r="D1854" s="115"/>
      <c r="E1854" s="115"/>
      <c r="F1854" s="115"/>
      <c r="G1854" s="115"/>
      <c r="H1854" s="115"/>
      <c r="I1854" s="115"/>
      <c r="J1854" s="115"/>
      <c r="K1854" s="115"/>
      <c r="L1854" s="115"/>
      <c r="O1854" s="116"/>
      <c r="Q1854" s="116"/>
      <c r="T1854" s="114"/>
      <c r="Y1854" s="118"/>
      <c r="Z1854" s="29"/>
      <c r="AA1854" s="29"/>
      <c r="AB1854" s="29"/>
      <c r="AC1854" s="29"/>
      <c r="AD1854" s="29"/>
      <c r="AE1854" s="29"/>
      <c r="AF1854" s="29"/>
      <c r="AG1854" s="29"/>
      <c r="AH1854" s="123"/>
      <c r="AI1854" s="32"/>
      <c r="AJ1854" s="32"/>
      <c r="AK1854" s="32"/>
      <c r="AL1854" s="32"/>
      <c r="AM1854" s="32"/>
      <c r="AN1854" s="32"/>
      <c r="AO1854" s="32"/>
      <c r="AP1854" s="29"/>
    </row>
    <row r="1855">
      <c r="A1855" s="115"/>
      <c r="B1855" s="116"/>
      <c r="C1855" s="115"/>
      <c r="D1855" s="115"/>
      <c r="E1855" s="115"/>
      <c r="F1855" s="115"/>
      <c r="G1855" s="115"/>
      <c r="H1855" s="115"/>
      <c r="I1855" s="115"/>
      <c r="J1855" s="115"/>
      <c r="K1855" s="115"/>
      <c r="L1855" s="115"/>
      <c r="O1855" s="116"/>
      <c r="Q1855" s="116"/>
      <c r="T1855" s="114"/>
      <c r="Y1855" s="118"/>
      <c r="Z1855" s="29"/>
      <c r="AA1855" s="29"/>
      <c r="AB1855" s="29"/>
      <c r="AC1855" s="29"/>
      <c r="AD1855" s="29"/>
      <c r="AE1855" s="29"/>
      <c r="AF1855" s="29"/>
      <c r="AG1855" s="29"/>
      <c r="AH1855" s="123"/>
      <c r="AI1855" s="32"/>
      <c r="AJ1855" s="32"/>
      <c r="AK1855" s="32"/>
      <c r="AL1855" s="32"/>
      <c r="AM1855" s="32"/>
      <c r="AN1855" s="32"/>
      <c r="AO1855" s="32"/>
      <c r="AP1855" s="29"/>
    </row>
    <row r="1856">
      <c r="A1856" s="115"/>
      <c r="B1856" s="116"/>
      <c r="C1856" s="115"/>
      <c r="D1856" s="115"/>
      <c r="E1856" s="115"/>
      <c r="F1856" s="115"/>
      <c r="G1856" s="115"/>
      <c r="H1856" s="115"/>
      <c r="I1856" s="115"/>
      <c r="J1856" s="115"/>
      <c r="K1856" s="115"/>
      <c r="L1856" s="115"/>
      <c r="O1856" s="116"/>
      <c r="Q1856" s="116"/>
      <c r="T1856" s="114"/>
      <c r="Y1856" s="118"/>
      <c r="Z1856" s="29"/>
      <c r="AA1856" s="29"/>
      <c r="AB1856" s="29"/>
      <c r="AC1856" s="29"/>
      <c r="AD1856" s="29"/>
      <c r="AE1856" s="29"/>
      <c r="AF1856" s="29"/>
      <c r="AG1856" s="29"/>
      <c r="AH1856" s="123"/>
      <c r="AI1856" s="32"/>
      <c r="AJ1856" s="32"/>
      <c r="AK1856" s="32"/>
      <c r="AL1856" s="32"/>
      <c r="AM1856" s="32"/>
      <c r="AN1856" s="32"/>
      <c r="AO1856" s="32"/>
      <c r="AP1856" s="29"/>
    </row>
    <row r="1857">
      <c r="A1857" s="115"/>
      <c r="B1857" s="116"/>
      <c r="C1857" s="115"/>
      <c r="D1857" s="115"/>
      <c r="E1857" s="115"/>
      <c r="F1857" s="115"/>
      <c r="G1857" s="115"/>
      <c r="H1857" s="115"/>
      <c r="I1857" s="115"/>
      <c r="J1857" s="115"/>
      <c r="K1857" s="115"/>
      <c r="L1857" s="115"/>
      <c r="O1857" s="116"/>
      <c r="Q1857" s="116"/>
      <c r="T1857" s="114"/>
      <c r="Y1857" s="118"/>
      <c r="Z1857" s="29"/>
      <c r="AA1857" s="29"/>
      <c r="AB1857" s="29"/>
      <c r="AC1857" s="29"/>
      <c r="AD1857" s="29"/>
      <c r="AE1857" s="29"/>
      <c r="AF1857" s="29"/>
      <c r="AG1857" s="29"/>
      <c r="AH1857" s="123"/>
      <c r="AI1857" s="32"/>
      <c r="AJ1857" s="32"/>
      <c r="AK1857" s="32"/>
      <c r="AL1857" s="32"/>
      <c r="AM1857" s="32"/>
      <c r="AN1857" s="32"/>
      <c r="AO1857" s="32"/>
      <c r="AP1857" s="29"/>
    </row>
    <row r="1858">
      <c r="A1858" s="115"/>
      <c r="B1858" s="116"/>
      <c r="C1858" s="115"/>
      <c r="D1858" s="115"/>
      <c r="E1858" s="115"/>
      <c r="F1858" s="115"/>
      <c r="G1858" s="115"/>
      <c r="H1858" s="115"/>
      <c r="I1858" s="115"/>
      <c r="J1858" s="115"/>
      <c r="K1858" s="115"/>
      <c r="L1858" s="115"/>
      <c r="O1858" s="116"/>
      <c r="Q1858" s="116"/>
      <c r="T1858" s="114"/>
      <c r="Y1858" s="118"/>
      <c r="Z1858" s="29"/>
      <c r="AA1858" s="29"/>
      <c r="AB1858" s="29"/>
      <c r="AC1858" s="29"/>
      <c r="AD1858" s="29"/>
      <c r="AE1858" s="29"/>
      <c r="AF1858" s="29"/>
      <c r="AG1858" s="29"/>
      <c r="AH1858" s="123"/>
      <c r="AI1858" s="32"/>
      <c r="AJ1858" s="32"/>
      <c r="AK1858" s="32"/>
      <c r="AL1858" s="32"/>
      <c r="AM1858" s="32"/>
      <c r="AN1858" s="32"/>
      <c r="AO1858" s="32"/>
      <c r="AP1858" s="29"/>
    </row>
    <row r="1859">
      <c r="A1859" s="115"/>
      <c r="B1859" s="116"/>
      <c r="C1859" s="115"/>
      <c r="D1859" s="115"/>
      <c r="E1859" s="115"/>
      <c r="F1859" s="115"/>
      <c r="G1859" s="115"/>
      <c r="H1859" s="115"/>
      <c r="I1859" s="115"/>
      <c r="J1859" s="115"/>
      <c r="K1859" s="115"/>
      <c r="L1859" s="115"/>
      <c r="O1859" s="116"/>
      <c r="Q1859" s="116"/>
      <c r="T1859" s="114"/>
      <c r="Y1859" s="118"/>
      <c r="Z1859" s="29"/>
      <c r="AA1859" s="29"/>
      <c r="AB1859" s="29"/>
      <c r="AC1859" s="29"/>
      <c r="AD1859" s="29"/>
      <c r="AE1859" s="29"/>
      <c r="AF1859" s="29"/>
      <c r="AG1859" s="29"/>
      <c r="AH1859" s="123"/>
      <c r="AI1859" s="32"/>
      <c r="AJ1859" s="32"/>
      <c r="AK1859" s="32"/>
      <c r="AL1859" s="32"/>
      <c r="AM1859" s="32"/>
      <c r="AN1859" s="32"/>
      <c r="AO1859" s="32"/>
      <c r="AP1859" s="29"/>
    </row>
    <row r="1860">
      <c r="A1860" s="115"/>
      <c r="B1860" s="116"/>
      <c r="C1860" s="115"/>
      <c r="D1860" s="115"/>
      <c r="E1860" s="115"/>
      <c r="F1860" s="115"/>
      <c r="G1860" s="115"/>
      <c r="H1860" s="115"/>
      <c r="I1860" s="115"/>
      <c r="J1860" s="115"/>
      <c r="K1860" s="115"/>
      <c r="L1860" s="115"/>
      <c r="O1860" s="116"/>
      <c r="Q1860" s="116"/>
      <c r="T1860" s="114"/>
      <c r="Y1860" s="118"/>
      <c r="Z1860" s="29"/>
      <c r="AA1860" s="29"/>
      <c r="AB1860" s="29"/>
      <c r="AC1860" s="29"/>
      <c r="AD1860" s="29"/>
      <c r="AE1860" s="29"/>
      <c r="AF1860" s="29"/>
      <c r="AG1860" s="29"/>
      <c r="AH1860" s="123"/>
      <c r="AI1860" s="32"/>
      <c r="AJ1860" s="32"/>
      <c r="AK1860" s="32"/>
      <c r="AL1860" s="32"/>
      <c r="AM1860" s="32"/>
      <c r="AN1860" s="32"/>
      <c r="AO1860" s="32"/>
      <c r="AP1860" s="29"/>
    </row>
    <row r="1861">
      <c r="A1861" s="115"/>
      <c r="B1861" s="116"/>
      <c r="C1861" s="115"/>
      <c r="D1861" s="115"/>
      <c r="E1861" s="115"/>
      <c r="F1861" s="115"/>
      <c r="G1861" s="115"/>
      <c r="H1861" s="115"/>
      <c r="I1861" s="115"/>
      <c r="J1861" s="115"/>
      <c r="K1861" s="115"/>
      <c r="L1861" s="115"/>
      <c r="O1861" s="116"/>
      <c r="Q1861" s="116"/>
      <c r="T1861" s="114"/>
      <c r="Y1861" s="118"/>
      <c r="Z1861" s="29"/>
      <c r="AA1861" s="29"/>
      <c r="AB1861" s="29"/>
      <c r="AC1861" s="29"/>
      <c r="AD1861" s="29"/>
      <c r="AE1861" s="29"/>
      <c r="AF1861" s="29"/>
      <c r="AG1861" s="29"/>
      <c r="AH1861" s="123"/>
      <c r="AI1861" s="32"/>
      <c r="AJ1861" s="32"/>
      <c r="AK1861" s="32"/>
      <c r="AL1861" s="32"/>
      <c r="AM1861" s="32"/>
      <c r="AN1861" s="32"/>
      <c r="AO1861" s="32"/>
      <c r="AP1861" s="29"/>
    </row>
    <row r="1862">
      <c r="A1862" s="115"/>
      <c r="B1862" s="116"/>
      <c r="C1862" s="115"/>
      <c r="D1862" s="115"/>
      <c r="E1862" s="115"/>
      <c r="F1862" s="115"/>
      <c r="G1862" s="115"/>
      <c r="H1862" s="115"/>
      <c r="I1862" s="115"/>
      <c r="J1862" s="115"/>
      <c r="K1862" s="115"/>
      <c r="L1862" s="115"/>
      <c r="O1862" s="116"/>
      <c r="Q1862" s="116"/>
      <c r="T1862" s="114"/>
      <c r="Y1862" s="118"/>
      <c r="Z1862" s="29"/>
      <c r="AA1862" s="29"/>
      <c r="AB1862" s="29"/>
      <c r="AC1862" s="29"/>
      <c r="AD1862" s="29"/>
      <c r="AE1862" s="29"/>
      <c r="AF1862" s="29"/>
      <c r="AG1862" s="29"/>
      <c r="AH1862" s="123"/>
      <c r="AI1862" s="32"/>
      <c r="AJ1862" s="32"/>
      <c r="AK1862" s="32"/>
      <c r="AL1862" s="32"/>
      <c r="AM1862" s="32"/>
      <c r="AN1862" s="32"/>
      <c r="AO1862" s="32"/>
      <c r="AP1862" s="29"/>
    </row>
    <row r="1863">
      <c r="A1863" s="115"/>
      <c r="B1863" s="116"/>
      <c r="C1863" s="115"/>
      <c r="D1863" s="115"/>
      <c r="E1863" s="115"/>
      <c r="F1863" s="115"/>
      <c r="G1863" s="115"/>
      <c r="H1863" s="115"/>
      <c r="I1863" s="115"/>
      <c r="J1863" s="115"/>
      <c r="K1863" s="115"/>
      <c r="L1863" s="115"/>
      <c r="O1863" s="116"/>
      <c r="Q1863" s="116"/>
      <c r="T1863" s="114"/>
      <c r="Y1863" s="118"/>
      <c r="Z1863" s="29"/>
      <c r="AA1863" s="29"/>
      <c r="AB1863" s="29"/>
      <c r="AC1863" s="29"/>
      <c r="AD1863" s="29"/>
      <c r="AE1863" s="29"/>
      <c r="AF1863" s="29"/>
      <c r="AG1863" s="29"/>
      <c r="AH1863" s="123"/>
      <c r="AI1863" s="32"/>
      <c r="AJ1863" s="32"/>
      <c r="AK1863" s="32"/>
      <c r="AL1863" s="32"/>
      <c r="AM1863" s="32"/>
      <c r="AN1863" s="32"/>
      <c r="AO1863" s="32"/>
      <c r="AP1863" s="29"/>
    </row>
    <row r="1864">
      <c r="A1864" s="115"/>
      <c r="B1864" s="116"/>
      <c r="C1864" s="115"/>
      <c r="D1864" s="115"/>
      <c r="E1864" s="115"/>
      <c r="F1864" s="115"/>
      <c r="G1864" s="115"/>
      <c r="H1864" s="115"/>
      <c r="I1864" s="115"/>
      <c r="J1864" s="115"/>
      <c r="K1864" s="115"/>
      <c r="L1864" s="115"/>
      <c r="O1864" s="116"/>
      <c r="Q1864" s="116"/>
      <c r="T1864" s="114"/>
      <c r="Y1864" s="118"/>
      <c r="Z1864" s="29"/>
      <c r="AA1864" s="29"/>
      <c r="AB1864" s="29"/>
      <c r="AC1864" s="29"/>
      <c r="AD1864" s="29"/>
      <c r="AE1864" s="29"/>
      <c r="AF1864" s="29"/>
      <c r="AG1864" s="29"/>
      <c r="AH1864" s="123"/>
      <c r="AI1864" s="32"/>
      <c r="AJ1864" s="32"/>
      <c r="AK1864" s="32"/>
      <c r="AL1864" s="32"/>
      <c r="AM1864" s="32"/>
      <c r="AN1864" s="32"/>
      <c r="AO1864" s="32"/>
      <c r="AP1864" s="29"/>
    </row>
    <row r="1865">
      <c r="A1865" s="115"/>
      <c r="B1865" s="116"/>
      <c r="C1865" s="115"/>
      <c r="D1865" s="115"/>
      <c r="E1865" s="115"/>
      <c r="F1865" s="115"/>
      <c r="G1865" s="115"/>
      <c r="H1865" s="115"/>
      <c r="I1865" s="115"/>
      <c r="J1865" s="115"/>
      <c r="K1865" s="115"/>
      <c r="L1865" s="115"/>
      <c r="O1865" s="116"/>
      <c r="Q1865" s="116"/>
      <c r="T1865" s="114"/>
      <c r="Y1865" s="118"/>
      <c r="Z1865" s="29"/>
      <c r="AA1865" s="29"/>
      <c r="AB1865" s="29"/>
      <c r="AC1865" s="29"/>
      <c r="AD1865" s="29"/>
      <c r="AE1865" s="29"/>
      <c r="AF1865" s="29"/>
      <c r="AG1865" s="29"/>
      <c r="AH1865" s="123"/>
      <c r="AI1865" s="32"/>
      <c r="AJ1865" s="32"/>
      <c r="AK1865" s="32"/>
      <c r="AL1865" s="32"/>
      <c r="AM1865" s="32"/>
      <c r="AN1865" s="32"/>
      <c r="AO1865" s="32"/>
      <c r="AP1865" s="29"/>
    </row>
    <row r="1866">
      <c r="A1866" s="115"/>
      <c r="B1866" s="116"/>
      <c r="C1866" s="115"/>
      <c r="D1866" s="115"/>
      <c r="E1866" s="115"/>
      <c r="F1866" s="115"/>
      <c r="G1866" s="115"/>
      <c r="H1866" s="115"/>
      <c r="I1866" s="115"/>
      <c r="J1866" s="115"/>
      <c r="K1866" s="115"/>
      <c r="L1866" s="115"/>
      <c r="O1866" s="116"/>
      <c r="Q1866" s="116"/>
      <c r="T1866" s="114"/>
      <c r="Y1866" s="118"/>
      <c r="Z1866" s="29"/>
      <c r="AA1866" s="29"/>
      <c r="AB1866" s="29"/>
      <c r="AC1866" s="29"/>
      <c r="AD1866" s="29"/>
      <c r="AE1866" s="29"/>
      <c r="AF1866" s="29"/>
      <c r="AG1866" s="29"/>
      <c r="AH1866" s="123"/>
      <c r="AI1866" s="32"/>
      <c r="AJ1866" s="32"/>
      <c r="AK1866" s="32"/>
      <c r="AL1866" s="32"/>
      <c r="AM1866" s="32"/>
      <c r="AN1866" s="32"/>
      <c r="AO1866" s="32"/>
      <c r="AP1866" s="29"/>
    </row>
    <row r="1867">
      <c r="A1867" s="115"/>
      <c r="B1867" s="116"/>
      <c r="C1867" s="115"/>
      <c r="D1867" s="115"/>
      <c r="E1867" s="115"/>
      <c r="F1867" s="115"/>
      <c r="G1867" s="115"/>
      <c r="H1867" s="115"/>
      <c r="I1867" s="115"/>
      <c r="J1867" s="115"/>
      <c r="K1867" s="115"/>
      <c r="L1867" s="115"/>
      <c r="O1867" s="116"/>
      <c r="Q1867" s="116"/>
      <c r="T1867" s="114"/>
      <c r="Y1867" s="118"/>
      <c r="Z1867" s="29"/>
      <c r="AA1867" s="29"/>
      <c r="AB1867" s="29"/>
      <c r="AC1867" s="29"/>
      <c r="AD1867" s="29"/>
      <c r="AE1867" s="29"/>
      <c r="AF1867" s="29"/>
      <c r="AG1867" s="29"/>
      <c r="AH1867" s="123"/>
      <c r="AI1867" s="32"/>
      <c r="AJ1867" s="32"/>
      <c r="AK1867" s="32"/>
      <c r="AL1867" s="32"/>
      <c r="AM1867" s="32"/>
      <c r="AN1867" s="32"/>
      <c r="AO1867" s="32"/>
      <c r="AP1867" s="29"/>
    </row>
    <row r="1868">
      <c r="A1868" s="115"/>
      <c r="B1868" s="116"/>
      <c r="C1868" s="115"/>
      <c r="D1868" s="115"/>
      <c r="E1868" s="115"/>
      <c r="F1868" s="115"/>
      <c r="G1868" s="115"/>
      <c r="H1868" s="115"/>
      <c r="I1868" s="115"/>
      <c r="J1868" s="115"/>
      <c r="K1868" s="115"/>
      <c r="L1868" s="115"/>
      <c r="O1868" s="116"/>
      <c r="Q1868" s="116"/>
      <c r="T1868" s="114"/>
      <c r="Y1868" s="118"/>
      <c r="Z1868" s="29"/>
      <c r="AA1868" s="29"/>
      <c r="AB1868" s="29"/>
      <c r="AC1868" s="29"/>
      <c r="AD1868" s="29"/>
      <c r="AE1868" s="29"/>
      <c r="AF1868" s="29"/>
      <c r="AG1868" s="29"/>
      <c r="AH1868" s="123"/>
      <c r="AI1868" s="32"/>
      <c r="AJ1868" s="32"/>
      <c r="AK1868" s="32"/>
      <c r="AL1868" s="32"/>
      <c r="AM1868" s="32"/>
      <c r="AN1868" s="32"/>
      <c r="AO1868" s="32"/>
      <c r="AP1868" s="29"/>
    </row>
    <row r="1869">
      <c r="A1869" s="115"/>
      <c r="B1869" s="116"/>
      <c r="C1869" s="115"/>
      <c r="D1869" s="115"/>
      <c r="E1869" s="115"/>
      <c r="F1869" s="115"/>
      <c r="G1869" s="115"/>
      <c r="H1869" s="115"/>
      <c r="I1869" s="115"/>
      <c r="J1869" s="115"/>
      <c r="K1869" s="115"/>
      <c r="L1869" s="115"/>
      <c r="O1869" s="116"/>
      <c r="Q1869" s="116"/>
      <c r="T1869" s="114"/>
      <c r="Y1869" s="118"/>
      <c r="Z1869" s="29"/>
      <c r="AA1869" s="29"/>
      <c r="AB1869" s="29"/>
      <c r="AC1869" s="29"/>
      <c r="AD1869" s="29"/>
      <c r="AE1869" s="29"/>
      <c r="AF1869" s="29"/>
      <c r="AG1869" s="29"/>
      <c r="AH1869" s="123"/>
      <c r="AI1869" s="32"/>
      <c r="AJ1869" s="32"/>
      <c r="AK1869" s="32"/>
      <c r="AL1869" s="32"/>
      <c r="AM1869" s="32"/>
      <c r="AN1869" s="32"/>
      <c r="AO1869" s="32"/>
      <c r="AP1869" s="29"/>
    </row>
    <row r="1870">
      <c r="A1870" s="115"/>
      <c r="B1870" s="116"/>
      <c r="C1870" s="115"/>
      <c r="D1870" s="115"/>
      <c r="E1870" s="115"/>
      <c r="F1870" s="115"/>
      <c r="G1870" s="115"/>
      <c r="H1870" s="115"/>
      <c r="I1870" s="115"/>
      <c r="J1870" s="115"/>
      <c r="K1870" s="115"/>
      <c r="L1870" s="115"/>
      <c r="O1870" s="116"/>
      <c r="Q1870" s="116"/>
      <c r="T1870" s="114"/>
      <c r="Y1870" s="118"/>
      <c r="Z1870" s="29"/>
      <c r="AA1870" s="29"/>
      <c r="AB1870" s="29"/>
      <c r="AC1870" s="29"/>
      <c r="AD1870" s="29"/>
      <c r="AE1870" s="29"/>
      <c r="AF1870" s="29"/>
      <c r="AG1870" s="29"/>
      <c r="AH1870" s="123"/>
      <c r="AI1870" s="32"/>
      <c r="AJ1870" s="32"/>
      <c r="AK1870" s="32"/>
      <c r="AL1870" s="32"/>
      <c r="AM1870" s="32"/>
      <c r="AN1870" s="32"/>
      <c r="AO1870" s="32"/>
      <c r="AP1870" s="29"/>
    </row>
    <row r="1871">
      <c r="A1871" s="115"/>
      <c r="B1871" s="116"/>
      <c r="C1871" s="115"/>
      <c r="D1871" s="115"/>
      <c r="E1871" s="115"/>
      <c r="F1871" s="115"/>
      <c r="G1871" s="115"/>
      <c r="H1871" s="115"/>
      <c r="I1871" s="115"/>
      <c r="J1871" s="115"/>
      <c r="K1871" s="115"/>
      <c r="L1871" s="115"/>
      <c r="O1871" s="116"/>
      <c r="Q1871" s="116"/>
      <c r="T1871" s="114"/>
      <c r="Y1871" s="118"/>
      <c r="Z1871" s="29"/>
      <c r="AA1871" s="29"/>
      <c r="AB1871" s="29"/>
      <c r="AC1871" s="29"/>
      <c r="AD1871" s="29"/>
      <c r="AE1871" s="29"/>
      <c r="AF1871" s="29"/>
      <c r="AG1871" s="29"/>
      <c r="AH1871" s="123"/>
      <c r="AI1871" s="32"/>
      <c r="AJ1871" s="32"/>
      <c r="AK1871" s="32"/>
      <c r="AL1871" s="32"/>
      <c r="AM1871" s="32"/>
      <c r="AN1871" s="32"/>
      <c r="AO1871" s="32"/>
      <c r="AP1871" s="29"/>
    </row>
    <row r="1872">
      <c r="A1872" s="115"/>
      <c r="B1872" s="116"/>
      <c r="C1872" s="115"/>
      <c r="D1872" s="115"/>
      <c r="E1872" s="115"/>
      <c r="F1872" s="115"/>
      <c r="G1872" s="115"/>
      <c r="H1872" s="115"/>
      <c r="I1872" s="115"/>
      <c r="J1872" s="115"/>
      <c r="K1872" s="115"/>
      <c r="L1872" s="115"/>
      <c r="O1872" s="116"/>
      <c r="Q1872" s="116"/>
      <c r="T1872" s="114"/>
      <c r="Y1872" s="118"/>
      <c r="Z1872" s="29"/>
      <c r="AA1872" s="29"/>
      <c r="AB1872" s="29"/>
      <c r="AC1872" s="29"/>
      <c r="AD1872" s="29"/>
      <c r="AE1872" s="29"/>
      <c r="AF1872" s="29"/>
      <c r="AG1872" s="29"/>
      <c r="AH1872" s="123"/>
      <c r="AI1872" s="32"/>
      <c r="AJ1872" s="32"/>
      <c r="AK1872" s="32"/>
      <c r="AL1872" s="32"/>
      <c r="AM1872" s="32"/>
      <c r="AN1872" s="32"/>
      <c r="AO1872" s="32"/>
      <c r="AP1872" s="29"/>
    </row>
    <row r="1873">
      <c r="A1873" s="115"/>
      <c r="B1873" s="116"/>
      <c r="C1873" s="115"/>
      <c r="D1873" s="115"/>
      <c r="E1873" s="115"/>
      <c r="F1873" s="115"/>
      <c r="G1873" s="115"/>
      <c r="H1873" s="115"/>
      <c r="I1873" s="115"/>
      <c r="J1873" s="115"/>
      <c r="K1873" s="115"/>
      <c r="L1873" s="115"/>
      <c r="O1873" s="116"/>
      <c r="Q1873" s="116"/>
      <c r="T1873" s="114"/>
      <c r="Y1873" s="118"/>
      <c r="Z1873" s="29"/>
      <c r="AA1873" s="29"/>
      <c r="AB1873" s="29"/>
      <c r="AC1873" s="29"/>
      <c r="AD1873" s="29"/>
      <c r="AE1873" s="29"/>
      <c r="AF1873" s="29"/>
      <c r="AG1873" s="29"/>
      <c r="AH1873" s="123"/>
      <c r="AI1873" s="32"/>
      <c r="AJ1873" s="32"/>
      <c r="AK1873" s="32"/>
      <c r="AL1873" s="32"/>
      <c r="AM1873" s="32"/>
      <c r="AN1873" s="32"/>
      <c r="AO1873" s="32"/>
      <c r="AP1873" s="29"/>
    </row>
    <row r="1874">
      <c r="A1874" s="115"/>
      <c r="B1874" s="116"/>
      <c r="C1874" s="115"/>
      <c r="D1874" s="115"/>
      <c r="E1874" s="115"/>
      <c r="F1874" s="115"/>
      <c r="G1874" s="115"/>
      <c r="H1874" s="115"/>
      <c r="I1874" s="115"/>
      <c r="J1874" s="115"/>
      <c r="K1874" s="115"/>
      <c r="L1874" s="115"/>
      <c r="O1874" s="116"/>
      <c r="Q1874" s="116"/>
      <c r="T1874" s="114"/>
      <c r="Y1874" s="118"/>
      <c r="Z1874" s="29"/>
      <c r="AA1874" s="29"/>
      <c r="AB1874" s="29"/>
      <c r="AC1874" s="29"/>
      <c r="AD1874" s="29"/>
      <c r="AE1874" s="29"/>
      <c r="AF1874" s="29"/>
      <c r="AG1874" s="29"/>
      <c r="AH1874" s="123"/>
      <c r="AI1874" s="32"/>
      <c r="AJ1874" s="32"/>
      <c r="AK1874" s="32"/>
      <c r="AL1874" s="32"/>
      <c r="AM1874" s="32"/>
      <c r="AN1874" s="32"/>
      <c r="AO1874" s="32"/>
      <c r="AP1874" s="29"/>
    </row>
    <row r="1875">
      <c r="A1875" s="115"/>
      <c r="B1875" s="116"/>
      <c r="C1875" s="115"/>
      <c r="D1875" s="115"/>
      <c r="E1875" s="115"/>
      <c r="F1875" s="115"/>
      <c r="G1875" s="115"/>
      <c r="H1875" s="115"/>
      <c r="I1875" s="115"/>
      <c r="J1875" s="115"/>
      <c r="K1875" s="115"/>
      <c r="L1875" s="115"/>
      <c r="O1875" s="116"/>
      <c r="Q1875" s="116"/>
      <c r="T1875" s="114"/>
      <c r="Y1875" s="118"/>
      <c r="Z1875" s="29"/>
      <c r="AA1875" s="29"/>
      <c r="AB1875" s="29"/>
      <c r="AC1875" s="29"/>
      <c r="AD1875" s="29"/>
      <c r="AE1875" s="29"/>
      <c r="AF1875" s="29"/>
      <c r="AG1875" s="29"/>
      <c r="AH1875" s="123"/>
      <c r="AI1875" s="32"/>
      <c r="AJ1875" s="32"/>
      <c r="AK1875" s="32"/>
      <c r="AL1875" s="32"/>
      <c r="AM1875" s="32"/>
      <c r="AN1875" s="32"/>
      <c r="AO1875" s="32"/>
      <c r="AP1875" s="29"/>
    </row>
    <row r="1876">
      <c r="A1876" s="115"/>
      <c r="B1876" s="116"/>
      <c r="C1876" s="115"/>
      <c r="D1876" s="115"/>
      <c r="E1876" s="115"/>
      <c r="F1876" s="115"/>
      <c r="G1876" s="115"/>
      <c r="H1876" s="115"/>
      <c r="I1876" s="115"/>
      <c r="J1876" s="115"/>
      <c r="K1876" s="115"/>
      <c r="L1876" s="115"/>
      <c r="O1876" s="116"/>
      <c r="Q1876" s="116"/>
      <c r="T1876" s="114"/>
      <c r="Y1876" s="118"/>
      <c r="Z1876" s="29"/>
      <c r="AA1876" s="29"/>
      <c r="AB1876" s="29"/>
      <c r="AC1876" s="29"/>
      <c r="AD1876" s="29"/>
      <c r="AE1876" s="29"/>
      <c r="AF1876" s="29"/>
      <c r="AG1876" s="29"/>
      <c r="AH1876" s="123"/>
      <c r="AI1876" s="32"/>
      <c r="AJ1876" s="32"/>
      <c r="AK1876" s="32"/>
      <c r="AL1876" s="32"/>
      <c r="AM1876" s="32"/>
      <c r="AN1876" s="32"/>
      <c r="AO1876" s="32"/>
      <c r="AP1876" s="29"/>
    </row>
    <row r="1877">
      <c r="A1877" s="115"/>
      <c r="B1877" s="116"/>
      <c r="C1877" s="115"/>
      <c r="D1877" s="115"/>
      <c r="E1877" s="115"/>
      <c r="F1877" s="115"/>
      <c r="G1877" s="115"/>
      <c r="H1877" s="115"/>
      <c r="I1877" s="115"/>
      <c r="J1877" s="115"/>
      <c r="K1877" s="115"/>
      <c r="L1877" s="115"/>
      <c r="O1877" s="116"/>
      <c r="Q1877" s="116"/>
      <c r="T1877" s="114"/>
      <c r="Y1877" s="118"/>
      <c r="Z1877" s="29"/>
      <c r="AA1877" s="29"/>
      <c r="AB1877" s="29"/>
      <c r="AC1877" s="29"/>
      <c r="AD1877" s="29"/>
      <c r="AE1877" s="29"/>
      <c r="AF1877" s="29"/>
      <c r="AG1877" s="29"/>
      <c r="AH1877" s="123"/>
      <c r="AI1877" s="32"/>
      <c r="AJ1877" s="32"/>
      <c r="AK1877" s="32"/>
      <c r="AL1877" s="32"/>
      <c r="AM1877" s="32"/>
      <c r="AN1877" s="32"/>
      <c r="AO1877" s="32"/>
      <c r="AP1877" s="29"/>
    </row>
    <row r="1878">
      <c r="A1878" s="115"/>
      <c r="B1878" s="116"/>
      <c r="C1878" s="115"/>
      <c r="D1878" s="115"/>
      <c r="E1878" s="115"/>
      <c r="F1878" s="115"/>
      <c r="G1878" s="115"/>
      <c r="H1878" s="115"/>
      <c r="I1878" s="115"/>
      <c r="J1878" s="115"/>
      <c r="K1878" s="115"/>
      <c r="L1878" s="115"/>
      <c r="O1878" s="116"/>
      <c r="Q1878" s="116"/>
      <c r="T1878" s="114"/>
      <c r="Y1878" s="118"/>
      <c r="Z1878" s="29"/>
      <c r="AA1878" s="29"/>
      <c r="AB1878" s="29"/>
      <c r="AC1878" s="29"/>
      <c r="AD1878" s="29"/>
      <c r="AE1878" s="29"/>
      <c r="AF1878" s="29"/>
      <c r="AG1878" s="29"/>
      <c r="AH1878" s="123"/>
      <c r="AI1878" s="32"/>
      <c r="AJ1878" s="32"/>
      <c r="AK1878" s="32"/>
      <c r="AL1878" s="32"/>
      <c r="AM1878" s="32"/>
      <c r="AN1878" s="32"/>
      <c r="AO1878" s="32"/>
      <c r="AP1878" s="29"/>
    </row>
    <row r="1879">
      <c r="A1879" s="115"/>
      <c r="B1879" s="116"/>
      <c r="C1879" s="115"/>
      <c r="D1879" s="115"/>
      <c r="E1879" s="115"/>
      <c r="F1879" s="115"/>
      <c r="G1879" s="115"/>
      <c r="H1879" s="115"/>
      <c r="I1879" s="115"/>
      <c r="J1879" s="115"/>
      <c r="K1879" s="115"/>
      <c r="L1879" s="115"/>
      <c r="O1879" s="116"/>
      <c r="Q1879" s="116"/>
      <c r="T1879" s="114"/>
      <c r="Y1879" s="118"/>
      <c r="Z1879" s="29"/>
      <c r="AA1879" s="29"/>
      <c r="AB1879" s="29"/>
      <c r="AC1879" s="29"/>
      <c r="AD1879" s="29"/>
      <c r="AE1879" s="29"/>
      <c r="AF1879" s="29"/>
      <c r="AG1879" s="29"/>
      <c r="AH1879" s="123"/>
      <c r="AI1879" s="32"/>
      <c r="AJ1879" s="32"/>
      <c r="AK1879" s="32"/>
      <c r="AL1879" s="32"/>
      <c r="AM1879" s="32"/>
      <c r="AN1879" s="32"/>
      <c r="AO1879" s="32"/>
      <c r="AP1879" s="29"/>
    </row>
    <row r="1880">
      <c r="A1880" s="115"/>
      <c r="B1880" s="116"/>
      <c r="C1880" s="115"/>
      <c r="D1880" s="115"/>
      <c r="E1880" s="115"/>
      <c r="F1880" s="115"/>
      <c r="G1880" s="115"/>
      <c r="H1880" s="115"/>
      <c r="I1880" s="115"/>
      <c r="J1880" s="115"/>
      <c r="K1880" s="115"/>
      <c r="L1880" s="115"/>
      <c r="O1880" s="116"/>
      <c r="Q1880" s="116"/>
      <c r="T1880" s="114"/>
      <c r="Y1880" s="118"/>
      <c r="Z1880" s="29"/>
      <c r="AA1880" s="29"/>
      <c r="AB1880" s="29"/>
      <c r="AC1880" s="29"/>
      <c r="AD1880" s="29"/>
      <c r="AE1880" s="29"/>
      <c r="AF1880" s="29"/>
      <c r="AG1880" s="29"/>
      <c r="AH1880" s="123"/>
      <c r="AI1880" s="32"/>
      <c r="AJ1880" s="32"/>
      <c r="AK1880" s="32"/>
      <c r="AL1880" s="32"/>
      <c r="AM1880" s="32"/>
      <c r="AN1880" s="32"/>
      <c r="AO1880" s="32"/>
      <c r="AP1880" s="29"/>
    </row>
    <row r="1881">
      <c r="A1881" s="115"/>
      <c r="B1881" s="116"/>
      <c r="C1881" s="115"/>
      <c r="D1881" s="115"/>
      <c r="E1881" s="115"/>
      <c r="F1881" s="115"/>
      <c r="G1881" s="115"/>
      <c r="H1881" s="115"/>
      <c r="I1881" s="115"/>
      <c r="J1881" s="115"/>
      <c r="K1881" s="115"/>
      <c r="L1881" s="115"/>
      <c r="O1881" s="116"/>
      <c r="Q1881" s="116"/>
      <c r="T1881" s="114"/>
      <c r="Y1881" s="118"/>
      <c r="Z1881" s="29"/>
      <c r="AA1881" s="29"/>
      <c r="AB1881" s="29"/>
      <c r="AC1881" s="29"/>
      <c r="AD1881" s="29"/>
      <c r="AE1881" s="29"/>
      <c r="AF1881" s="29"/>
      <c r="AG1881" s="29"/>
      <c r="AH1881" s="123"/>
      <c r="AI1881" s="32"/>
      <c r="AJ1881" s="32"/>
      <c r="AK1881" s="32"/>
      <c r="AL1881" s="32"/>
      <c r="AM1881" s="32"/>
      <c r="AN1881" s="32"/>
      <c r="AO1881" s="32"/>
      <c r="AP1881" s="29"/>
    </row>
    <row r="1882">
      <c r="A1882" s="115"/>
      <c r="B1882" s="116"/>
      <c r="C1882" s="115"/>
      <c r="D1882" s="115"/>
      <c r="E1882" s="115"/>
      <c r="F1882" s="115"/>
      <c r="G1882" s="115"/>
      <c r="H1882" s="115"/>
      <c r="I1882" s="115"/>
      <c r="J1882" s="115"/>
      <c r="K1882" s="115"/>
      <c r="L1882" s="115"/>
      <c r="O1882" s="116"/>
      <c r="Q1882" s="116"/>
      <c r="T1882" s="114"/>
      <c r="Y1882" s="118"/>
      <c r="Z1882" s="29"/>
      <c r="AA1882" s="29"/>
      <c r="AB1882" s="29"/>
      <c r="AC1882" s="29"/>
      <c r="AD1882" s="29"/>
      <c r="AE1882" s="29"/>
      <c r="AF1882" s="29"/>
      <c r="AG1882" s="29"/>
      <c r="AH1882" s="123"/>
      <c r="AI1882" s="32"/>
      <c r="AJ1882" s="32"/>
      <c r="AK1882" s="32"/>
      <c r="AL1882" s="32"/>
      <c r="AM1882" s="32"/>
      <c r="AN1882" s="32"/>
      <c r="AO1882" s="32"/>
      <c r="AP1882" s="29"/>
    </row>
    <row r="1883">
      <c r="A1883" s="115"/>
      <c r="B1883" s="116"/>
      <c r="C1883" s="115"/>
      <c r="D1883" s="115"/>
      <c r="E1883" s="115"/>
      <c r="F1883" s="115"/>
      <c r="G1883" s="115"/>
      <c r="H1883" s="115"/>
      <c r="I1883" s="115"/>
      <c r="J1883" s="115"/>
      <c r="K1883" s="115"/>
      <c r="L1883" s="115"/>
      <c r="O1883" s="116"/>
      <c r="Q1883" s="116"/>
      <c r="T1883" s="114"/>
      <c r="Y1883" s="118"/>
      <c r="Z1883" s="29"/>
      <c r="AA1883" s="29"/>
      <c r="AB1883" s="29"/>
      <c r="AC1883" s="29"/>
      <c r="AD1883" s="29"/>
      <c r="AE1883" s="29"/>
      <c r="AF1883" s="29"/>
      <c r="AG1883" s="29"/>
      <c r="AH1883" s="123"/>
      <c r="AI1883" s="32"/>
      <c r="AJ1883" s="32"/>
      <c r="AK1883" s="32"/>
      <c r="AL1883" s="32"/>
      <c r="AM1883" s="32"/>
      <c r="AN1883" s="32"/>
      <c r="AO1883" s="32"/>
      <c r="AP1883" s="29"/>
    </row>
    <row r="1884">
      <c r="A1884" s="115"/>
      <c r="B1884" s="116"/>
      <c r="C1884" s="115"/>
      <c r="D1884" s="115"/>
      <c r="E1884" s="115"/>
      <c r="F1884" s="115"/>
      <c r="G1884" s="115"/>
      <c r="H1884" s="115"/>
      <c r="I1884" s="115"/>
      <c r="J1884" s="115"/>
      <c r="K1884" s="115"/>
      <c r="L1884" s="115"/>
      <c r="O1884" s="116"/>
      <c r="Q1884" s="116"/>
      <c r="T1884" s="114"/>
      <c r="Y1884" s="118"/>
      <c r="Z1884" s="29"/>
      <c r="AA1884" s="29"/>
      <c r="AB1884" s="29"/>
      <c r="AC1884" s="29"/>
      <c r="AD1884" s="29"/>
      <c r="AE1884" s="29"/>
      <c r="AF1884" s="29"/>
      <c r="AG1884" s="29"/>
      <c r="AH1884" s="123"/>
      <c r="AI1884" s="32"/>
      <c r="AJ1884" s="32"/>
      <c r="AK1884" s="32"/>
      <c r="AL1884" s="32"/>
      <c r="AM1884" s="32"/>
      <c r="AN1884" s="32"/>
      <c r="AO1884" s="32"/>
      <c r="AP1884" s="29"/>
    </row>
    <row r="1885">
      <c r="A1885" s="115"/>
      <c r="B1885" s="116"/>
      <c r="C1885" s="115"/>
      <c r="D1885" s="115"/>
      <c r="E1885" s="115"/>
      <c r="F1885" s="115"/>
      <c r="G1885" s="115"/>
      <c r="H1885" s="115"/>
      <c r="I1885" s="115"/>
      <c r="J1885" s="115"/>
      <c r="K1885" s="115"/>
      <c r="L1885" s="115"/>
      <c r="O1885" s="116"/>
      <c r="Q1885" s="116"/>
      <c r="T1885" s="114"/>
      <c r="Y1885" s="118"/>
      <c r="Z1885" s="29"/>
      <c r="AA1885" s="29"/>
      <c r="AB1885" s="29"/>
      <c r="AC1885" s="29"/>
      <c r="AD1885" s="29"/>
      <c r="AE1885" s="29"/>
      <c r="AF1885" s="29"/>
      <c r="AG1885" s="29"/>
      <c r="AH1885" s="123"/>
      <c r="AI1885" s="32"/>
      <c r="AJ1885" s="32"/>
      <c r="AK1885" s="32"/>
      <c r="AL1885" s="32"/>
      <c r="AM1885" s="32"/>
      <c r="AN1885" s="32"/>
      <c r="AO1885" s="32"/>
      <c r="AP1885" s="29"/>
    </row>
    <row r="1886">
      <c r="A1886" s="115"/>
      <c r="B1886" s="116"/>
      <c r="C1886" s="115"/>
      <c r="D1886" s="115"/>
      <c r="E1886" s="115"/>
      <c r="F1886" s="115"/>
      <c r="G1886" s="115"/>
      <c r="H1886" s="115"/>
      <c r="I1886" s="115"/>
      <c r="J1886" s="115"/>
      <c r="K1886" s="115"/>
      <c r="L1886" s="115"/>
      <c r="O1886" s="116"/>
      <c r="Q1886" s="116"/>
      <c r="T1886" s="114"/>
      <c r="Y1886" s="118"/>
      <c r="Z1886" s="29"/>
      <c r="AA1886" s="29"/>
      <c r="AB1886" s="29"/>
      <c r="AC1886" s="29"/>
      <c r="AD1886" s="29"/>
      <c r="AE1886" s="29"/>
      <c r="AF1886" s="29"/>
      <c r="AG1886" s="29"/>
      <c r="AH1886" s="123"/>
      <c r="AI1886" s="32"/>
      <c r="AJ1886" s="32"/>
      <c r="AK1886" s="32"/>
      <c r="AL1886" s="32"/>
      <c r="AM1886" s="32"/>
      <c r="AN1886" s="32"/>
      <c r="AO1886" s="32"/>
      <c r="AP1886" s="29"/>
    </row>
    <row r="1887">
      <c r="A1887" s="115"/>
      <c r="B1887" s="116"/>
      <c r="C1887" s="115"/>
      <c r="D1887" s="115"/>
      <c r="E1887" s="115"/>
      <c r="F1887" s="115"/>
      <c r="G1887" s="115"/>
      <c r="H1887" s="115"/>
      <c r="I1887" s="115"/>
      <c r="J1887" s="115"/>
      <c r="K1887" s="115"/>
      <c r="L1887" s="115"/>
      <c r="O1887" s="116"/>
      <c r="Q1887" s="116"/>
      <c r="T1887" s="114"/>
      <c r="Y1887" s="118"/>
      <c r="Z1887" s="29"/>
      <c r="AA1887" s="29"/>
      <c r="AB1887" s="29"/>
      <c r="AC1887" s="29"/>
      <c r="AD1887" s="29"/>
      <c r="AE1887" s="29"/>
      <c r="AF1887" s="29"/>
      <c r="AG1887" s="29"/>
      <c r="AH1887" s="123"/>
      <c r="AI1887" s="32"/>
      <c r="AJ1887" s="32"/>
      <c r="AK1887" s="32"/>
      <c r="AL1887" s="32"/>
      <c r="AM1887" s="32"/>
      <c r="AN1887" s="32"/>
      <c r="AO1887" s="32"/>
      <c r="AP1887" s="29"/>
    </row>
    <row r="1888">
      <c r="A1888" s="115"/>
      <c r="B1888" s="116"/>
      <c r="C1888" s="115"/>
      <c r="D1888" s="115"/>
      <c r="E1888" s="115"/>
      <c r="F1888" s="115"/>
      <c r="G1888" s="115"/>
      <c r="H1888" s="115"/>
      <c r="I1888" s="115"/>
      <c r="J1888" s="115"/>
      <c r="K1888" s="115"/>
      <c r="L1888" s="115"/>
      <c r="O1888" s="116"/>
      <c r="Q1888" s="116"/>
      <c r="T1888" s="114"/>
      <c r="Y1888" s="118"/>
      <c r="Z1888" s="29"/>
      <c r="AA1888" s="29"/>
      <c r="AB1888" s="29"/>
      <c r="AC1888" s="29"/>
      <c r="AD1888" s="29"/>
      <c r="AE1888" s="29"/>
      <c r="AF1888" s="29"/>
      <c r="AG1888" s="29"/>
      <c r="AH1888" s="123"/>
      <c r="AI1888" s="32"/>
      <c r="AJ1888" s="32"/>
      <c r="AK1888" s="32"/>
      <c r="AL1888" s="32"/>
      <c r="AM1888" s="32"/>
      <c r="AN1888" s="32"/>
      <c r="AO1888" s="32"/>
      <c r="AP1888" s="29"/>
    </row>
    <row r="1889">
      <c r="A1889" s="115"/>
      <c r="B1889" s="116"/>
      <c r="C1889" s="115"/>
      <c r="D1889" s="115"/>
      <c r="E1889" s="115"/>
      <c r="F1889" s="115"/>
      <c r="G1889" s="115"/>
      <c r="H1889" s="115"/>
      <c r="I1889" s="115"/>
      <c r="J1889" s="115"/>
      <c r="K1889" s="115"/>
      <c r="L1889" s="115"/>
      <c r="O1889" s="116"/>
      <c r="Q1889" s="116"/>
      <c r="T1889" s="114"/>
      <c r="Y1889" s="118"/>
      <c r="Z1889" s="29"/>
      <c r="AA1889" s="29"/>
      <c r="AB1889" s="29"/>
      <c r="AC1889" s="29"/>
      <c r="AD1889" s="29"/>
      <c r="AE1889" s="29"/>
      <c r="AF1889" s="29"/>
      <c r="AG1889" s="29"/>
      <c r="AH1889" s="123"/>
      <c r="AI1889" s="32"/>
      <c r="AJ1889" s="32"/>
      <c r="AK1889" s="32"/>
      <c r="AL1889" s="32"/>
      <c r="AM1889" s="32"/>
      <c r="AN1889" s="32"/>
      <c r="AO1889" s="32"/>
      <c r="AP1889" s="29"/>
    </row>
    <row r="1890">
      <c r="A1890" s="115"/>
      <c r="B1890" s="116"/>
      <c r="C1890" s="115"/>
      <c r="D1890" s="115"/>
      <c r="E1890" s="115"/>
      <c r="F1890" s="115"/>
      <c r="G1890" s="115"/>
      <c r="H1890" s="115"/>
      <c r="I1890" s="115"/>
      <c r="J1890" s="115"/>
      <c r="K1890" s="115"/>
      <c r="L1890" s="115"/>
      <c r="O1890" s="116"/>
      <c r="Q1890" s="116"/>
      <c r="T1890" s="114"/>
      <c r="Y1890" s="118"/>
      <c r="Z1890" s="29"/>
      <c r="AA1890" s="29"/>
      <c r="AB1890" s="29"/>
      <c r="AC1890" s="29"/>
      <c r="AD1890" s="29"/>
      <c r="AE1890" s="29"/>
      <c r="AF1890" s="29"/>
      <c r="AG1890" s="29"/>
      <c r="AH1890" s="123"/>
      <c r="AI1890" s="32"/>
      <c r="AJ1890" s="32"/>
      <c r="AK1890" s="32"/>
      <c r="AL1890" s="32"/>
      <c r="AM1890" s="32"/>
      <c r="AN1890" s="32"/>
      <c r="AO1890" s="32"/>
      <c r="AP1890" s="29"/>
    </row>
    <row r="1891">
      <c r="A1891" s="115"/>
      <c r="B1891" s="116"/>
      <c r="C1891" s="115"/>
      <c r="D1891" s="115"/>
      <c r="E1891" s="115"/>
      <c r="F1891" s="115"/>
      <c r="G1891" s="115"/>
      <c r="H1891" s="115"/>
      <c r="I1891" s="115"/>
      <c r="J1891" s="115"/>
      <c r="K1891" s="115"/>
      <c r="L1891" s="115"/>
      <c r="O1891" s="116"/>
      <c r="Q1891" s="116"/>
      <c r="T1891" s="114"/>
      <c r="Y1891" s="118"/>
      <c r="Z1891" s="29"/>
      <c r="AA1891" s="29"/>
      <c r="AB1891" s="29"/>
      <c r="AC1891" s="29"/>
      <c r="AD1891" s="29"/>
      <c r="AE1891" s="29"/>
      <c r="AF1891" s="29"/>
      <c r="AG1891" s="29"/>
      <c r="AH1891" s="123"/>
      <c r="AI1891" s="32"/>
      <c r="AJ1891" s="32"/>
      <c r="AK1891" s="32"/>
      <c r="AL1891" s="32"/>
      <c r="AM1891" s="32"/>
      <c r="AN1891" s="32"/>
      <c r="AO1891" s="32"/>
      <c r="AP1891" s="29"/>
    </row>
    <row r="1892">
      <c r="A1892" s="115"/>
      <c r="B1892" s="116"/>
      <c r="C1892" s="115"/>
      <c r="D1892" s="115"/>
      <c r="E1892" s="115"/>
      <c r="F1892" s="115"/>
      <c r="G1892" s="115"/>
      <c r="H1892" s="115"/>
      <c r="I1892" s="115"/>
      <c r="J1892" s="115"/>
      <c r="K1892" s="115"/>
      <c r="L1892" s="115"/>
      <c r="O1892" s="116"/>
      <c r="Q1892" s="116"/>
      <c r="T1892" s="114"/>
      <c r="Y1892" s="118"/>
      <c r="Z1892" s="29"/>
      <c r="AA1892" s="29"/>
      <c r="AB1892" s="29"/>
      <c r="AC1892" s="29"/>
      <c r="AD1892" s="29"/>
      <c r="AE1892" s="29"/>
      <c r="AF1892" s="29"/>
      <c r="AG1892" s="29"/>
      <c r="AH1892" s="123"/>
      <c r="AI1892" s="32"/>
      <c r="AJ1892" s="32"/>
      <c r="AK1892" s="32"/>
      <c r="AL1892" s="32"/>
      <c r="AM1892" s="32"/>
      <c r="AN1892" s="32"/>
      <c r="AO1892" s="32"/>
      <c r="AP1892" s="29"/>
    </row>
    <row r="1893">
      <c r="A1893" s="115"/>
      <c r="B1893" s="116"/>
      <c r="C1893" s="115"/>
      <c r="D1893" s="115"/>
      <c r="E1893" s="115"/>
      <c r="F1893" s="115"/>
      <c r="G1893" s="115"/>
      <c r="H1893" s="115"/>
      <c r="I1893" s="115"/>
      <c r="J1893" s="115"/>
      <c r="K1893" s="115"/>
      <c r="L1893" s="115"/>
      <c r="O1893" s="116"/>
      <c r="Q1893" s="116"/>
      <c r="T1893" s="114"/>
      <c r="Y1893" s="118"/>
      <c r="Z1893" s="29"/>
      <c r="AA1893" s="29"/>
      <c r="AB1893" s="29"/>
      <c r="AC1893" s="29"/>
      <c r="AD1893" s="29"/>
      <c r="AE1893" s="29"/>
      <c r="AF1893" s="29"/>
      <c r="AG1893" s="29"/>
      <c r="AH1893" s="123"/>
      <c r="AI1893" s="32"/>
      <c r="AJ1893" s="32"/>
      <c r="AK1893" s="32"/>
      <c r="AL1893" s="32"/>
      <c r="AM1893" s="32"/>
      <c r="AN1893" s="32"/>
      <c r="AO1893" s="32"/>
      <c r="AP1893" s="29"/>
    </row>
    <row r="1894">
      <c r="A1894" s="115"/>
      <c r="B1894" s="116"/>
      <c r="C1894" s="115"/>
      <c r="D1894" s="115"/>
      <c r="E1894" s="115"/>
      <c r="F1894" s="115"/>
      <c r="G1894" s="115"/>
      <c r="H1894" s="115"/>
      <c r="I1894" s="115"/>
      <c r="J1894" s="115"/>
      <c r="K1894" s="115"/>
      <c r="L1894" s="115"/>
      <c r="O1894" s="116"/>
      <c r="Q1894" s="116"/>
      <c r="T1894" s="114"/>
      <c r="Y1894" s="118"/>
      <c r="Z1894" s="29"/>
      <c r="AA1894" s="29"/>
      <c r="AB1894" s="29"/>
      <c r="AC1894" s="29"/>
      <c r="AD1894" s="29"/>
      <c r="AE1894" s="29"/>
      <c r="AF1894" s="29"/>
      <c r="AG1894" s="29"/>
      <c r="AH1894" s="123"/>
      <c r="AI1894" s="32"/>
      <c r="AJ1894" s="32"/>
      <c r="AK1894" s="32"/>
      <c r="AL1894" s="32"/>
      <c r="AM1894" s="32"/>
      <c r="AN1894" s="32"/>
      <c r="AO1894" s="32"/>
      <c r="AP1894" s="29"/>
    </row>
    <row r="1895">
      <c r="A1895" s="115"/>
      <c r="B1895" s="116"/>
      <c r="C1895" s="115"/>
      <c r="D1895" s="115"/>
      <c r="E1895" s="115"/>
      <c r="F1895" s="115"/>
      <c r="G1895" s="115"/>
      <c r="H1895" s="115"/>
      <c r="I1895" s="115"/>
      <c r="J1895" s="115"/>
      <c r="K1895" s="115"/>
      <c r="L1895" s="115"/>
      <c r="O1895" s="116"/>
      <c r="Q1895" s="116"/>
      <c r="T1895" s="114"/>
      <c r="Y1895" s="118"/>
      <c r="Z1895" s="29"/>
      <c r="AA1895" s="29"/>
      <c r="AB1895" s="29"/>
      <c r="AC1895" s="29"/>
      <c r="AD1895" s="29"/>
      <c r="AE1895" s="29"/>
      <c r="AF1895" s="29"/>
      <c r="AG1895" s="29"/>
      <c r="AH1895" s="123"/>
      <c r="AI1895" s="32"/>
      <c r="AJ1895" s="32"/>
      <c r="AK1895" s="32"/>
      <c r="AL1895" s="32"/>
      <c r="AM1895" s="32"/>
      <c r="AN1895" s="32"/>
      <c r="AO1895" s="32"/>
      <c r="AP1895" s="29"/>
    </row>
    <row r="1896">
      <c r="A1896" s="115"/>
      <c r="B1896" s="116"/>
      <c r="C1896" s="115"/>
      <c r="D1896" s="115"/>
      <c r="E1896" s="115"/>
      <c r="F1896" s="115"/>
      <c r="G1896" s="115"/>
      <c r="H1896" s="115"/>
      <c r="I1896" s="115"/>
      <c r="J1896" s="115"/>
      <c r="K1896" s="115"/>
      <c r="L1896" s="115"/>
      <c r="O1896" s="116"/>
      <c r="Q1896" s="116"/>
      <c r="T1896" s="114"/>
      <c r="Y1896" s="118"/>
      <c r="Z1896" s="29"/>
      <c r="AA1896" s="29"/>
      <c r="AB1896" s="29"/>
      <c r="AC1896" s="29"/>
      <c r="AD1896" s="29"/>
      <c r="AE1896" s="29"/>
      <c r="AF1896" s="29"/>
      <c r="AG1896" s="29"/>
      <c r="AH1896" s="123"/>
      <c r="AI1896" s="32"/>
      <c r="AJ1896" s="32"/>
      <c r="AK1896" s="32"/>
      <c r="AL1896" s="32"/>
      <c r="AM1896" s="32"/>
      <c r="AN1896" s="32"/>
      <c r="AO1896" s="32"/>
      <c r="AP1896" s="29"/>
    </row>
    <row r="1897">
      <c r="A1897" s="115"/>
      <c r="B1897" s="116"/>
      <c r="C1897" s="115"/>
      <c r="D1897" s="115"/>
      <c r="E1897" s="115"/>
      <c r="F1897" s="115"/>
      <c r="G1897" s="115"/>
      <c r="H1897" s="115"/>
      <c r="I1897" s="115"/>
      <c r="J1897" s="115"/>
      <c r="K1897" s="115"/>
      <c r="L1897" s="115"/>
      <c r="O1897" s="116"/>
      <c r="Q1897" s="116"/>
      <c r="T1897" s="114"/>
      <c r="Y1897" s="118"/>
      <c r="Z1897" s="29"/>
      <c r="AA1897" s="29"/>
      <c r="AB1897" s="29"/>
      <c r="AC1897" s="29"/>
      <c r="AD1897" s="29"/>
      <c r="AE1897" s="29"/>
      <c r="AF1897" s="29"/>
      <c r="AG1897" s="29"/>
      <c r="AH1897" s="123"/>
      <c r="AI1897" s="32"/>
      <c r="AJ1897" s="32"/>
      <c r="AK1897" s="32"/>
      <c r="AL1897" s="32"/>
      <c r="AM1897" s="32"/>
      <c r="AN1897" s="32"/>
      <c r="AO1897" s="32"/>
      <c r="AP1897" s="29"/>
    </row>
    <row r="1898">
      <c r="A1898" s="115"/>
      <c r="B1898" s="116"/>
      <c r="C1898" s="115"/>
      <c r="D1898" s="115"/>
      <c r="E1898" s="115"/>
      <c r="F1898" s="115"/>
      <c r="G1898" s="115"/>
      <c r="H1898" s="115"/>
      <c r="I1898" s="115"/>
      <c r="J1898" s="115"/>
      <c r="K1898" s="115"/>
      <c r="L1898" s="115"/>
      <c r="O1898" s="116"/>
      <c r="Q1898" s="116"/>
      <c r="T1898" s="114"/>
      <c r="Y1898" s="118"/>
      <c r="Z1898" s="29"/>
      <c r="AA1898" s="29"/>
      <c r="AB1898" s="29"/>
      <c r="AC1898" s="29"/>
      <c r="AD1898" s="29"/>
      <c r="AE1898" s="29"/>
      <c r="AF1898" s="29"/>
      <c r="AG1898" s="29"/>
      <c r="AH1898" s="123"/>
      <c r="AI1898" s="32"/>
      <c r="AJ1898" s="32"/>
      <c r="AK1898" s="32"/>
      <c r="AL1898" s="32"/>
      <c r="AM1898" s="32"/>
      <c r="AN1898" s="32"/>
      <c r="AO1898" s="32"/>
      <c r="AP1898" s="29"/>
    </row>
    <row r="1899">
      <c r="A1899" s="115"/>
      <c r="B1899" s="116"/>
      <c r="C1899" s="115"/>
      <c r="D1899" s="115"/>
      <c r="E1899" s="115"/>
      <c r="F1899" s="115"/>
      <c r="G1899" s="115"/>
      <c r="H1899" s="115"/>
      <c r="I1899" s="115"/>
      <c r="J1899" s="115"/>
      <c r="K1899" s="115"/>
      <c r="L1899" s="115"/>
      <c r="O1899" s="116"/>
      <c r="Q1899" s="116"/>
      <c r="T1899" s="114"/>
      <c r="Y1899" s="118"/>
      <c r="Z1899" s="29"/>
      <c r="AA1899" s="29"/>
      <c r="AB1899" s="29"/>
      <c r="AC1899" s="29"/>
      <c r="AD1899" s="29"/>
      <c r="AE1899" s="29"/>
      <c r="AF1899" s="29"/>
      <c r="AG1899" s="29"/>
      <c r="AH1899" s="123"/>
      <c r="AI1899" s="32"/>
      <c r="AJ1899" s="32"/>
      <c r="AK1899" s="32"/>
      <c r="AL1899" s="32"/>
      <c r="AM1899" s="32"/>
      <c r="AN1899" s="32"/>
      <c r="AO1899" s="32"/>
      <c r="AP1899" s="29"/>
    </row>
    <row r="1900">
      <c r="A1900" s="115"/>
      <c r="B1900" s="116"/>
      <c r="C1900" s="115"/>
      <c r="D1900" s="115"/>
      <c r="E1900" s="115"/>
      <c r="F1900" s="115"/>
      <c r="G1900" s="115"/>
      <c r="H1900" s="115"/>
      <c r="I1900" s="115"/>
      <c r="J1900" s="115"/>
      <c r="K1900" s="115"/>
      <c r="L1900" s="115"/>
      <c r="O1900" s="116"/>
      <c r="Q1900" s="116"/>
      <c r="T1900" s="114"/>
      <c r="Y1900" s="118"/>
      <c r="Z1900" s="29"/>
      <c r="AA1900" s="29"/>
      <c r="AB1900" s="29"/>
      <c r="AC1900" s="29"/>
      <c r="AD1900" s="29"/>
      <c r="AE1900" s="29"/>
      <c r="AF1900" s="29"/>
      <c r="AG1900" s="29"/>
      <c r="AH1900" s="123"/>
      <c r="AI1900" s="32"/>
      <c r="AJ1900" s="32"/>
      <c r="AK1900" s="32"/>
      <c r="AL1900" s="32"/>
      <c r="AM1900" s="32"/>
      <c r="AN1900" s="32"/>
      <c r="AO1900" s="32"/>
      <c r="AP1900" s="29"/>
    </row>
    <row r="1901">
      <c r="A1901" s="115"/>
      <c r="B1901" s="116"/>
      <c r="C1901" s="115"/>
      <c r="D1901" s="115"/>
      <c r="E1901" s="115"/>
      <c r="F1901" s="115"/>
      <c r="G1901" s="115"/>
      <c r="H1901" s="115"/>
      <c r="I1901" s="115"/>
      <c r="J1901" s="115"/>
      <c r="K1901" s="115"/>
      <c r="L1901" s="115"/>
      <c r="O1901" s="116"/>
      <c r="Q1901" s="116"/>
      <c r="T1901" s="114"/>
      <c r="Y1901" s="118"/>
      <c r="Z1901" s="29"/>
      <c r="AA1901" s="29"/>
      <c r="AB1901" s="29"/>
      <c r="AC1901" s="29"/>
      <c r="AD1901" s="29"/>
      <c r="AE1901" s="29"/>
      <c r="AF1901" s="29"/>
      <c r="AG1901" s="29"/>
      <c r="AH1901" s="123"/>
      <c r="AI1901" s="32"/>
      <c r="AJ1901" s="32"/>
      <c r="AK1901" s="32"/>
      <c r="AL1901" s="32"/>
      <c r="AM1901" s="32"/>
      <c r="AN1901" s="32"/>
      <c r="AO1901" s="32"/>
      <c r="AP1901" s="29"/>
    </row>
    <row r="1902">
      <c r="A1902" s="115"/>
      <c r="B1902" s="116"/>
      <c r="C1902" s="115"/>
      <c r="D1902" s="115"/>
      <c r="E1902" s="115"/>
      <c r="F1902" s="115"/>
      <c r="G1902" s="115"/>
      <c r="H1902" s="115"/>
      <c r="I1902" s="115"/>
      <c r="J1902" s="115"/>
      <c r="K1902" s="115"/>
      <c r="L1902" s="115"/>
      <c r="O1902" s="116"/>
      <c r="Q1902" s="116"/>
      <c r="T1902" s="114"/>
      <c r="Y1902" s="118"/>
      <c r="Z1902" s="29"/>
      <c r="AA1902" s="29"/>
      <c r="AB1902" s="29"/>
      <c r="AC1902" s="29"/>
      <c r="AD1902" s="29"/>
      <c r="AE1902" s="29"/>
      <c r="AF1902" s="29"/>
      <c r="AG1902" s="29"/>
      <c r="AH1902" s="123"/>
      <c r="AI1902" s="32"/>
      <c r="AJ1902" s="32"/>
      <c r="AK1902" s="32"/>
      <c r="AL1902" s="32"/>
      <c r="AM1902" s="32"/>
      <c r="AN1902" s="32"/>
      <c r="AO1902" s="32"/>
      <c r="AP1902" s="29"/>
    </row>
    <row r="1903">
      <c r="A1903" s="115"/>
      <c r="B1903" s="116"/>
      <c r="C1903" s="115"/>
      <c r="D1903" s="115"/>
      <c r="E1903" s="115"/>
      <c r="F1903" s="115"/>
      <c r="G1903" s="115"/>
      <c r="H1903" s="115"/>
      <c r="I1903" s="115"/>
      <c r="J1903" s="115"/>
      <c r="K1903" s="115"/>
      <c r="L1903" s="115"/>
      <c r="O1903" s="116"/>
      <c r="Q1903" s="116"/>
      <c r="T1903" s="114"/>
      <c r="Y1903" s="118"/>
      <c r="Z1903" s="29"/>
      <c r="AA1903" s="29"/>
      <c r="AB1903" s="29"/>
      <c r="AC1903" s="29"/>
      <c r="AD1903" s="29"/>
      <c r="AE1903" s="29"/>
      <c r="AF1903" s="29"/>
      <c r="AG1903" s="29"/>
      <c r="AH1903" s="123"/>
      <c r="AI1903" s="32"/>
      <c r="AJ1903" s="32"/>
      <c r="AK1903" s="32"/>
      <c r="AL1903" s="32"/>
      <c r="AM1903" s="32"/>
      <c r="AN1903" s="32"/>
      <c r="AO1903" s="32"/>
      <c r="AP1903" s="29"/>
    </row>
    <row r="1904">
      <c r="A1904" s="115"/>
      <c r="B1904" s="116"/>
      <c r="C1904" s="115"/>
      <c r="D1904" s="115"/>
      <c r="E1904" s="115"/>
      <c r="F1904" s="115"/>
      <c r="G1904" s="115"/>
      <c r="H1904" s="115"/>
      <c r="I1904" s="115"/>
      <c r="J1904" s="115"/>
      <c r="K1904" s="115"/>
      <c r="L1904" s="115"/>
      <c r="O1904" s="116"/>
      <c r="Q1904" s="116"/>
      <c r="T1904" s="114"/>
      <c r="Y1904" s="118"/>
      <c r="Z1904" s="29"/>
      <c r="AA1904" s="29"/>
      <c r="AB1904" s="29"/>
      <c r="AC1904" s="29"/>
      <c r="AD1904" s="29"/>
      <c r="AE1904" s="29"/>
      <c r="AF1904" s="29"/>
      <c r="AG1904" s="29"/>
      <c r="AH1904" s="123"/>
      <c r="AI1904" s="32"/>
      <c r="AJ1904" s="32"/>
      <c r="AK1904" s="32"/>
      <c r="AL1904" s="32"/>
      <c r="AM1904" s="32"/>
      <c r="AN1904" s="32"/>
      <c r="AO1904" s="32"/>
      <c r="AP1904" s="29"/>
    </row>
    <row r="1905">
      <c r="A1905" s="115"/>
      <c r="B1905" s="116"/>
      <c r="C1905" s="115"/>
      <c r="D1905" s="115"/>
      <c r="E1905" s="115"/>
      <c r="F1905" s="115"/>
      <c r="G1905" s="115"/>
      <c r="H1905" s="115"/>
      <c r="I1905" s="115"/>
      <c r="J1905" s="115"/>
      <c r="K1905" s="115"/>
      <c r="L1905" s="115"/>
      <c r="O1905" s="116"/>
      <c r="Q1905" s="116"/>
      <c r="T1905" s="114"/>
      <c r="Y1905" s="118"/>
      <c r="Z1905" s="29"/>
      <c r="AA1905" s="29"/>
      <c r="AB1905" s="29"/>
      <c r="AC1905" s="29"/>
      <c r="AD1905" s="29"/>
      <c r="AE1905" s="29"/>
      <c r="AF1905" s="29"/>
      <c r="AG1905" s="29"/>
      <c r="AH1905" s="123"/>
      <c r="AI1905" s="32"/>
      <c r="AJ1905" s="32"/>
      <c r="AK1905" s="32"/>
      <c r="AL1905" s="32"/>
      <c r="AM1905" s="32"/>
      <c r="AN1905" s="32"/>
      <c r="AO1905" s="32"/>
      <c r="AP1905" s="29"/>
    </row>
    <row r="1906">
      <c r="A1906" s="115"/>
      <c r="B1906" s="116"/>
      <c r="C1906" s="115"/>
      <c r="D1906" s="115"/>
      <c r="E1906" s="115"/>
      <c r="F1906" s="115"/>
      <c r="G1906" s="115"/>
      <c r="H1906" s="115"/>
      <c r="I1906" s="115"/>
      <c r="J1906" s="115"/>
      <c r="K1906" s="115"/>
      <c r="L1906" s="115"/>
      <c r="O1906" s="116"/>
      <c r="Q1906" s="116"/>
      <c r="T1906" s="114"/>
      <c r="Y1906" s="118"/>
      <c r="Z1906" s="29"/>
      <c r="AA1906" s="29"/>
      <c r="AB1906" s="29"/>
      <c r="AC1906" s="29"/>
      <c r="AD1906" s="29"/>
      <c r="AE1906" s="29"/>
      <c r="AF1906" s="29"/>
      <c r="AG1906" s="29"/>
      <c r="AH1906" s="123"/>
      <c r="AI1906" s="32"/>
      <c r="AJ1906" s="32"/>
      <c r="AK1906" s="32"/>
      <c r="AL1906" s="32"/>
      <c r="AM1906" s="32"/>
      <c r="AN1906" s="32"/>
      <c r="AO1906" s="32"/>
      <c r="AP1906" s="29"/>
    </row>
    <row r="1907">
      <c r="A1907" s="115"/>
      <c r="B1907" s="116"/>
      <c r="C1907" s="115"/>
      <c r="D1907" s="115"/>
      <c r="E1907" s="115"/>
      <c r="F1907" s="115"/>
      <c r="G1907" s="115"/>
      <c r="H1907" s="115"/>
      <c r="I1907" s="115"/>
      <c r="J1907" s="115"/>
      <c r="K1907" s="115"/>
      <c r="L1907" s="115"/>
      <c r="O1907" s="116"/>
      <c r="Q1907" s="116"/>
      <c r="T1907" s="114"/>
      <c r="Y1907" s="118"/>
      <c r="Z1907" s="29"/>
      <c r="AA1907" s="29"/>
      <c r="AB1907" s="29"/>
      <c r="AC1907" s="29"/>
      <c r="AD1907" s="29"/>
      <c r="AE1907" s="29"/>
      <c r="AF1907" s="29"/>
      <c r="AG1907" s="29"/>
      <c r="AH1907" s="123"/>
      <c r="AI1907" s="32"/>
      <c r="AJ1907" s="32"/>
      <c r="AK1907" s="32"/>
      <c r="AL1907" s="32"/>
      <c r="AM1907" s="32"/>
      <c r="AN1907" s="32"/>
      <c r="AO1907" s="32"/>
      <c r="AP1907" s="29"/>
    </row>
    <row r="1908">
      <c r="A1908" s="115"/>
      <c r="B1908" s="116"/>
      <c r="C1908" s="115"/>
      <c r="D1908" s="115"/>
      <c r="E1908" s="115"/>
      <c r="F1908" s="115"/>
      <c r="G1908" s="115"/>
      <c r="H1908" s="115"/>
      <c r="I1908" s="115"/>
      <c r="J1908" s="115"/>
      <c r="K1908" s="115"/>
      <c r="L1908" s="115"/>
      <c r="O1908" s="116"/>
      <c r="Q1908" s="116"/>
      <c r="T1908" s="114"/>
      <c r="Y1908" s="118"/>
      <c r="Z1908" s="29"/>
      <c r="AA1908" s="29"/>
      <c r="AB1908" s="29"/>
      <c r="AC1908" s="29"/>
      <c r="AD1908" s="29"/>
      <c r="AE1908" s="29"/>
      <c r="AF1908" s="29"/>
      <c r="AG1908" s="29"/>
      <c r="AH1908" s="123"/>
      <c r="AI1908" s="32"/>
      <c r="AJ1908" s="32"/>
      <c r="AK1908" s="32"/>
      <c r="AL1908" s="32"/>
      <c r="AM1908" s="32"/>
      <c r="AN1908" s="32"/>
      <c r="AO1908" s="32"/>
      <c r="AP1908" s="29"/>
    </row>
    <row r="1909">
      <c r="A1909" s="115"/>
      <c r="B1909" s="116"/>
      <c r="C1909" s="115"/>
      <c r="D1909" s="115"/>
      <c r="E1909" s="115"/>
      <c r="F1909" s="115"/>
      <c r="G1909" s="115"/>
      <c r="H1909" s="115"/>
      <c r="I1909" s="115"/>
      <c r="J1909" s="115"/>
      <c r="K1909" s="115"/>
      <c r="L1909" s="115"/>
      <c r="O1909" s="116"/>
      <c r="Q1909" s="116"/>
      <c r="T1909" s="114"/>
      <c r="Y1909" s="118"/>
      <c r="Z1909" s="29"/>
      <c r="AA1909" s="29"/>
      <c r="AB1909" s="29"/>
      <c r="AC1909" s="29"/>
      <c r="AD1909" s="29"/>
      <c r="AE1909" s="29"/>
      <c r="AF1909" s="29"/>
      <c r="AG1909" s="29"/>
      <c r="AH1909" s="123"/>
      <c r="AI1909" s="32"/>
      <c r="AJ1909" s="32"/>
      <c r="AK1909" s="32"/>
      <c r="AL1909" s="32"/>
      <c r="AM1909" s="32"/>
      <c r="AN1909" s="32"/>
      <c r="AO1909" s="32"/>
      <c r="AP1909" s="29"/>
    </row>
    <row r="1910">
      <c r="A1910" s="115"/>
      <c r="B1910" s="116"/>
      <c r="C1910" s="115"/>
      <c r="D1910" s="115"/>
      <c r="E1910" s="115"/>
      <c r="F1910" s="115"/>
      <c r="G1910" s="115"/>
      <c r="H1910" s="115"/>
      <c r="I1910" s="115"/>
      <c r="J1910" s="115"/>
      <c r="K1910" s="115"/>
      <c r="L1910" s="115"/>
      <c r="O1910" s="116"/>
      <c r="Q1910" s="116"/>
      <c r="T1910" s="114"/>
      <c r="Y1910" s="118"/>
      <c r="Z1910" s="29"/>
      <c r="AA1910" s="29"/>
      <c r="AB1910" s="29"/>
      <c r="AC1910" s="29"/>
      <c r="AD1910" s="29"/>
      <c r="AE1910" s="29"/>
      <c r="AF1910" s="29"/>
      <c r="AG1910" s="29"/>
      <c r="AH1910" s="123"/>
      <c r="AI1910" s="32"/>
      <c r="AJ1910" s="32"/>
      <c r="AK1910" s="32"/>
      <c r="AL1910" s="32"/>
      <c r="AM1910" s="32"/>
      <c r="AN1910" s="32"/>
      <c r="AO1910" s="32"/>
      <c r="AP1910" s="29"/>
    </row>
    <row r="1911">
      <c r="A1911" s="115"/>
      <c r="B1911" s="116"/>
      <c r="C1911" s="115"/>
      <c r="D1911" s="115"/>
      <c r="E1911" s="115"/>
      <c r="F1911" s="115"/>
      <c r="G1911" s="115"/>
      <c r="H1911" s="115"/>
      <c r="I1911" s="115"/>
      <c r="J1911" s="115"/>
      <c r="K1911" s="115"/>
      <c r="L1911" s="115"/>
      <c r="O1911" s="116"/>
      <c r="Q1911" s="116"/>
      <c r="T1911" s="114"/>
      <c r="Y1911" s="118"/>
      <c r="Z1911" s="29"/>
      <c r="AA1911" s="29"/>
      <c r="AB1911" s="29"/>
      <c r="AC1911" s="29"/>
      <c r="AD1911" s="29"/>
      <c r="AE1911" s="29"/>
      <c r="AF1911" s="29"/>
      <c r="AG1911" s="29"/>
      <c r="AH1911" s="123"/>
      <c r="AI1911" s="32"/>
      <c r="AJ1911" s="32"/>
      <c r="AK1911" s="32"/>
      <c r="AL1911" s="32"/>
      <c r="AM1911" s="32"/>
      <c r="AN1911" s="32"/>
      <c r="AO1911" s="32"/>
      <c r="AP1911" s="29"/>
    </row>
    <row r="1912">
      <c r="A1912" s="115"/>
      <c r="B1912" s="116"/>
      <c r="C1912" s="115"/>
      <c r="D1912" s="115"/>
      <c r="E1912" s="115"/>
      <c r="F1912" s="115"/>
      <c r="G1912" s="115"/>
      <c r="H1912" s="115"/>
      <c r="I1912" s="115"/>
      <c r="J1912" s="115"/>
      <c r="K1912" s="115"/>
      <c r="L1912" s="115"/>
      <c r="O1912" s="116"/>
      <c r="Q1912" s="116"/>
      <c r="T1912" s="114"/>
      <c r="Y1912" s="118"/>
      <c r="Z1912" s="29"/>
      <c r="AA1912" s="29"/>
      <c r="AB1912" s="29"/>
      <c r="AC1912" s="29"/>
      <c r="AD1912" s="29"/>
      <c r="AE1912" s="29"/>
      <c r="AF1912" s="29"/>
      <c r="AG1912" s="29"/>
      <c r="AH1912" s="123"/>
      <c r="AI1912" s="32"/>
      <c r="AJ1912" s="32"/>
      <c r="AK1912" s="32"/>
      <c r="AL1912" s="32"/>
      <c r="AM1912" s="32"/>
      <c r="AN1912" s="32"/>
      <c r="AO1912" s="32"/>
      <c r="AP1912" s="29"/>
    </row>
    <row r="1913">
      <c r="A1913" s="115"/>
      <c r="B1913" s="116"/>
      <c r="C1913" s="115"/>
      <c r="D1913" s="115"/>
      <c r="E1913" s="115"/>
      <c r="F1913" s="115"/>
      <c r="G1913" s="115"/>
      <c r="H1913" s="115"/>
      <c r="I1913" s="115"/>
      <c r="J1913" s="115"/>
      <c r="K1913" s="115"/>
      <c r="L1913" s="115"/>
      <c r="O1913" s="116"/>
      <c r="Q1913" s="116"/>
      <c r="T1913" s="114"/>
      <c r="Y1913" s="118"/>
      <c r="Z1913" s="29"/>
      <c r="AA1913" s="29"/>
      <c r="AB1913" s="29"/>
      <c r="AC1913" s="29"/>
      <c r="AD1913" s="29"/>
      <c r="AE1913" s="29"/>
      <c r="AF1913" s="29"/>
      <c r="AG1913" s="29"/>
      <c r="AH1913" s="123"/>
      <c r="AI1913" s="32"/>
      <c r="AJ1913" s="32"/>
      <c r="AK1913" s="32"/>
      <c r="AL1913" s="32"/>
      <c r="AM1913" s="32"/>
      <c r="AN1913" s="32"/>
      <c r="AO1913" s="32"/>
      <c r="AP1913" s="29"/>
    </row>
    <row r="1914">
      <c r="A1914" s="115"/>
      <c r="B1914" s="116"/>
      <c r="C1914" s="115"/>
      <c r="D1914" s="115"/>
      <c r="E1914" s="115"/>
      <c r="F1914" s="115"/>
      <c r="G1914" s="115"/>
      <c r="H1914" s="115"/>
      <c r="I1914" s="115"/>
      <c r="J1914" s="115"/>
      <c r="K1914" s="115"/>
      <c r="L1914" s="115"/>
      <c r="O1914" s="116"/>
      <c r="Q1914" s="116"/>
      <c r="T1914" s="114"/>
      <c r="Y1914" s="118"/>
      <c r="Z1914" s="29"/>
      <c r="AA1914" s="29"/>
      <c r="AB1914" s="29"/>
      <c r="AC1914" s="29"/>
      <c r="AD1914" s="29"/>
      <c r="AE1914" s="29"/>
      <c r="AF1914" s="29"/>
      <c r="AG1914" s="29"/>
      <c r="AH1914" s="123"/>
      <c r="AI1914" s="32"/>
      <c r="AJ1914" s="32"/>
      <c r="AK1914" s="32"/>
      <c r="AL1914" s="32"/>
      <c r="AM1914" s="32"/>
      <c r="AN1914" s="32"/>
      <c r="AO1914" s="32"/>
      <c r="AP1914" s="29"/>
    </row>
    <row r="1915">
      <c r="A1915" s="115"/>
      <c r="B1915" s="116"/>
      <c r="C1915" s="115"/>
      <c r="D1915" s="115"/>
      <c r="E1915" s="115"/>
      <c r="F1915" s="115"/>
      <c r="G1915" s="115"/>
      <c r="H1915" s="115"/>
      <c r="I1915" s="115"/>
      <c r="J1915" s="115"/>
      <c r="K1915" s="115"/>
      <c r="L1915" s="115"/>
      <c r="O1915" s="116"/>
      <c r="Q1915" s="116"/>
      <c r="T1915" s="114"/>
      <c r="Y1915" s="118"/>
      <c r="Z1915" s="29"/>
      <c r="AA1915" s="29"/>
      <c r="AB1915" s="29"/>
      <c r="AC1915" s="29"/>
      <c r="AD1915" s="29"/>
      <c r="AE1915" s="29"/>
      <c r="AF1915" s="29"/>
      <c r="AG1915" s="29"/>
      <c r="AH1915" s="123"/>
      <c r="AI1915" s="32"/>
      <c r="AJ1915" s="32"/>
      <c r="AK1915" s="32"/>
      <c r="AL1915" s="32"/>
      <c r="AM1915" s="32"/>
      <c r="AN1915" s="32"/>
      <c r="AO1915" s="32"/>
      <c r="AP1915" s="29"/>
    </row>
    <row r="1916">
      <c r="A1916" s="115"/>
      <c r="B1916" s="116"/>
      <c r="C1916" s="115"/>
      <c r="D1916" s="115"/>
      <c r="E1916" s="115"/>
      <c r="F1916" s="115"/>
      <c r="G1916" s="115"/>
      <c r="H1916" s="115"/>
      <c r="I1916" s="115"/>
      <c r="J1916" s="115"/>
      <c r="K1916" s="115"/>
      <c r="L1916" s="115"/>
      <c r="O1916" s="116"/>
      <c r="Q1916" s="116"/>
      <c r="T1916" s="114"/>
      <c r="Y1916" s="118"/>
      <c r="Z1916" s="29"/>
      <c r="AA1916" s="29"/>
      <c r="AB1916" s="29"/>
      <c r="AC1916" s="29"/>
      <c r="AD1916" s="29"/>
      <c r="AE1916" s="29"/>
      <c r="AF1916" s="29"/>
      <c r="AG1916" s="29"/>
      <c r="AH1916" s="123"/>
      <c r="AI1916" s="32"/>
      <c r="AJ1916" s="32"/>
      <c r="AK1916" s="32"/>
      <c r="AL1916" s="32"/>
      <c r="AM1916" s="32"/>
      <c r="AN1916" s="32"/>
      <c r="AO1916" s="32"/>
      <c r="AP1916" s="29"/>
    </row>
    <row r="1917">
      <c r="A1917" s="115"/>
      <c r="B1917" s="116"/>
      <c r="C1917" s="115"/>
      <c r="D1917" s="115"/>
      <c r="E1917" s="115"/>
      <c r="F1917" s="115"/>
      <c r="G1917" s="115"/>
      <c r="H1917" s="115"/>
      <c r="I1917" s="115"/>
      <c r="J1917" s="115"/>
      <c r="K1917" s="115"/>
      <c r="L1917" s="115"/>
      <c r="O1917" s="116"/>
      <c r="Q1917" s="116"/>
      <c r="T1917" s="114"/>
      <c r="Y1917" s="118"/>
      <c r="Z1917" s="29"/>
      <c r="AA1917" s="29"/>
      <c r="AB1917" s="29"/>
      <c r="AC1917" s="29"/>
      <c r="AD1917" s="29"/>
      <c r="AE1917" s="29"/>
      <c r="AF1917" s="29"/>
      <c r="AG1917" s="29"/>
      <c r="AH1917" s="123"/>
      <c r="AI1917" s="32"/>
      <c r="AJ1917" s="32"/>
      <c r="AK1917" s="32"/>
      <c r="AL1917" s="32"/>
      <c r="AM1917" s="32"/>
      <c r="AN1917" s="32"/>
      <c r="AO1917" s="32"/>
      <c r="AP1917" s="29"/>
    </row>
    <row r="1918">
      <c r="A1918" s="115"/>
      <c r="B1918" s="116"/>
      <c r="C1918" s="115"/>
      <c r="D1918" s="115"/>
      <c r="E1918" s="115"/>
      <c r="F1918" s="115"/>
      <c r="G1918" s="115"/>
      <c r="H1918" s="115"/>
      <c r="I1918" s="115"/>
      <c r="J1918" s="115"/>
      <c r="K1918" s="115"/>
      <c r="L1918" s="115"/>
      <c r="O1918" s="116"/>
      <c r="Q1918" s="116"/>
      <c r="T1918" s="114"/>
      <c r="Y1918" s="118"/>
      <c r="Z1918" s="29"/>
      <c r="AA1918" s="29"/>
      <c r="AB1918" s="29"/>
      <c r="AC1918" s="29"/>
      <c r="AD1918" s="29"/>
      <c r="AE1918" s="29"/>
      <c r="AF1918" s="29"/>
      <c r="AG1918" s="29"/>
      <c r="AH1918" s="123"/>
      <c r="AI1918" s="32"/>
      <c r="AJ1918" s="32"/>
      <c r="AK1918" s="32"/>
      <c r="AL1918" s="32"/>
      <c r="AM1918" s="32"/>
      <c r="AN1918" s="32"/>
      <c r="AO1918" s="32"/>
      <c r="AP1918" s="29"/>
    </row>
    <row r="1919">
      <c r="A1919" s="115"/>
      <c r="B1919" s="116"/>
      <c r="C1919" s="115"/>
      <c r="D1919" s="115"/>
      <c r="E1919" s="115"/>
      <c r="F1919" s="115"/>
      <c r="G1919" s="115"/>
      <c r="H1919" s="115"/>
      <c r="I1919" s="115"/>
      <c r="J1919" s="115"/>
      <c r="K1919" s="115"/>
      <c r="L1919" s="115"/>
      <c r="O1919" s="116"/>
      <c r="Q1919" s="116"/>
      <c r="T1919" s="114"/>
      <c r="Y1919" s="118"/>
      <c r="Z1919" s="29"/>
      <c r="AA1919" s="29"/>
      <c r="AB1919" s="29"/>
      <c r="AC1919" s="29"/>
      <c r="AD1919" s="29"/>
      <c r="AE1919" s="29"/>
      <c r="AF1919" s="29"/>
      <c r="AG1919" s="29"/>
      <c r="AH1919" s="123"/>
      <c r="AI1919" s="32"/>
      <c r="AJ1919" s="32"/>
      <c r="AK1919" s="32"/>
      <c r="AL1919" s="32"/>
      <c r="AM1919" s="32"/>
      <c r="AN1919" s="32"/>
      <c r="AO1919" s="32"/>
      <c r="AP1919" s="29"/>
    </row>
    <row r="1920">
      <c r="A1920" s="115"/>
      <c r="B1920" s="116"/>
      <c r="C1920" s="115"/>
      <c r="D1920" s="115"/>
      <c r="E1920" s="115"/>
      <c r="F1920" s="115"/>
      <c r="G1920" s="115"/>
      <c r="H1920" s="115"/>
      <c r="I1920" s="115"/>
      <c r="J1920" s="115"/>
      <c r="K1920" s="115"/>
      <c r="L1920" s="115"/>
      <c r="O1920" s="116"/>
      <c r="Q1920" s="116"/>
      <c r="T1920" s="114"/>
      <c r="Y1920" s="118"/>
      <c r="Z1920" s="29"/>
      <c r="AA1920" s="29"/>
      <c r="AB1920" s="29"/>
      <c r="AC1920" s="29"/>
      <c r="AD1920" s="29"/>
      <c r="AE1920" s="29"/>
      <c r="AF1920" s="29"/>
      <c r="AG1920" s="29"/>
      <c r="AH1920" s="123"/>
      <c r="AI1920" s="32"/>
      <c r="AJ1920" s="32"/>
      <c r="AK1920" s="32"/>
      <c r="AL1920" s="32"/>
      <c r="AM1920" s="32"/>
      <c r="AN1920" s="32"/>
      <c r="AO1920" s="32"/>
      <c r="AP1920" s="29"/>
    </row>
    <row r="1921">
      <c r="A1921" s="115"/>
      <c r="B1921" s="116"/>
      <c r="C1921" s="115"/>
      <c r="D1921" s="115"/>
      <c r="E1921" s="115"/>
      <c r="F1921" s="115"/>
      <c r="G1921" s="115"/>
      <c r="H1921" s="115"/>
      <c r="I1921" s="115"/>
      <c r="J1921" s="115"/>
      <c r="K1921" s="115"/>
      <c r="L1921" s="115"/>
      <c r="O1921" s="116"/>
      <c r="Q1921" s="116"/>
      <c r="T1921" s="114"/>
      <c r="Y1921" s="118"/>
      <c r="Z1921" s="29"/>
      <c r="AA1921" s="29"/>
      <c r="AB1921" s="29"/>
      <c r="AC1921" s="29"/>
      <c r="AD1921" s="29"/>
      <c r="AE1921" s="29"/>
      <c r="AF1921" s="29"/>
      <c r="AG1921" s="29"/>
      <c r="AH1921" s="123"/>
      <c r="AI1921" s="32"/>
      <c r="AJ1921" s="32"/>
      <c r="AK1921" s="32"/>
      <c r="AL1921" s="32"/>
      <c r="AM1921" s="32"/>
      <c r="AN1921" s="32"/>
      <c r="AO1921" s="32"/>
      <c r="AP1921" s="29"/>
    </row>
    <row r="1922">
      <c r="A1922" s="115"/>
      <c r="B1922" s="116"/>
      <c r="C1922" s="115"/>
      <c r="D1922" s="115"/>
      <c r="E1922" s="115"/>
      <c r="F1922" s="115"/>
      <c r="G1922" s="115"/>
      <c r="H1922" s="115"/>
      <c r="I1922" s="115"/>
      <c r="J1922" s="115"/>
      <c r="K1922" s="115"/>
      <c r="L1922" s="115"/>
      <c r="O1922" s="116"/>
      <c r="Q1922" s="116"/>
      <c r="T1922" s="114"/>
      <c r="Y1922" s="118"/>
      <c r="Z1922" s="29"/>
      <c r="AA1922" s="29"/>
      <c r="AB1922" s="29"/>
      <c r="AC1922" s="29"/>
      <c r="AD1922" s="29"/>
      <c r="AE1922" s="29"/>
      <c r="AF1922" s="29"/>
      <c r="AG1922" s="29"/>
      <c r="AH1922" s="123"/>
      <c r="AI1922" s="32"/>
      <c r="AJ1922" s="32"/>
      <c r="AK1922" s="32"/>
      <c r="AL1922" s="32"/>
      <c r="AM1922" s="32"/>
      <c r="AN1922" s="32"/>
      <c r="AO1922" s="32"/>
      <c r="AP1922" s="29"/>
    </row>
    <row r="1923">
      <c r="A1923" s="115"/>
      <c r="B1923" s="116"/>
      <c r="C1923" s="115"/>
      <c r="D1923" s="115"/>
      <c r="E1923" s="115"/>
      <c r="F1923" s="115"/>
      <c r="G1923" s="115"/>
      <c r="H1923" s="115"/>
      <c r="I1923" s="115"/>
      <c r="J1923" s="115"/>
      <c r="K1923" s="115"/>
      <c r="L1923" s="115"/>
      <c r="O1923" s="116"/>
      <c r="Q1923" s="116"/>
      <c r="T1923" s="114"/>
      <c r="Y1923" s="118"/>
      <c r="Z1923" s="29"/>
      <c r="AA1923" s="29"/>
      <c r="AB1923" s="29"/>
      <c r="AC1923" s="29"/>
      <c r="AD1923" s="29"/>
      <c r="AE1923" s="29"/>
      <c r="AF1923" s="29"/>
      <c r="AG1923" s="29"/>
      <c r="AH1923" s="123"/>
      <c r="AI1923" s="32"/>
      <c r="AJ1923" s="32"/>
      <c r="AK1923" s="32"/>
      <c r="AL1923" s="32"/>
      <c r="AM1923" s="32"/>
      <c r="AN1923" s="32"/>
      <c r="AO1923" s="32"/>
      <c r="AP1923" s="29"/>
    </row>
    <row r="1924">
      <c r="A1924" s="115"/>
      <c r="B1924" s="116"/>
      <c r="C1924" s="115"/>
      <c r="D1924" s="115"/>
      <c r="E1924" s="115"/>
      <c r="F1924" s="115"/>
      <c r="G1924" s="115"/>
      <c r="H1924" s="115"/>
      <c r="I1924" s="115"/>
      <c r="J1924" s="115"/>
      <c r="K1924" s="115"/>
      <c r="L1924" s="115"/>
      <c r="O1924" s="116"/>
      <c r="Q1924" s="116"/>
      <c r="T1924" s="114"/>
      <c r="Y1924" s="118"/>
      <c r="Z1924" s="29"/>
      <c r="AA1924" s="29"/>
      <c r="AB1924" s="29"/>
      <c r="AC1924" s="29"/>
      <c r="AD1924" s="29"/>
      <c r="AE1924" s="29"/>
      <c r="AF1924" s="29"/>
      <c r="AG1924" s="29"/>
      <c r="AH1924" s="123"/>
      <c r="AI1924" s="32"/>
      <c r="AJ1924" s="32"/>
      <c r="AK1924" s="32"/>
      <c r="AL1924" s="32"/>
      <c r="AM1924" s="32"/>
      <c r="AN1924" s="32"/>
      <c r="AO1924" s="32"/>
      <c r="AP1924" s="29"/>
    </row>
    <row r="1925">
      <c r="A1925" s="115"/>
      <c r="B1925" s="116"/>
      <c r="C1925" s="115"/>
      <c r="D1925" s="115"/>
      <c r="E1925" s="115"/>
      <c r="F1925" s="115"/>
      <c r="G1925" s="115"/>
      <c r="H1925" s="115"/>
      <c r="I1925" s="115"/>
      <c r="J1925" s="115"/>
      <c r="K1925" s="115"/>
      <c r="L1925" s="115"/>
      <c r="O1925" s="116"/>
      <c r="Q1925" s="116"/>
      <c r="T1925" s="114"/>
      <c r="Y1925" s="118"/>
      <c r="Z1925" s="29"/>
      <c r="AA1925" s="29"/>
      <c r="AB1925" s="29"/>
      <c r="AC1925" s="29"/>
      <c r="AD1925" s="29"/>
      <c r="AE1925" s="29"/>
      <c r="AF1925" s="29"/>
      <c r="AG1925" s="29"/>
      <c r="AH1925" s="123"/>
      <c r="AI1925" s="32"/>
      <c r="AJ1925" s="32"/>
      <c r="AK1925" s="32"/>
      <c r="AL1925" s="32"/>
      <c r="AM1925" s="32"/>
      <c r="AN1925" s="32"/>
      <c r="AO1925" s="32"/>
      <c r="AP1925" s="29"/>
    </row>
    <row r="1926">
      <c r="A1926" s="115"/>
      <c r="B1926" s="116"/>
      <c r="C1926" s="115"/>
      <c r="D1926" s="115"/>
      <c r="E1926" s="115"/>
      <c r="F1926" s="115"/>
      <c r="G1926" s="115"/>
      <c r="H1926" s="115"/>
      <c r="I1926" s="115"/>
      <c r="J1926" s="115"/>
      <c r="K1926" s="115"/>
      <c r="L1926" s="115"/>
      <c r="O1926" s="116"/>
      <c r="Q1926" s="116"/>
      <c r="T1926" s="114"/>
      <c r="Y1926" s="118"/>
      <c r="Z1926" s="29"/>
      <c r="AA1926" s="29"/>
      <c r="AB1926" s="29"/>
      <c r="AC1926" s="29"/>
      <c r="AD1926" s="29"/>
      <c r="AE1926" s="29"/>
      <c r="AF1926" s="29"/>
      <c r="AG1926" s="29"/>
      <c r="AH1926" s="123"/>
      <c r="AI1926" s="32"/>
      <c r="AJ1926" s="32"/>
      <c r="AK1926" s="32"/>
      <c r="AL1926" s="32"/>
      <c r="AM1926" s="32"/>
      <c r="AN1926" s="32"/>
      <c r="AO1926" s="32"/>
      <c r="AP1926" s="29"/>
    </row>
    <row r="1927">
      <c r="A1927" s="115"/>
      <c r="B1927" s="116"/>
      <c r="C1927" s="115"/>
      <c r="D1927" s="115"/>
      <c r="E1927" s="115"/>
      <c r="F1927" s="115"/>
      <c r="G1927" s="115"/>
      <c r="H1927" s="115"/>
      <c r="I1927" s="115"/>
      <c r="J1927" s="115"/>
      <c r="K1927" s="115"/>
      <c r="L1927" s="115"/>
      <c r="O1927" s="116"/>
      <c r="Q1927" s="116"/>
      <c r="T1927" s="114"/>
      <c r="Y1927" s="118"/>
      <c r="Z1927" s="29"/>
      <c r="AA1927" s="29"/>
      <c r="AB1927" s="29"/>
      <c r="AC1927" s="29"/>
      <c r="AD1927" s="29"/>
      <c r="AE1927" s="29"/>
      <c r="AF1927" s="29"/>
      <c r="AG1927" s="29"/>
      <c r="AH1927" s="123"/>
      <c r="AI1927" s="32"/>
      <c r="AJ1927" s="32"/>
      <c r="AK1927" s="32"/>
      <c r="AL1927" s="32"/>
      <c r="AM1927" s="32"/>
      <c r="AN1927" s="32"/>
      <c r="AO1927" s="32"/>
      <c r="AP1927" s="29"/>
    </row>
    <row r="1928">
      <c r="A1928" s="115"/>
      <c r="B1928" s="116"/>
      <c r="C1928" s="115"/>
      <c r="D1928" s="115"/>
      <c r="E1928" s="115"/>
      <c r="F1928" s="115"/>
      <c r="G1928" s="115"/>
      <c r="H1928" s="115"/>
      <c r="I1928" s="115"/>
      <c r="J1928" s="115"/>
      <c r="K1928" s="115"/>
      <c r="L1928" s="115"/>
      <c r="O1928" s="116"/>
      <c r="Q1928" s="116"/>
      <c r="T1928" s="114"/>
      <c r="Y1928" s="118"/>
      <c r="Z1928" s="29"/>
      <c r="AA1928" s="29"/>
      <c r="AB1928" s="29"/>
      <c r="AC1928" s="29"/>
      <c r="AD1928" s="29"/>
      <c r="AE1928" s="29"/>
      <c r="AF1928" s="29"/>
      <c r="AG1928" s="29"/>
      <c r="AH1928" s="123"/>
      <c r="AI1928" s="32"/>
      <c r="AJ1928" s="32"/>
      <c r="AK1928" s="32"/>
      <c r="AL1928" s="32"/>
      <c r="AM1928" s="32"/>
      <c r="AN1928" s="32"/>
      <c r="AO1928" s="32"/>
      <c r="AP1928" s="29"/>
    </row>
    <row r="1929">
      <c r="A1929" s="115"/>
      <c r="B1929" s="116"/>
      <c r="C1929" s="115"/>
      <c r="D1929" s="115"/>
      <c r="E1929" s="115"/>
      <c r="F1929" s="115"/>
      <c r="G1929" s="115"/>
      <c r="H1929" s="115"/>
      <c r="I1929" s="115"/>
      <c r="J1929" s="115"/>
      <c r="K1929" s="115"/>
      <c r="L1929" s="115"/>
      <c r="O1929" s="116"/>
      <c r="Q1929" s="116"/>
      <c r="T1929" s="114"/>
      <c r="Y1929" s="118"/>
      <c r="Z1929" s="29"/>
      <c r="AA1929" s="29"/>
      <c r="AB1929" s="29"/>
      <c r="AC1929" s="29"/>
      <c r="AD1929" s="29"/>
      <c r="AE1929" s="29"/>
      <c r="AF1929" s="29"/>
      <c r="AG1929" s="29"/>
      <c r="AH1929" s="123"/>
      <c r="AI1929" s="32"/>
      <c r="AJ1929" s="32"/>
      <c r="AK1929" s="32"/>
      <c r="AL1929" s="32"/>
      <c r="AM1929" s="32"/>
      <c r="AN1929" s="32"/>
      <c r="AO1929" s="32"/>
      <c r="AP1929" s="29"/>
    </row>
    <row r="1930">
      <c r="A1930" s="115"/>
      <c r="B1930" s="116"/>
      <c r="C1930" s="115"/>
      <c r="D1930" s="115"/>
      <c r="E1930" s="115"/>
      <c r="F1930" s="115"/>
      <c r="G1930" s="115"/>
      <c r="H1930" s="115"/>
      <c r="I1930" s="115"/>
      <c r="J1930" s="115"/>
      <c r="K1930" s="115"/>
      <c r="L1930" s="115"/>
      <c r="O1930" s="116"/>
      <c r="Q1930" s="116"/>
      <c r="T1930" s="114"/>
      <c r="Y1930" s="118"/>
      <c r="Z1930" s="29"/>
      <c r="AA1930" s="29"/>
      <c r="AB1930" s="29"/>
      <c r="AC1930" s="29"/>
      <c r="AD1930" s="29"/>
      <c r="AE1930" s="29"/>
      <c r="AF1930" s="29"/>
      <c r="AG1930" s="29"/>
      <c r="AH1930" s="123"/>
      <c r="AI1930" s="32"/>
      <c r="AJ1930" s="32"/>
      <c r="AK1930" s="32"/>
      <c r="AL1930" s="32"/>
      <c r="AM1930" s="32"/>
      <c r="AN1930" s="32"/>
      <c r="AO1930" s="32"/>
      <c r="AP1930" s="29"/>
    </row>
    <row r="1931">
      <c r="A1931" s="115"/>
      <c r="B1931" s="116"/>
      <c r="C1931" s="115"/>
      <c r="D1931" s="115"/>
      <c r="E1931" s="115"/>
      <c r="F1931" s="115"/>
      <c r="G1931" s="115"/>
      <c r="H1931" s="115"/>
      <c r="I1931" s="115"/>
      <c r="J1931" s="115"/>
      <c r="K1931" s="115"/>
      <c r="L1931" s="115"/>
      <c r="O1931" s="116"/>
      <c r="Q1931" s="116"/>
      <c r="T1931" s="114"/>
      <c r="Y1931" s="118"/>
      <c r="Z1931" s="29"/>
      <c r="AA1931" s="29"/>
      <c r="AB1931" s="29"/>
      <c r="AC1931" s="29"/>
      <c r="AD1931" s="29"/>
      <c r="AE1931" s="29"/>
      <c r="AF1931" s="29"/>
      <c r="AG1931" s="29"/>
      <c r="AH1931" s="123"/>
      <c r="AI1931" s="32"/>
      <c r="AJ1931" s="32"/>
      <c r="AK1931" s="32"/>
      <c r="AL1931" s="32"/>
      <c r="AM1931" s="32"/>
      <c r="AN1931" s="32"/>
      <c r="AO1931" s="32"/>
      <c r="AP1931" s="29"/>
    </row>
    <row r="1932">
      <c r="A1932" s="115"/>
      <c r="B1932" s="116"/>
      <c r="C1932" s="115"/>
      <c r="D1932" s="115"/>
      <c r="E1932" s="115"/>
      <c r="F1932" s="115"/>
      <c r="G1932" s="115"/>
      <c r="H1932" s="115"/>
      <c r="I1932" s="115"/>
      <c r="J1932" s="115"/>
      <c r="K1932" s="115"/>
      <c r="L1932" s="115"/>
      <c r="O1932" s="116"/>
      <c r="Q1932" s="116"/>
      <c r="T1932" s="114"/>
      <c r="Y1932" s="118"/>
      <c r="Z1932" s="29"/>
      <c r="AA1932" s="29"/>
      <c r="AB1932" s="29"/>
      <c r="AC1932" s="29"/>
      <c r="AD1932" s="29"/>
      <c r="AE1932" s="29"/>
      <c r="AF1932" s="29"/>
      <c r="AG1932" s="29"/>
      <c r="AH1932" s="123"/>
      <c r="AI1932" s="32"/>
      <c r="AJ1932" s="32"/>
      <c r="AK1932" s="32"/>
      <c r="AL1932" s="32"/>
      <c r="AM1932" s="32"/>
      <c r="AN1932" s="32"/>
      <c r="AO1932" s="32"/>
      <c r="AP1932" s="29"/>
    </row>
    <row r="1933">
      <c r="A1933" s="115"/>
      <c r="B1933" s="116"/>
      <c r="C1933" s="115"/>
      <c r="D1933" s="115"/>
      <c r="E1933" s="115"/>
      <c r="F1933" s="115"/>
      <c r="G1933" s="115"/>
      <c r="H1933" s="115"/>
      <c r="I1933" s="115"/>
      <c r="J1933" s="115"/>
      <c r="K1933" s="115"/>
      <c r="L1933" s="115"/>
      <c r="O1933" s="116"/>
      <c r="Q1933" s="116"/>
      <c r="T1933" s="114"/>
      <c r="Y1933" s="118"/>
      <c r="Z1933" s="29"/>
      <c r="AA1933" s="29"/>
      <c r="AB1933" s="29"/>
      <c r="AC1933" s="29"/>
      <c r="AD1933" s="29"/>
      <c r="AE1933" s="29"/>
      <c r="AF1933" s="29"/>
      <c r="AG1933" s="29"/>
      <c r="AH1933" s="123"/>
      <c r="AI1933" s="32"/>
      <c r="AJ1933" s="32"/>
      <c r="AK1933" s="32"/>
      <c r="AL1933" s="32"/>
      <c r="AM1933" s="32"/>
      <c r="AN1933" s="32"/>
      <c r="AO1933" s="32"/>
      <c r="AP1933" s="29"/>
    </row>
    <row r="1934">
      <c r="A1934" s="115"/>
      <c r="B1934" s="116"/>
      <c r="C1934" s="115"/>
      <c r="D1934" s="115"/>
      <c r="E1934" s="115"/>
      <c r="F1934" s="115"/>
      <c r="G1934" s="115"/>
      <c r="H1934" s="115"/>
      <c r="I1934" s="115"/>
      <c r="J1934" s="115"/>
      <c r="K1934" s="115"/>
      <c r="L1934" s="115"/>
      <c r="O1934" s="116"/>
      <c r="Q1934" s="116"/>
      <c r="T1934" s="114"/>
      <c r="Y1934" s="118"/>
      <c r="Z1934" s="29"/>
      <c r="AA1934" s="29"/>
      <c r="AB1934" s="29"/>
      <c r="AC1934" s="29"/>
      <c r="AD1934" s="29"/>
      <c r="AE1934" s="29"/>
      <c r="AF1934" s="29"/>
      <c r="AG1934" s="29"/>
      <c r="AH1934" s="123"/>
      <c r="AI1934" s="32"/>
      <c r="AJ1934" s="32"/>
      <c r="AK1934" s="32"/>
      <c r="AL1934" s="32"/>
      <c r="AM1934" s="32"/>
      <c r="AN1934" s="32"/>
      <c r="AO1934" s="32"/>
      <c r="AP1934" s="29"/>
    </row>
  </sheetData>
  <autoFilter ref="$A$1:$X$610">
    <sortState ref="A1:X610">
      <sortCondition ref="B1:B610"/>
    </sortState>
  </autoFilter>
  <dataValidations>
    <dataValidation type="list" allowBlank="1" showErrorMessage="1" sqref="V263:X308 V322:X610">
      <formula1>"YES,NO"</formula1>
    </dataValidation>
    <dataValidation type="list" allowBlank="1" showErrorMessage="1" sqref="V9:W9 V10:X262 V309:X321 V629:X629">
      <formula1>"YES,NO"</formula1>
    </dataValidation>
    <dataValidation type="list" allowBlank="1" showErrorMessage="1" sqref="AJ2:AJ683 AJ685:AJ1934">
      <formula1>"Cuidado crítico,Dermatología ,Oftalmología,Ginecoobstetricia,Cirugía general,Medicina interna,Anestesiología,Pediatría,Otorrinolaringología,Psiquiatría,Ortopedia,Cirugía plástica,Neurología,Radiología,Alergología,Neurocirugía,Imagenes,Geriatria,Cirugía Pe"&amp;"driátrica,Ginecología,Urología,infectología,Cardiologia ,Deportologia ,Urgencias,Fisio,Gastroenterología,Dermatologia pediatria,Cirugía cardiovascular,Medicina y patología forense,Medicina del dolor,Cirugía Dermatología,Medicina Familiar,Medicina Estética"&amp;",Ginecólogia Psiquiatría,Endocrinólogia,Traumatología,Fisiatria,Medicina del deporte,Cuidados intensivos,Neuropediatría,Nefrología,Medicina física y rehabilitación ,Neonatología,Oncología,Genetica,Medicina critica e intensiva,Cirugia Maxilofacila,Patologí"&amp;"a,Cirugía cardiovasbular,Cuidados Paliativos,Hematología"</formula1>
    </dataValidation>
    <dataValidation type="list" allowBlank="1" showErrorMessage="1" sqref="V2:X8">
      <formula1>"15 MIN,AGENDA"</formula1>
    </dataValidation>
    <dataValidation type="list" allowBlank="1" showErrorMessage="1" sqref="AO2:AO1934">
      <formula1>"Organización ,Preparación,Entrevista,Conocimiento,Nervios,No sabe,Disciplina,Motivación"</formula1>
    </dataValidation>
    <dataValidation type="list" allowBlank="1" showErrorMessage="1" sqref="AJ684">
      <formula1>"Cuidado crítico,Dermatología ,Oftalmología,Ginecoobstetricia,Cirugía general,Medicina interna,Anestesiología,Pediatría,Otorrinolaringología,Psiquiatría,Ortopedia,Cirugía plástica,Neurología,Radiología,Alergología,Neurocirugía,Imagenes,Geriatria,Cirugía Pe"&amp;"driátrica,Ginecología,Urología,Neuropedriatria"</formula1>
    </dataValidation>
    <dataValidation type="list" allowBlank="1" showErrorMessage="1" sqref="Z2:AG1934">
      <formula1>"Agendado,Cerrado,Revisando página,No contestó llamada,No contestó mensaje,Link pago enviado,No interesado,Video,Teléfono errado,No asistió a la sesión,Complicaciones de salud,Canal Paretomed,No ha terminado la carrera,Rural"</formula1>
    </dataValidation>
    <dataValidation type="custom" allowBlank="1" showDropDown="1" showErrorMessage="1" sqref="AH2:AI915 AH916 AH917:AI1934">
      <formula1>OR(NOT(ISERROR(DATEVALUE(AH2))), AND(ISNUMBER(AH2), LEFT(CELL("format", AH2))="D"))</formula1>
    </dataValidation>
    <dataValidation type="list" allowBlank="1" showErrorMessage="1" sqref="AK2:AN1934">
      <formula1>"UDEA,Nacional,CES,FUCS,Javeriana,Rosario,Uninorte,Unilibre Baq,Unilibre Cali,ICESI,Simón Bolívar,Metropolitana,Univalle,Unicaldas,Unicauca,Bosque,Sabana,Militar,Cartagena,Sinú,Tecnológica Pereira,No sabe,Cualquiera,Libre,Sanitas,UPB,UIS,Surcolombiana,Coop"&amp;"erativa de Villavicencio,Uniquindio,Corpas,Andes"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9.25"/>
    <col customWidth="1" min="6" max="6" width="63.75"/>
    <col customWidth="1" min="8" max="8" width="82.0"/>
    <col customWidth="1" min="15" max="15" width="20.0"/>
    <col customWidth="1" min="16" max="16" width="27.63"/>
    <col customWidth="1" min="17" max="17" width="16.63"/>
    <col customWidth="1" min="18" max="18" width="31.5"/>
    <col customWidth="1" min="19" max="19" width="27.0"/>
    <col customWidth="1" min="20" max="20" width="18.63"/>
    <col customWidth="1" min="24" max="24" width="34.0"/>
  </cols>
  <sheetData>
    <row r="1">
      <c r="A1" s="124" t="s">
        <v>2548</v>
      </c>
      <c r="B1" s="124" t="s">
        <v>1</v>
      </c>
      <c r="C1" s="124" t="s">
        <v>2</v>
      </c>
      <c r="D1" s="125" t="s">
        <v>3</v>
      </c>
      <c r="E1" s="124" t="s">
        <v>4</v>
      </c>
      <c r="F1" s="125" t="s">
        <v>5</v>
      </c>
      <c r="G1" s="124" t="s">
        <v>6</v>
      </c>
      <c r="H1" s="125" t="s">
        <v>7</v>
      </c>
      <c r="I1" s="124" t="s">
        <v>8</v>
      </c>
      <c r="J1" s="125" t="s">
        <v>9</v>
      </c>
      <c r="K1" s="125" t="s">
        <v>10</v>
      </c>
      <c r="L1" s="125" t="s">
        <v>11</v>
      </c>
      <c r="M1" s="125" t="s">
        <v>2549</v>
      </c>
      <c r="N1" s="125" t="s">
        <v>2550</v>
      </c>
      <c r="O1" s="125" t="s">
        <v>2551</v>
      </c>
      <c r="P1" s="125" t="s">
        <v>2552</v>
      </c>
      <c r="Q1" s="124" t="s">
        <v>2553</v>
      </c>
      <c r="R1" s="125" t="s">
        <v>2554</v>
      </c>
      <c r="S1" s="125" t="s">
        <v>2555</v>
      </c>
      <c r="T1" s="124" t="s">
        <v>2556</v>
      </c>
      <c r="U1" s="125" t="s">
        <v>2557</v>
      </c>
      <c r="V1" s="125" t="s">
        <v>2558</v>
      </c>
      <c r="W1" s="125" t="s">
        <v>2559</v>
      </c>
    </row>
    <row r="2">
      <c r="A2" s="126">
        <v>4.87200944338886E14</v>
      </c>
      <c r="B2" s="126" t="s">
        <v>2560</v>
      </c>
      <c r="C2" s="127" t="s">
        <v>2561</v>
      </c>
      <c r="D2" s="127" t="s">
        <v>2562</v>
      </c>
      <c r="E2" s="127" t="s">
        <v>2563</v>
      </c>
      <c r="F2" s="127" t="s">
        <v>2562</v>
      </c>
      <c r="G2" s="127" t="s">
        <v>2564</v>
      </c>
      <c r="H2" s="127" t="s">
        <v>2565</v>
      </c>
      <c r="I2" s="127" t="s">
        <v>2566</v>
      </c>
      <c r="J2" s="127" t="s">
        <v>2567</v>
      </c>
      <c r="K2" s="127" t="b">
        <v>0</v>
      </c>
      <c r="L2" s="127" t="s">
        <v>53</v>
      </c>
      <c r="M2" s="127" t="s">
        <v>54</v>
      </c>
      <c r="N2" s="127" t="s">
        <v>55</v>
      </c>
      <c r="O2" s="127" t="s">
        <v>70</v>
      </c>
      <c r="P2" s="127" t="s">
        <v>433</v>
      </c>
      <c r="Q2" s="126">
        <v>6.0</v>
      </c>
      <c r="R2" s="127" t="s">
        <v>402</v>
      </c>
      <c r="S2" s="127" t="s">
        <v>2568</v>
      </c>
      <c r="T2" s="128">
        <f>+573187844064</f>
        <v>573187844064</v>
      </c>
      <c r="U2" s="127" t="s">
        <v>2569</v>
      </c>
      <c r="V2" s="127" t="s">
        <v>61</v>
      </c>
      <c r="W2" s="127" t="s">
        <v>2570</v>
      </c>
      <c r="X2" s="19" t="s">
        <v>2571</v>
      </c>
    </row>
    <row r="3">
      <c r="A3" s="126">
        <v>8.68731655108268E14</v>
      </c>
      <c r="B3" s="126" t="s">
        <v>2572</v>
      </c>
      <c r="C3" s="127" t="s">
        <v>2561</v>
      </c>
      <c r="D3" s="127" t="s">
        <v>2562</v>
      </c>
      <c r="E3" s="127" t="s">
        <v>2563</v>
      </c>
      <c r="F3" s="127" t="s">
        <v>2562</v>
      </c>
      <c r="G3" s="127" t="s">
        <v>2564</v>
      </c>
      <c r="H3" s="127" t="s">
        <v>2565</v>
      </c>
      <c r="I3" s="127" t="s">
        <v>2566</v>
      </c>
      <c r="J3" s="127" t="s">
        <v>2567</v>
      </c>
      <c r="K3" s="127" t="b">
        <v>0</v>
      </c>
      <c r="L3" s="127" t="s">
        <v>53</v>
      </c>
      <c r="M3" s="127" t="s">
        <v>69</v>
      </c>
      <c r="N3" s="127" t="s">
        <v>55</v>
      </c>
      <c r="O3" s="127" t="s">
        <v>70</v>
      </c>
      <c r="P3" s="127" t="s">
        <v>2573</v>
      </c>
      <c r="Q3" s="126">
        <v>7.0</v>
      </c>
      <c r="R3" s="127" t="s">
        <v>154</v>
      </c>
      <c r="S3" s="127" t="s">
        <v>2574</v>
      </c>
      <c r="T3" s="128">
        <f>+573045282439</f>
        <v>573045282439</v>
      </c>
      <c r="U3" s="127" t="s">
        <v>2575</v>
      </c>
      <c r="V3" s="127" t="s">
        <v>61</v>
      </c>
      <c r="W3" s="127" t="s">
        <v>2570</v>
      </c>
      <c r="X3" s="19" t="s">
        <v>2571</v>
      </c>
    </row>
    <row r="4">
      <c r="A4" s="126">
        <v>5.5217318443697E14</v>
      </c>
      <c r="B4" s="126" t="s">
        <v>2572</v>
      </c>
      <c r="C4" s="127" t="s">
        <v>2561</v>
      </c>
      <c r="D4" s="127" t="s">
        <v>2562</v>
      </c>
      <c r="E4" s="127" t="s">
        <v>2563</v>
      </c>
      <c r="F4" s="127" t="s">
        <v>2562</v>
      </c>
      <c r="G4" s="127" t="s">
        <v>2564</v>
      </c>
      <c r="H4" s="127" t="s">
        <v>2565</v>
      </c>
      <c r="I4" s="127" t="s">
        <v>2566</v>
      </c>
      <c r="J4" s="127" t="s">
        <v>2567</v>
      </c>
      <c r="K4" s="127" t="b">
        <v>0</v>
      </c>
      <c r="L4" s="127" t="s">
        <v>53</v>
      </c>
      <c r="M4" s="127" t="s">
        <v>54</v>
      </c>
      <c r="N4" s="127" t="s">
        <v>85</v>
      </c>
      <c r="O4" s="127" t="s">
        <v>70</v>
      </c>
      <c r="P4" s="127" t="s">
        <v>182</v>
      </c>
      <c r="Q4" s="126">
        <v>10.0</v>
      </c>
      <c r="R4" s="127" t="s">
        <v>2576</v>
      </c>
      <c r="S4" s="127" t="s">
        <v>2577</v>
      </c>
      <c r="T4" s="128">
        <f>+573014292988</f>
        <v>573014292988</v>
      </c>
      <c r="U4" s="127" t="s">
        <v>2578</v>
      </c>
      <c r="V4" s="127" t="s">
        <v>61</v>
      </c>
      <c r="W4" s="127" t="s">
        <v>2570</v>
      </c>
      <c r="X4" s="19" t="s">
        <v>2579</v>
      </c>
    </row>
    <row r="5">
      <c r="A5" s="126">
        <v>5.85058370538896E14</v>
      </c>
      <c r="B5" s="126" t="s">
        <v>2572</v>
      </c>
      <c r="C5" s="127" t="s">
        <v>2561</v>
      </c>
      <c r="D5" s="127" t="s">
        <v>2562</v>
      </c>
      <c r="E5" s="127" t="s">
        <v>2563</v>
      </c>
      <c r="F5" s="127" t="s">
        <v>2562</v>
      </c>
      <c r="G5" s="127" t="s">
        <v>2564</v>
      </c>
      <c r="H5" s="127" t="s">
        <v>2565</v>
      </c>
      <c r="I5" s="127" t="s">
        <v>2566</v>
      </c>
      <c r="J5" s="127" t="s">
        <v>2567</v>
      </c>
      <c r="K5" s="127" t="b">
        <v>0</v>
      </c>
      <c r="L5" s="127" t="s">
        <v>53</v>
      </c>
      <c r="M5" s="127" t="s">
        <v>54</v>
      </c>
      <c r="N5" s="127" t="s">
        <v>85</v>
      </c>
      <c r="O5" s="127" t="s">
        <v>70</v>
      </c>
      <c r="P5" s="127" t="s">
        <v>211</v>
      </c>
      <c r="Q5" s="126">
        <v>6.0</v>
      </c>
      <c r="R5" s="127" t="s">
        <v>2580</v>
      </c>
      <c r="S5" s="127" t="s">
        <v>2581</v>
      </c>
      <c r="T5" s="128">
        <f>+573161002070</f>
        <v>573161002070</v>
      </c>
      <c r="U5" s="127" t="s">
        <v>2582</v>
      </c>
      <c r="V5" s="127" t="s">
        <v>61</v>
      </c>
      <c r="W5" s="127" t="s">
        <v>2570</v>
      </c>
      <c r="X5" s="19" t="s">
        <v>2583</v>
      </c>
    </row>
    <row r="6">
      <c r="A6" s="127" t="s">
        <v>2584</v>
      </c>
      <c r="B6" s="126" t="s">
        <v>2572</v>
      </c>
      <c r="C6" s="127" t="s">
        <v>2561</v>
      </c>
      <c r="D6" s="127" t="s">
        <v>2562</v>
      </c>
      <c r="E6" s="127" t="s">
        <v>2563</v>
      </c>
      <c r="F6" s="127" t="s">
        <v>2562</v>
      </c>
      <c r="G6" s="127" t="s">
        <v>2564</v>
      </c>
      <c r="H6" s="127" t="s">
        <v>2565</v>
      </c>
      <c r="I6" s="127" t="s">
        <v>2566</v>
      </c>
      <c r="J6" s="127" t="s">
        <v>2567</v>
      </c>
      <c r="K6" s="127" t="b">
        <v>0</v>
      </c>
      <c r="L6" s="127" t="s">
        <v>53</v>
      </c>
      <c r="M6" s="127" t="s">
        <v>69</v>
      </c>
      <c r="N6" s="127" t="s">
        <v>55</v>
      </c>
      <c r="O6" s="127" t="s">
        <v>70</v>
      </c>
      <c r="P6" s="127" t="s">
        <v>211</v>
      </c>
      <c r="Q6" s="126">
        <v>10.0</v>
      </c>
      <c r="R6" s="127" t="s">
        <v>1128</v>
      </c>
      <c r="S6" s="127" t="s">
        <v>2585</v>
      </c>
      <c r="T6" s="128">
        <f>+573232857851</f>
        <v>573232857851</v>
      </c>
      <c r="U6" s="127" t="s">
        <v>2586</v>
      </c>
      <c r="V6" s="127" t="s">
        <v>75</v>
      </c>
      <c r="W6" s="127" t="s">
        <v>2570</v>
      </c>
      <c r="X6" s="19" t="s">
        <v>2579</v>
      </c>
    </row>
    <row r="7">
      <c r="A7" s="127" t="s">
        <v>2587</v>
      </c>
      <c r="B7" s="129">
        <v>45607.0</v>
      </c>
      <c r="C7" s="127" t="s">
        <v>2561</v>
      </c>
      <c r="D7" s="127" t="s">
        <v>2562</v>
      </c>
      <c r="E7" s="127" t="s">
        <v>2563</v>
      </c>
      <c r="F7" s="127" t="s">
        <v>2562</v>
      </c>
      <c r="G7" s="127" t="s">
        <v>2564</v>
      </c>
      <c r="H7" s="127" t="s">
        <v>2565</v>
      </c>
      <c r="I7" s="126">
        <v>5.68296355605239E14</v>
      </c>
      <c r="J7" s="127" t="s">
        <v>2588</v>
      </c>
      <c r="K7" s="127" t="b">
        <v>0</v>
      </c>
      <c r="L7" s="127" t="s">
        <v>53</v>
      </c>
      <c r="M7" s="127" t="s">
        <v>69</v>
      </c>
      <c r="N7" s="127" t="s">
        <v>55</v>
      </c>
      <c r="O7" s="127" t="s">
        <v>70</v>
      </c>
      <c r="P7" s="127" t="s">
        <v>232</v>
      </c>
      <c r="Q7" s="126">
        <v>10.0</v>
      </c>
      <c r="R7" s="126">
        <v>5.0</v>
      </c>
      <c r="S7" s="127" t="s">
        <v>2589</v>
      </c>
      <c r="T7" s="128">
        <f>+573045790066</f>
        <v>573045790066</v>
      </c>
      <c r="U7" s="127" t="s">
        <v>2590</v>
      </c>
      <c r="V7" s="127" t="s">
        <v>61</v>
      </c>
      <c r="W7" s="127" t="s">
        <v>2570</v>
      </c>
      <c r="X7" s="19" t="s">
        <v>2591</v>
      </c>
    </row>
    <row r="8">
      <c r="A8" s="126">
        <v>9.43918487784652E14</v>
      </c>
      <c r="B8" s="129">
        <v>45607.0</v>
      </c>
      <c r="C8" s="127" t="s">
        <v>2561</v>
      </c>
      <c r="D8" s="127" t="s">
        <v>2562</v>
      </c>
      <c r="E8" s="127" t="s">
        <v>2563</v>
      </c>
      <c r="F8" s="127" t="s">
        <v>2562</v>
      </c>
      <c r="G8" s="127" t="s">
        <v>2564</v>
      </c>
      <c r="H8" s="127" t="s">
        <v>2565</v>
      </c>
      <c r="I8" s="126">
        <v>5.68296355605239E14</v>
      </c>
      <c r="J8" s="127" t="s">
        <v>2588</v>
      </c>
      <c r="K8" s="127" t="b">
        <v>0</v>
      </c>
      <c r="L8" s="127" t="s">
        <v>53</v>
      </c>
      <c r="M8" s="127" t="s">
        <v>69</v>
      </c>
      <c r="N8" s="127" t="s">
        <v>55</v>
      </c>
      <c r="O8" s="127" t="s">
        <v>70</v>
      </c>
      <c r="P8" s="127" t="s">
        <v>71</v>
      </c>
      <c r="Q8" s="126">
        <v>10.0</v>
      </c>
      <c r="R8" s="127" t="s">
        <v>2592</v>
      </c>
      <c r="S8" s="127" t="s">
        <v>2593</v>
      </c>
      <c r="T8" s="128">
        <f>+573014882842</f>
        <v>573014882842</v>
      </c>
      <c r="U8" s="127" t="s">
        <v>2594</v>
      </c>
      <c r="V8" s="127" t="s">
        <v>75</v>
      </c>
      <c r="W8" s="127" t="s">
        <v>2570</v>
      </c>
      <c r="X8" s="19" t="s">
        <v>2579</v>
      </c>
    </row>
    <row r="9">
      <c r="A9" s="126">
        <v>5.3764117572576E14</v>
      </c>
      <c r="B9" s="129">
        <v>45576.0</v>
      </c>
      <c r="C9" s="127" t="s">
        <v>2561</v>
      </c>
      <c r="D9" s="127" t="s">
        <v>2562</v>
      </c>
      <c r="E9" s="127" t="s">
        <v>2563</v>
      </c>
      <c r="F9" s="127" t="s">
        <v>2562</v>
      </c>
      <c r="G9" s="127" t="s">
        <v>2564</v>
      </c>
      <c r="H9" s="127" t="s">
        <v>2565</v>
      </c>
      <c r="I9" s="126">
        <v>5.68296355605239E14</v>
      </c>
      <c r="J9" s="127" t="s">
        <v>2588</v>
      </c>
      <c r="K9" s="127" t="b">
        <v>0</v>
      </c>
      <c r="L9" s="127" t="s">
        <v>53</v>
      </c>
      <c r="M9" s="127" t="s">
        <v>69</v>
      </c>
      <c r="N9" s="127" t="s">
        <v>85</v>
      </c>
      <c r="O9" s="127" t="s">
        <v>70</v>
      </c>
      <c r="P9" s="127" t="s">
        <v>2595</v>
      </c>
      <c r="Q9" s="126">
        <v>10.0</v>
      </c>
      <c r="R9" s="127" t="s">
        <v>173</v>
      </c>
      <c r="S9" s="127" t="s">
        <v>1660</v>
      </c>
      <c r="T9" s="126">
        <v>3.046265111E9</v>
      </c>
      <c r="U9" s="127" t="s">
        <v>2596</v>
      </c>
      <c r="V9" s="127" t="s">
        <v>75</v>
      </c>
      <c r="W9" s="127" t="s">
        <v>2570</v>
      </c>
      <c r="X9" s="19" t="s">
        <v>2579</v>
      </c>
    </row>
    <row r="10">
      <c r="A10" s="127" t="s">
        <v>2597</v>
      </c>
      <c r="B10" s="129">
        <v>45576.0</v>
      </c>
      <c r="C10" s="127" t="s">
        <v>2561</v>
      </c>
      <c r="D10" s="127" t="s">
        <v>2562</v>
      </c>
      <c r="E10" s="127" t="s">
        <v>2563</v>
      </c>
      <c r="F10" s="127" t="s">
        <v>2562</v>
      </c>
      <c r="G10" s="127" t="s">
        <v>2564</v>
      </c>
      <c r="H10" s="127" t="s">
        <v>2565</v>
      </c>
      <c r="I10" s="126">
        <v>5.68296355605239E14</v>
      </c>
      <c r="J10" s="127" t="s">
        <v>2588</v>
      </c>
      <c r="K10" s="127" t="b">
        <v>0</v>
      </c>
      <c r="L10" s="127" t="s">
        <v>53</v>
      </c>
      <c r="M10" s="127" t="s">
        <v>69</v>
      </c>
      <c r="N10" s="127" t="s">
        <v>85</v>
      </c>
      <c r="O10" s="127" t="s">
        <v>70</v>
      </c>
      <c r="P10" s="127" t="s">
        <v>116</v>
      </c>
      <c r="Q10" s="126">
        <v>9.0</v>
      </c>
      <c r="R10" s="127" t="s">
        <v>168</v>
      </c>
      <c r="S10" s="127" t="s">
        <v>2598</v>
      </c>
      <c r="T10" s="128">
        <f>+573122836060</f>
        <v>573122836060</v>
      </c>
      <c r="U10" s="127" t="s">
        <v>2599</v>
      </c>
      <c r="V10" s="127" t="s">
        <v>75</v>
      </c>
      <c r="W10" s="127" t="s">
        <v>2570</v>
      </c>
      <c r="X10" s="19" t="s">
        <v>2600</v>
      </c>
    </row>
    <row r="11">
      <c r="A11" s="127" t="s">
        <v>2601</v>
      </c>
      <c r="B11" s="129">
        <v>45546.0</v>
      </c>
      <c r="C11" s="127" t="s">
        <v>2561</v>
      </c>
      <c r="D11" s="127" t="s">
        <v>2562</v>
      </c>
      <c r="E11" s="127" t="s">
        <v>2563</v>
      </c>
      <c r="F11" s="127" t="s">
        <v>2562</v>
      </c>
      <c r="G11" s="127" t="s">
        <v>2564</v>
      </c>
      <c r="H11" s="127" t="s">
        <v>2565</v>
      </c>
      <c r="I11" s="126">
        <v>5.68296355605239E14</v>
      </c>
      <c r="J11" s="127" t="s">
        <v>2588</v>
      </c>
      <c r="K11" s="127" t="b">
        <v>0</v>
      </c>
      <c r="L11" s="127" t="s">
        <v>53</v>
      </c>
      <c r="M11" s="127" t="s">
        <v>69</v>
      </c>
      <c r="N11" s="127" t="s">
        <v>55</v>
      </c>
      <c r="O11" s="127" t="s">
        <v>70</v>
      </c>
      <c r="P11" s="127" t="s">
        <v>211</v>
      </c>
      <c r="Q11" s="126">
        <v>10.0</v>
      </c>
      <c r="R11" s="127" t="s">
        <v>173</v>
      </c>
      <c r="S11" s="127" t="s">
        <v>2602</v>
      </c>
      <c r="T11" s="128">
        <f>+573126360895</f>
        <v>573126360895</v>
      </c>
      <c r="U11" s="127" t="s">
        <v>2603</v>
      </c>
      <c r="V11" s="127" t="s">
        <v>61</v>
      </c>
      <c r="W11" s="127" t="s">
        <v>2570</v>
      </c>
      <c r="X11" s="19" t="s">
        <v>2579</v>
      </c>
    </row>
    <row r="12">
      <c r="A12" s="126">
        <v>4.54345777270919E14</v>
      </c>
      <c r="B12" s="129">
        <v>45546.0</v>
      </c>
      <c r="C12" s="127" t="s">
        <v>2561</v>
      </c>
      <c r="D12" s="127" t="s">
        <v>2562</v>
      </c>
      <c r="E12" s="127" t="s">
        <v>2563</v>
      </c>
      <c r="F12" s="127" t="s">
        <v>2562</v>
      </c>
      <c r="G12" s="127" t="s">
        <v>2564</v>
      </c>
      <c r="H12" s="127" t="s">
        <v>2565</v>
      </c>
      <c r="I12" s="126">
        <v>5.68296355605239E14</v>
      </c>
      <c r="J12" s="127" t="s">
        <v>2588</v>
      </c>
      <c r="K12" s="127" t="b">
        <v>0</v>
      </c>
      <c r="L12" s="127" t="s">
        <v>84</v>
      </c>
      <c r="M12" s="127" t="s">
        <v>69</v>
      </c>
      <c r="N12" s="127" t="s">
        <v>55</v>
      </c>
      <c r="O12" s="127" t="s">
        <v>70</v>
      </c>
      <c r="P12" s="127" t="s">
        <v>479</v>
      </c>
      <c r="Q12" s="126">
        <v>10.0</v>
      </c>
      <c r="R12" s="130">
        <v>0.5833333333333334</v>
      </c>
      <c r="S12" s="127" t="s">
        <v>2604</v>
      </c>
      <c r="T12" s="128">
        <f>+573125058623</f>
        <v>573125058623</v>
      </c>
      <c r="U12" s="127" t="s">
        <v>2605</v>
      </c>
      <c r="V12" s="127" t="s">
        <v>75</v>
      </c>
      <c r="W12" s="127" t="s">
        <v>2570</v>
      </c>
      <c r="X12" s="19" t="s">
        <v>2606</v>
      </c>
    </row>
    <row r="17">
      <c r="A17" s="2" t="s">
        <v>2607</v>
      </c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</row>
    <row r="18">
      <c r="A18" s="2" t="s">
        <v>2548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7</v>
      </c>
      <c r="I18" s="2" t="s">
        <v>8</v>
      </c>
      <c r="J18" s="2" t="s">
        <v>9</v>
      </c>
      <c r="K18" s="2" t="s">
        <v>10</v>
      </c>
      <c r="L18" s="2" t="s">
        <v>11</v>
      </c>
      <c r="M18" s="2" t="s">
        <v>2549</v>
      </c>
      <c r="N18" s="2" t="s">
        <v>2550</v>
      </c>
      <c r="O18" s="2" t="s">
        <v>2551</v>
      </c>
      <c r="P18" s="2" t="s">
        <v>2552</v>
      </c>
      <c r="Q18" s="2" t="s">
        <v>2553</v>
      </c>
      <c r="R18" s="2" t="s">
        <v>2554</v>
      </c>
      <c r="S18" s="2" t="s">
        <v>2555</v>
      </c>
      <c r="T18" s="2" t="s">
        <v>2556</v>
      </c>
      <c r="U18" s="2" t="s">
        <v>2557</v>
      </c>
      <c r="V18" s="2" t="s">
        <v>2558</v>
      </c>
      <c r="W18" s="2" t="s">
        <v>2559</v>
      </c>
    </row>
    <row r="19">
      <c r="A19" s="2">
        <v>4.72547002612472E14</v>
      </c>
      <c r="B19" s="131">
        <v>45637.0</v>
      </c>
      <c r="C19" s="2" t="s">
        <v>2608</v>
      </c>
      <c r="D19" s="2" t="s">
        <v>2609</v>
      </c>
      <c r="E19" s="2" t="s">
        <v>2610</v>
      </c>
      <c r="F19" s="2" t="s">
        <v>2609</v>
      </c>
      <c r="G19" s="2" t="s">
        <v>2564</v>
      </c>
      <c r="H19" s="2" t="s">
        <v>2565</v>
      </c>
      <c r="I19" s="2" t="s">
        <v>2611</v>
      </c>
      <c r="J19" s="2" t="s">
        <v>2612</v>
      </c>
      <c r="K19" s="2" t="b">
        <v>0</v>
      </c>
      <c r="L19" s="2" t="s">
        <v>84</v>
      </c>
      <c r="M19" s="2" t="s">
        <v>54</v>
      </c>
      <c r="N19" s="2" t="s">
        <v>85</v>
      </c>
      <c r="O19" s="2" t="s">
        <v>70</v>
      </c>
      <c r="P19" s="2" t="s">
        <v>2613</v>
      </c>
      <c r="Q19" s="2">
        <v>8.0</v>
      </c>
      <c r="R19" s="2">
        <v>12.0</v>
      </c>
      <c r="S19" s="2" t="s">
        <v>2614</v>
      </c>
      <c r="T19" s="116">
        <f>+573209829913</f>
        <v>573209829913</v>
      </c>
      <c r="U19" s="2" t="s">
        <v>2615</v>
      </c>
      <c r="V19" s="2" t="s">
        <v>75</v>
      </c>
      <c r="W19" s="2" t="s">
        <v>2570</v>
      </c>
      <c r="X19" s="19" t="s">
        <v>2600</v>
      </c>
    </row>
    <row r="20">
      <c r="A20" s="2" t="s">
        <v>2616</v>
      </c>
      <c r="B20" s="131">
        <v>45607.0</v>
      </c>
      <c r="C20" s="2" t="s">
        <v>2608</v>
      </c>
      <c r="D20" s="2" t="s">
        <v>2609</v>
      </c>
      <c r="E20" s="2" t="s">
        <v>2610</v>
      </c>
      <c r="F20" s="2" t="s">
        <v>2609</v>
      </c>
      <c r="G20" s="2" t="s">
        <v>2564</v>
      </c>
      <c r="H20" s="2" t="s">
        <v>2565</v>
      </c>
      <c r="I20" s="2" t="s">
        <v>2617</v>
      </c>
      <c r="J20" s="2" t="s">
        <v>2618</v>
      </c>
      <c r="K20" s="2" t="b">
        <v>0</v>
      </c>
      <c r="L20" s="2" t="s">
        <v>53</v>
      </c>
      <c r="M20" s="2" t="s">
        <v>69</v>
      </c>
      <c r="N20" s="2" t="s">
        <v>137</v>
      </c>
      <c r="O20" s="2" t="s">
        <v>70</v>
      </c>
      <c r="P20" s="2" t="s">
        <v>57</v>
      </c>
      <c r="Q20" s="2">
        <v>8.0</v>
      </c>
      <c r="R20" s="2" t="s">
        <v>2619</v>
      </c>
      <c r="S20" s="2" t="s">
        <v>2620</v>
      </c>
      <c r="T20" s="116">
        <f>+573194285808</f>
        <v>573194285808</v>
      </c>
      <c r="U20" s="2" t="s">
        <v>2621</v>
      </c>
      <c r="V20" s="2" t="s">
        <v>75</v>
      </c>
      <c r="W20" s="2" t="s">
        <v>2570</v>
      </c>
      <c r="X20" s="19" t="s">
        <v>2579</v>
      </c>
    </row>
    <row r="21">
      <c r="A21" s="2" t="s">
        <v>2622</v>
      </c>
      <c r="B21" s="131">
        <v>45576.0</v>
      </c>
      <c r="C21" s="2" t="s">
        <v>2608</v>
      </c>
      <c r="D21" s="2" t="s">
        <v>2609</v>
      </c>
      <c r="E21" s="2" t="s">
        <v>2610</v>
      </c>
      <c r="F21" s="2" t="s">
        <v>2609</v>
      </c>
      <c r="G21" s="2" t="s">
        <v>2564</v>
      </c>
      <c r="H21" s="2" t="s">
        <v>2565</v>
      </c>
      <c r="I21" s="2" t="s">
        <v>2617</v>
      </c>
      <c r="J21" s="2" t="s">
        <v>2618</v>
      </c>
      <c r="K21" s="2" t="b">
        <v>0</v>
      </c>
      <c r="L21" s="2" t="s">
        <v>53</v>
      </c>
      <c r="M21" s="2" t="s">
        <v>69</v>
      </c>
      <c r="N21" s="2" t="s">
        <v>137</v>
      </c>
      <c r="O21" s="2" t="s">
        <v>70</v>
      </c>
      <c r="P21" s="2" t="s">
        <v>57</v>
      </c>
      <c r="Q21" s="2">
        <v>1.0</v>
      </c>
      <c r="R21" s="2" t="s">
        <v>207</v>
      </c>
      <c r="S21" s="2" t="s">
        <v>488</v>
      </c>
      <c r="T21" s="2">
        <v>3.105300569E9</v>
      </c>
      <c r="U21" s="2" t="s">
        <v>2623</v>
      </c>
      <c r="V21" s="2" t="s">
        <v>75</v>
      </c>
      <c r="W21" s="2" t="s">
        <v>2570</v>
      </c>
      <c r="X21" s="19" t="s">
        <v>2624</v>
      </c>
    </row>
    <row r="22">
      <c r="A22" s="2">
        <v>1.0856063496295E15</v>
      </c>
      <c r="B22" s="131">
        <v>45515.0</v>
      </c>
      <c r="C22" s="2" t="s">
        <v>2608</v>
      </c>
      <c r="D22" s="2" t="s">
        <v>2609</v>
      </c>
      <c r="E22" s="2" t="s">
        <v>2610</v>
      </c>
      <c r="F22" s="2" t="s">
        <v>2609</v>
      </c>
      <c r="G22" s="2" t="s">
        <v>2564</v>
      </c>
      <c r="H22" s="2" t="s">
        <v>2565</v>
      </c>
      <c r="I22" s="2" t="s">
        <v>2617</v>
      </c>
      <c r="J22" s="2" t="s">
        <v>2618</v>
      </c>
      <c r="K22" s="2" t="b">
        <v>0</v>
      </c>
      <c r="L22" s="2" t="s">
        <v>53</v>
      </c>
      <c r="M22" s="2" t="s">
        <v>54</v>
      </c>
      <c r="N22" s="2" t="s">
        <v>55</v>
      </c>
      <c r="O22" s="2" t="s">
        <v>70</v>
      </c>
      <c r="P22" s="2" t="s">
        <v>322</v>
      </c>
      <c r="Q22" s="2">
        <v>2.0</v>
      </c>
      <c r="R22" s="2">
        <v>3.17833345E9</v>
      </c>
      <c r="S22" s="2" t="s">
        <v>2625</v>
      </c>
      <c r="T22" s="116">
        <f>+573178333450</f>
        <v>573178333450</v>
      </c>
      <c r="U22" s="2" t="s">
        <v>2626</v>
      </c>
      <c r="V22" s="2" t="s">
        <v>61</v>
      </c>
      <c r="W22" s="2" t="s">
        <v>2570</v>
      </c>
      <c r="X22" s="19" t="s">
        <v>2624</v>
      </c>
    </row>
    <row r="23">
      <c r="A23" s="2" t="s">
        <v>2627</v>
      </c>
      <c r="B23" s="131">
        <v>45515.0</v>
      </c>
      <c r="C23" s="2" t="s">
        <v>2608</v>
      </c>
      <c r="D23" s="2" t="s">
        <v>2609</v>
      </c>
      <c r="E23" s="2" t="s">
        <v>2610</v>
      </c>
      <c r="F23" s="2" t="s">
        <v>2609</v>
      </c>
      <c r="G23" s="2" t="s">
        <v>2564</v>
      </c>
      <c r="H23" s="2" t="s">
        <v>2565</v>
      </c>
      <c r="I23" s="2" t="s">
        <v>2617</v>
      </c>
      <c r="J23" s="2" t="s">
        <v>2618</v>
      </c>
      <c r="K23" s="2" t="b">
        <v>0</v>
      </c>
      <c r="L23" s="2" t="s">
        <v>53</v>
      </c>
      <c r="M23" s="2" t="s">
        <v>69</v>
      </c>
      <c r="N23" s="2" t="s">
        <v>55</v>
      </c>
      <c r="O23" s="2" t="s">
        <v>70</v>
      </c>
      <c r="P23" s="2" t="s">
        <v>152</v>
      </c>
      <c r="Q23" s="2">
        <v>5.0</v>
      </c>
      <c r="R23" s="2" t="s">
        <v>288</v>
      </c>
      <c r="S23" s="2" t="s">
        <v>1730</v>
      </c>
      <c r="T23" s="116">
        <f>+573132131505</f>
        <v>573132131505</v>
      </c>
      <c r="U23" s="2" t="s">
        <v>2628</v>
      </c>
      <c r="V23" s="2" t="s">
        <v>681</v>
      </c>
      <c r="W23" s="2" t="s">
        <v>2570</v>
      </c>
      <c r="X23" s="19" t="s">
        <v>2624</v>
      </c>
    </row>
    <row r="26">
      <c r="A26" s="19" t="s">
        <v>2629</v>
      </c>
    </row>
    <row r="27">
      <c r="A27" s="132" t="s">
        <v>2548</v>
      </c>
      <c r="B27" s="132" t="s">
        <v>1</v>
      </c>
      <c r="C27" s="132" t="s">
        <v>2</v>
      </c>
      <c r="D27" s="133" t="s">
        <v>3</v>
      </c>
      <c r="E27" s="132" t="s">
        <v>4</v>
      </c>
      <c r="F27" s="133" t="s">
        <v>5</v>
      </c>
      <c r="G27" s="132" t="s">
        <v>6</v>
      </c>
      <c r="H27" s="133" t="s">
        <v>7</v>
      </c>
      <c r="I27" s="132" t="s">
        <v>8</v>
      </c>
      <c r="J27" s="133" t="s">
        <v>9</v>
      </c>
      <c r="K27" s="133" t="s">
        <v>10</v>
      </c>
      <c r="L27" s="133" t="s">
        <v>11</v>
      </c>
      <c r="M27" s="133" t="s">
        <v>2630</v>
      </c>
      <c r="N27" s="133" t="s">
        <v>2631</v>
      </c>
      <c r="O27" s="133" t="s">
        <v>2632</v>
      </c>
      <c r="P27" s="133" t="s">
        <v>2633</v>
      </c>
      <c r="Q27" s="132" t="s">
        <v>2634</v>
      </c>
      <c r="R27" s="132" t="s">
        <v>2635</v>
      </c>
      <c r="S27" s="133" t="s">
        <v>2555</v>
      </c>
      <c r="T27" s="132" t="s">
        <v>2556</v>
      </c>
      <c r="U27" s="133" t="s">
        <v>2558</v>
      </c>
      <c r="V27" s="133" t="s">
        <v>2559</v>
      </c>
    </row>
    <row r="28">
      <c r="A28" s="134" t="s">
        <v>2636</v>
      </c>
      <c r="B28" s="135" t="s">
        <v>2560</v>
      </c>
      <c r="C28" s="134" t="s">
        <v>2637</v>
      </c>
      <c r="D28" s="134" t="s">
        <v>2638</v>
      </c>
      <c r="E28" s="134" t="s">
        <v>2639</v>
      </c>
      <c r="F28" s="134" t="s">
        <v>620</v>
      </c>
      <c r="G28" s="134" t="s">
        <v>2640</v>
      </c>
      <c r="H28" s="134" t="s">
        <v>622</v>
      </c>
      <c r="I28" s="134" t="s">
        <v>2641</v>
      </c>
      <c r="J28" s="134" t="s">
        <v>2642</v>
      </c>
      <c r="K28" s="134" t="b">
        <v>0</v>
      </c>
      <c r="L28" s="134" t="s">
        <v>84</v>
      </c>
      <c r="M28" s="134" t="s">
        <v>54</v>
      </c>
      <c r="N28" s="134" t="s">
        <v>55</v>
      </c>
      <c r="O28" s="134" t="s">
        <v>70</v>
      </c>
      <c r="P28" s="134" t="s">
        <v>2643</v>
      </c>
      <c r="Q28" s="135">
        <v>10.0</v>
      </c>
      <c r="R28" s="135">
        <v>7.0</v>
      </c>
      <c r="S28" s="134" t="s">
        <v>2644</v>
      </c>
      <c r="T28" s="135">
        <v>3.205456739E9</v>
      </c>
      <c r="U28" s="134" t="s">
        <v>75</v>
      </c>
      <c r="V28" s="134" t="s">
        <v>2570</v>
      </c>
    </row>
    <row r="29">
      <c r="A29" s="135">
        <v>8.96115215829988E14</v>
      </c>
      <c r="B29" s="135" t="s">
        <v>2572</v>
      </c>
      <c r="C29" s="134" t="s">
        <v>2637</v>
      </c>
      <c r="D29" s="134" t="s">
        <v>2638</v>
      </c>
      <c r="E29" s="134" t="s">
        <v>2639</v>
      </c>
      <c r="F29" s="134" t="s">
        <v>620</v>
      </c>
      <c r="G29" s="134" t="s">
        <v>2640</v>
      </c>
      <c r="H29" s="134" t="s">
        <v>622</v>
      </c>
      <c r="I29" s="134" t="s">
        <v>2641</v>
      </c>
      <c r="J29" s="134" t="s">
        <v>2642</v>
      </c>
      <c r="K29" s="134" t="b">
        <v>0</v>
      </c>
      <c r="L29" s="134" t="s">
        <v>84</v>
      </c>
      <c r="M29" s="134" t="s">
        <v>69</v>
      </c>
      <c r="N29" s="134" t="s">
        <v>55</v>
      </c>
      <c r="O29" s="134" t="s">
        <v>70</v>
      </c>
      <c r="P29" s="134" t="s">
        <v>2251</v>
      </c>
      <c r="Q29" s="135">
        <v>9.8</v>
      </c>
      <c r="R29" s="134" t="s">
        <v>2645</v>
      </c>
      <c r="S29" s="134" t="s">
        <v>2646</v>
      </c>
      <c r="T29" s="136">
        <f>+573046819855</f>
        <v>573046819855</v>
      </c>
      <c r="U29" s="134" t="s">
        <v>75</v>
      </c>
      <c r="V29" s="134" t="s">
        <v>2570</v>
      </c>
    </row>
    <row r="30">
      <c r="A30" s="134">
        <v>1.23810384740127E15</v>
      </c>
      <c r="B30" s="135" t="s">
        <v>2572</v>
      </c>
      <c r="C30" s="134" t="s">
        <v>2637</v>
      </c>
      <c r="D30" s="134" t="s">
        <v>2638</v>
      </c>
      <c r="E30" s="134" t="s">
        <v>2639</v>
      </c>
      <c r="F30" s="134" t="s">
        <v>620</v>
      </c>
      <c r="G30" s="134" t="s">
        <v>2640</v>
      </c>
      <c r="H30" s="134" t="s">
        <v>622</v>
      </c>
      <c r="I30" s="134" t="s">
        <v>2641</v>
      </c>
      <c r="J30" s="134" t="s">
        <v>2642</v>
      </c>
      <c r="K30" s="134" t="b">
        <v>0</v>
      </c>
      <c r="L30" s="134" t="s">
        <v>84</v>
      </c>
      <c r="M30" s="134" t="s">
        <v>69</v>
      </c>
      <c r="N30" s="134" t="s">
        <v>55</v>
      </c>
      <c r="O30" s="134" t="s">
        <v>70</v>
      </c>
      <c r="P30" s="134" t="s">
        <v>104</v>
      </c>
      <c r="Q30" s="135">
        <v>8.0</v>
      </c>
      <c r="R30" s="134" t="s">
        <v>223</v>
      </c>
      <c r="S30" s="134" t="s">
        <v>1638</v>
      </c>
      <c r="T30" s="136">
        <f>+573204496460</f>
        <v>573204496460</v>
      </c>
      <c r="U30" s="134" t="s">
        <v>75</v>
      </c>
      <c r="V30" s="134" t="s">
        <v>2570</v>
      </c>
    </row>
    <row r="31">
      <c r="A31" s="135">
        <v>8.83599240193502E14</v>
      </c>
      <c r="B31" s="135" t="s">
        <v>2572</v>
      </c>
      <c r="C31" s="134" t="s">
        <v>2637</v>
      </c>
      <c r="D31" s="134" t="s">
        <v>2638</v>
      </c>
      <c r="E31" s="134" t="s">
        <v>2639</v>
      </c>
      <c r="F31" s="134" t="s">
        <v>620</v>
      </c>
      <c r="G31" s="134" t="s">
        <v>2640</v>
      </c>
      <c r="H31" s="134" t="s">
        <v>622</v>
      </c>
      <c r="I31" s="134" t="s">
        <v>2641</v>
      </c>
      <c r="J31" s="134" t="s">
        <v>2642</v>
      </c>
      <c r="K31" s="134" t="b">
        <v>0</v>
      </c>
      <c r="L31" s="134" t="s">
        <v>84</v>
      </c>
      <c r="M31" s="134" t="s">
        <v>54</v>
      </c>
      <c r="N31" s="134" t="s">
        <v>55</v>
      </c>
      <c r="O31" s="134" t="s">
        <v>70</v>
      </c>
      <c r="P31" s="134" t="s">
        <v>2647</v>
      </c>
      <c r="Q31" s="135">
        <v>10.0</v>
      </c>
      <c r="R31" s="134" t="s">
        <v>2648</v>
      </c>
      <c r="S31" s="134" t="s">
        <v>378</v>
      </c>
      <c r="T31" s="136">
        <f>+573046754652</f>
        <v>573046754652</v>
      </c>
      <c r="U31" s="134" t="s">
        <v>75</v>
      </c>
      <c r="V31" s="134" t="s">
        <v>2570</v>
      </c>
    </row>
    <row r="32">
      <c r="A32" s="135">
        <v>5.43601565202502E14</v>
      </c>
      <c r="B32" s="135" t="s">
        <v>2572</v>
      </c>
      <c r="C32" s="134" t="s">
        <v>2637</v>
      </c>
      <c r="D32" s="134" t="s">
        <v>2638</v>
      </c>
      <c r="E32" s="134" t="s">
        <v>2639</v>
      </c>
      <c r="F32" s="134" t="s">
        <v>620</v>
      </c>
      <c r="G32" s="134" t="s">
        <v>2640</v>
      </c>
      <c r="H32" s="134" t="s">
        <v>622</v>
      </c>
      <c r="I32" s="134" t="s">
        <v>2641</v>
      </c>
      <c r="J32" s="134" t="s">
        <v>2642</v>
      </c>
      <c r="K32" s="134" t="b">
        <v>0</v>
      </c>
      <c r="L32" s="134" t="s">
        <v>84</v>
      </c>
      <c r="M32" s="134" t="s">
        <v>69</v>
      </c>
      <c r="N32" s="134" t="s">
        <v>55</v>
      </c>
      <c r="O32" s="134" t="s">
        <v>70</v>
      </c>
      <c r="P32" s="134" t="s">
        <v>2251</v>
      </c>
      <c r="Q32" s="135">
        <v>9.0</v>
      </c>
      <c r="R32" s="135">
        <v>5.0</v>
      </c>
      <c r="S32" s="134" t="s">
        <v>2252</v>
      </c>
      <c r="T32" s="136">
        <f>+573125072725</f>
        <v>573125072725</v>
      </c>
      <c r="U32" s="134" t="s">
        <v>681</v>
      </c>
      <c r="V32" s="134" t="s">
        <v>2570</v>
      </c>
    </row>
    <row r="33">
      <c r="A33" s="134" t="s">
        <v>2649</v>
      </c>
      <c r="B33" s="135" t="s">
        <v>2572</v>
      </c>
      <c r="C33" s="134" t="s">
        <v>2637</v>
      </c>
      <c r="D33" s="134" t="s">
        <v>2638</v>
      </c>
      <c r="E33" s="134" t="s">
        <v>2639</v>
      </c>
      <c r="F33" s="134" t="s">
        <v>620</v>
      </c>
      <c r="G33" s="134" t="s">
        <v>2640</v>
      </c>
      <c r="H33" s="134" t="s">
        <v>622</v>
      </c>
      <c r="I33" s="134" t="s">
        <v>2641</v>
      </c>
      <c r="J33" s="134" t="s">
        <v>2642</v>
      </c>
      <c r="K33" s="134" t="b">
        <v>0</v>
      </c>
      <c r="L33" s="134" t="s">
        <v>53</v>
      </c>
      <c r="M33" s="134" t="s">
        <v>54</v>
      </c>
      <c r="N33" s="134" t="s">
        <v>55</v>
      </c>
      <c r="O33" s="134" t="s">
        <v>70</v>
      </c>
      <c r="P33" s="134" t="s">
        <v>182</v>
      </c>
      <c r="Q33" s="135">
        <v>5.0</v>
      </c>
      <c r="R33" s="134" t="s">
        <v>73</v>
      </c>
      <c r="S33" s="134" t="s">
        <v>2650</v>
      </c>
      <c r="T33" s="136">
        <f>+573223656205</f>
        <v>573223656205</v>
      </c>
      <c r="U33" s="134" t="s">
        <v>75</v>
      </c>
      <c r="V33" s="134" t="s">
        <v>2570</v>
      </c>
    </row>
    <row r="34">
      <c r="A34" s="135">
        <v>5.97906669230824E14</v>
      </c>
      <c r="B34" s="135" t="s">
        <v>2572</v>
      </c>
      <c r="C34" s="134" t="s">
        <v>2637</v>
      </c>
      <c r="D34" s="134" t="s">
        <v>2638</v>
      </c>
      <c r="E34" s="134" t="s">
        <v>2639</v>
      </c>
      <c r="F34" s="134" t="s">
        <v>620</v>
      </c>
      <c r="G34" s="134" t="s">
        <v>2640</v>
      </c>
      <c r="H34" s="134" t="s">
        <v>622</v>
      </c>
      <c r="I34" s="134" t="s">
        <v>2641</v>
      </c>
      <c r="J34" s="134" t="s">
        <v>2642</v>
      </c>
      <c r="K34" s="134" t="b">
        <v>0</v>
      </c>
      <c r="L34" s="134" t="s">
        <v>53</v>
      </c>
      <c r="M34" s="134" t="s">
        <v>69</v>
      </c>
      <c r="N34" s="134" t="s">
        <v>55</v>
      </c>
      <c r="O34" s="134" t="s">
        <v>70</v>
      </c>
      <c r="P34" s="134" t="s">
        <v>104</v>
      </c>
      <c r="Q34" s="135">
        <v>7.0</v>
      </c>
      <c r="R34" s="134" t="s">
        <v>2651</v>
      </c>
      <c r="S34" s="134" t="s">
        <v>2652</v>
      </c>
      <c r="T34" s="136">
        <f>+573138213331</f>
        <v>573138213331</v>
      </c>
      <c r="U34" s="134" t="s">
        <v>75</v>
      </c>
      <c r="V34" s="134" t="s">
        <v>2570</v>
      </c>
    </row>
    <row r="35">
      <c r="A35" s="134" t="s">
        <v>2653</v>
      </c>
      <c r="B35" s="135" t="s">
        <v>2572</v>
      </c>
      <c r="C35" s="134" t="s">
        <v>2637</v>
      </c>
      <c r="D35" s="134" t="s">
        <v>2638</v>
      </c>
      <c r="E35" s="134" t="s">
        <v>2639</v>
      </c>
      <c r="F35" s="134" t="s">
        <v>620</v>
      </c>
      <c r="G35" s="134" t="s">
        <v>2640</v>
      </c>
      <c r="H35" s="134" t="s">
        <v>622</v>
      </c>
      <c r="I35" s="134" t="s">
        <v>2641</v>
      </c>
      <c r="J35" s="134" t="s">
        <v>2642</v>
      </c>
      <c r="K35" s="134" t="b">
        <v>0</v>
      </c>
      <c r="L35" s="134" t="s">
        <v>84</v>
      </c>
      <c r="M35" s="134" t="s">
        <v>69</v>
      </c>
      <c r="N35" s="134" t="s">
        <v>85</v>
      </c>
      <c r="O35" s="134" t="s">
        <v>56</v>
      </c>
      <c r="P35" s="134" t="s">
        <v>2654</v>
      </c>
      <c r="Q35" s="134" t="s">
        <v>2654</v>
      </c>
      <c r="R35" s="134" t="s">
        <v>2655</v>
      </c>
      <c r="S35" s="134" t="s">
        <v>553</v>
      </c>
      <c r="T35" s="135">
        <v>3.217193273E9</v>
      </c>
      <c r="U35" s="134" t="s">
        <v>75</v>
      </c>
      <c r="V35" s="134" t="s">
        <v>2570</v>
      </c>
    </row>
    <row r="36">
      <c r="A36" s="134" t="s">
        <v>2656</v>
      </c>
      <c r="B36" s="135" t="s">
        <v>2572</v>
      </c>
      <c r="C36" s="134" t="s">
        <v>2637</v>
      </c>
      <c r="D36" s="134" t="s">
        <v>2638</v>
      </c>
      <c r="E36" s="134" t="s">
        <v>2639</v>
      </c>
      <c r="F36" s="134" t="s">
        <v>620</v>
      </c>
      <c r="G36" s="134" t="s">
        <v>2640</v>
      </c>
      <c r="H36" s="134" t="s">
        <v>622</v>
      </c>
      <c r="I36" s="134" t="s">
        <v>2641</v>
      </c>
      <c r="J36" s="134" t="s">
        <v>2642</v>
      </c>
      <c r="K36" s="134" t="b">
        <v>0</v>
      </c>
      <c r="L36" s="134" t="s">
        <v>53</v>
      </c>
      <c r="M36" s="134" t="s">
        <v>69</v>
      </c>
      <c r="N36" s="134" t="s">
        <v>137</v>
      </c>
      <c r="O36" s="134" t="s">
        <v>70</v>
      </c>
      <c r="P36" s="134" t="s">
        <v>141</v>
      </c>
      <c r="Q36" s="135">
        <v>10.0</v>
      </c>
      <c r="R36" s="134" t="s">
        <v>142</v>
      </c>
      <c r="S36" s="134" t="s">
        <v>2657</v>
      </c>
      <c r="T36" s="136">
        <f>+573145102183</f>
        <v>573145102183</v>
      </c>
      <c r="U36" s="134" t="s">
        <v>681</v>
      </c>
      <c r="V36" s="134" t="s">
        <v>2570</v>
      </c>
    </row>
    <row r="37">
      <c r="A37" s="135">
        <v>5.13213728372982E14</v>
      </c>
      <c r="B37" s="137">
        <v>45637.0</v>
      </c>
      <c r="C37" s="134" t="s">
        <v>2637</v>
      </c>
      <c r="D37" s="134" t="s">
        <v>2638</v>
      </c>
      <c r="E37" s="134" t="s">
        <v>2639</v>
      </c>
      <c r="F37" s="134" t="s">
        <v>620</v>
      </c>
      <c r="G37" s="134" t="s">
        <v>2640</v>
      </c>
      <c r="H37" s="134" t="s">
        <v>622</v>
      </c>
      <c r="I37" s="134" t="s">
        <v>2641</v>
      </c>
      <c r="J37" s="134" t="s">
        <v>2642</v>
      </c>
      <c r="K37" s="134" t="b">
        <v>0</v>
      </c>
      <c r="L37" s="134" t="s">
        <v>53</v>
      </c>
      <c r="M37" s="134" t="s">
        <v>54</v>
      </c>
      <c r="N37" s="134" t="s">
        <v>55</v>
      </c>
      <c r="O37" s="134" t="s">
        <v>70</v>
      </c>
      <c r="P37" s="134" t="s">
        <v>2658</v>
      </c>
      <c r="Q37" s="135">
        <v>5.0</v>
      </c>
      <c r="R37" s="134" t="s">
        <v>73</v>
      </c>
      <c r="S37" s="134" t="s">
        <v>997</v>
      </c>
      <c r="T37" s="136">
        <f>+573186265865</f>
        <v>573186265865</v>
      </c>
      <c r="U37" s="134" t="s">
        <v>61</v>
      </c>
      <c r="V37" s="134" t="s">
        <v>2570</v>
      </c>
    </row>
    <row r="38">
      <c r="A38" s="134" t="s">
        <v>2659</v>
      </c>
      <c r="B38" s="137">
        <v>45637.0</v>
      </c>
      <c r="C38" s="134" t="s">
        <v>2637</v>
      </c>
      <c r="D38" s="134" t="s">
        <v>2638</v>
      </c>
      <c r="E38" s="134" t="s">
        <v>2639</v>
      </c>
      <c r="F38" s="134" t="s">
        <v>620</v>
      </c>
      <c r="G38" s="134" t="s">
        <v>2640</v>
      </c>
      <c r="H38" s="134" t="s">
        <v>622</v>
      </c>
      <c r="I38" s="134" t="s">
        <v>2641</v>
      </c>
      <c r="J38" s="134" t="s">
        <v>2642</v>
      </c>
      <c r="K38" s="134" t="b">
        <v>0</v>
      </c>
      <c r="L38" s="134" t="s">
        <v>53</v>
      </c>
      <c r="M38" s="134" t="s">
        <v>69</v>
      </c>
      <c r="N38" s="134" t="s">
        <v>55</v>
      </c>
      <c r="O38" s="134" t="s">
        <v>70</v>
      </c>
      <c r="P38" s="134" t="s">
        <v>546</v>
      </c>
      <c r="Q38" s="135">
        <v>7.0</v>
      </c>
      <c r="R38" s="134" t="s">
        <v>261</v>
      </c>
      <c r="S38" s="134" t="s">
        <v>2660</v>
      </c>
      <c r="T38" s="136">
        <f>+573163018278</f>
        <v>573163018278</v>
      </c>
      <c r="U38" s="134" t="s">
        <v>75</v>
      </c>
      <c r="V38" s="134" t="s">
        <v>2570</v>
      </c>
    </row>
    <row r="39">
      <c r="A39" s="135">
        <v>8.76693081114285E14</v>
      </c>
      <c r="B39" s="137">
        <v>45637.0</v>
      </c>
      <c r="C39" s="134" t="s">
        <v>2637</v>
      </c>
      <c r="D39" s="134" t="s">
        <v>2638</v>
      </c>
      <c r="E39" s="134" t="s">
        <v>2639</v>
      </c>
      <c r="F39" s="134" t="s">
        <v>620</v>
      </c>
      <c r="G39" s="134" t="s">
        <v>2640</v>
      </c>
      <c r="H39" s="134" t="s">
        <v>622</v>
      </c>
      <c r="I39" s="134" t="s">
        <v>2641</v>
      </c>
      <c r="J39" s="134" t="s">
        <v>2642</v>
      </c>
      <c r="K39" s="134" t="b">
        <v>0</v>
      </c>
      <c r="L39" s="134" t="s">
        <v>53</v>
      </c>
      <c r="M39" s="134" t="s">
        <v>69</v>
      </c>
      <c r="N39" s="134" t="s">
        <v>55</v>
      </c>
      <c r="O39" s="134" t="s">
        <v>70</v>
      </c>
      <c r="P39" s="134" t="s">
        <v>211</v>
      </c>
      <c r="Q39" s="135">
        <v>10.0</v>
      </c>
      <c r="R39" s="134" t="s">
        <v>173</v>
      </c>
      <c r="S39" s="134" t="s">
        <v>2661</v>
      </c>
      <c r="T39" s="135">
        <v>3.233649003E9</v>
      </c>
      <c r="U39" s="134" t="s">
        <v>61</v>
      </c>
      <c r="V39" s="134" t="s">
        <v>2570</v>
      </c>
    </row>
    <row r="40">
      <c r="A40" s="134" t="s">
        <v>2662</v>
      </c>
      <c r="B40" s="137">
        <v>45637.0</v>
      </c>
      <c r="C40" s="134" t="s">
        <v>2637</v>
      </c>
      <c r="D40" s="134" t="s">
        <v>2638</v>
      </c>
      <c r="E40" s="134" t="s">
        <v>2639</v>
      </c>
      <c r="F40" s="134" t="s">
        <v>620</v>
      </c>
      <c r="G40" s="134" t="s">
        <v>2640</v>
      </c>
      <c r="H40" s="134" t="s">
        <v>622</v>
      </c>
      <c r="I40" s="134" t="s">
        <v>2641</v>
      </c>
      <c r="J40" s="134" t="s">
        <v>2642</v>
      </c>
      <c r="K40" s="134" t="b">
        <v>0</v>
      </c>
      <c r="L40" s="134" t="s">
        <v>53</v>
      </c>
      <c r="M40" s="134" t="s">
        <v>54</v>
      </c>
      <c r="N40" s="134" t="s">
        <v>55</v>
      </c>
      <c r="O40" s="134" t="s">
        <v>70</v>
      </c>
      <c r="P40" s="134" t="s">
        <v>141</v>
      </c>
      <c r="Q40" s="135">
        <v>10.0</v>
      </c>
      <c r="R40" s="134" t="s">
        <v>2663</v>
      </c>
      <c r="S40" s="134" t="s">
        <v>2664</v>
      </c>
      <c r="T40" s="136">
        <f>+573208800266</f>
        <v>573208800266</v>
      </c>
      <c r="U40" s="134" t="s">
        <v>61</v>
      </c>
      <c r="V40" s="134" t="s">
        <v>2570</v>
      </c>
    </row>
    <row r="41">
      <c r="A41" s="134" t="s">
        <v>2665</v>
      </c>
      <c r="B41" s="137">
        <v>45637.0</v>
      </c>
      <c r="C41" s="134" t="s">
        <v>2637</v>
      </c>
      <c r="D41" s="134" t="s">
        <v>2638</v>
      </c>
      <c r="E41" s="134" t="s">
        <v>2639</v>
      </c>
      <c r="F41" s="134" t="s">
        <v>620</v>
      </c>
      <c r="G41" s="134" t="s">
        <v>2640</v>
      </c>
      <c r="H41" s="134" t="s">
        <v>622</v>
      </c>
      <c r="I41" s="134" t="s">
        <v>2641</v>
      </c>
      <c r="J41" s="134" t="s">
        <v>2642</v>
      </c>
      <c r="K41" s="134" t="b">
        <v>0</v>
      </c>
      <c r="L41" s="134" t="s">
        <v>84</v>
      </c>
      <c r="M41" s="134" t="s">
        <v>54</v>
      </c>
      <c r="N41" s="134" t="s">
        <v>85</v>
      </c>
      <c r="O41" s="134" t="s">
        <v>70</v>
      </c>
      <c r="P41" s="134" t="s">
        <v>2465</v>
      </c>
      <c r="Q41" s="135">
        <v>5.0</v>
      </c>
      <c r="R41" s="134" t="s">
        <v>2666</v>
      </c>
      <c r="S41" s="134" t="s">
        <v>2667</v>
      </c>
      <c r="T41" s="136">
        <f>+573223065260</f>
        <v>573223065260</v>
      </c>
      <c r="U41" s="134" t="s">
        <v>75</v>
      </c>
      <c r="V41" s="134" t="s">
        <v>2570</v>
      </c>
    </row>
    <row r="42">
      <c r="A42" s="134" t="s">
        <v>2668</v>
      </c>
      <c r="B42" s="137">
        <v>45607.0</v>
      </c>
      <c r="C42" s="134" t="s">
        <v>2637</v>
      </c>
      <c r="D42" s="134" t="s">
        <v>2638</v>
      </c>
      <c r="E42" s="134" t="s">
        <v>2639</v>
      </c>
      <c r="F42" s="134" t="s">
        <v>620</v>
      </c>
      <c r="G42" s="134" t="s">
        <v>2640</v>
      </c>
      <c r="H42" s="134" t="s">
        <v>622</v>
      </c>
      <c r="I42" s="134" t="s">
        <v>2641</v>
      </c>
      <c r="J42" s="134" t="s">
        <v>2642</v>
      </c>
      <c r="K42" s="134" t="b">
        <v>0</v>
      </c>
      <c r="L42" s="134" t="s">
        <v>53</v>
      </c>
      <c r="M42" s="134" t="s">
        <v>69</v>
      </c>
      <c r="N42" s="134" t="s">
        <v>137</v>
      </c>
      <c r="O42" s="134" t="s">
        <v>70</v>
      </c>
      <c r="P42" s="134" t="s">
        <v>2669</v>
      </c>
      <c r="Q42" s="135">
        <v>7.0</v>
      </c>
      <c r="R42" s="134" t="s">
        <v>154</v>
      </c>
      <c r="S42" s="134" t="s">
        <v>2670</v>
      </c>
      <c r="T42" s="136">
        <f>+573146012684</f>
        <v>573146012684</v>
      </c>
      <c r="U42" s="134" t="s">
        <v>61</v>
      </c>
      <c r="V42" s="134" t="s">
        <v>2570</v>
      </c>
    </row>
    <row r="43">
      <c r="A43" s="134" t="s">
        <v>2671</v>
      </c>
      <c r="B43" s="137">
        <v>45607.0</v>
      </c>
      <c r="C43" s="134" t="s">
        <v>2637</v>
      </c>
      <c r="D43" s="134" t="s">
        <v>2638</v>
      </c>
      <c r="E43" s="134" t="s">
        <v>2639</v>
      </c>
      <c r="F43" s="134" t="s">
        <v>620</v>
      </c>
      <c r="G43" s="134" t="s">
        <v>2640</v>
      </c>
      <c r="H43" s="134" t="s">
        <v>622</v>
      </c>
      <c r="I43" s="134" t="s">
        <v>2641</v>
      </c>
      <c r="J43" s="134" t="s">
        <v>2642</v>
      </c>
      <c r="K43" s="134" t="b">
        <v>0</v>
      </c>
      <c r="L43" s="134" t="s">
        <v>53</v>
      </c>
      <c r="M43" s="134" t="s">
        <v>69</v>
      </c>
      <c r="N43" s="134" t="s">
        <v>55</v>
      </c>
      <c r="O43" s="134" t="s">
        <v>70</v>
      </c>
      <c r="P43" s="134" t="s">
        <v>57</v>
      </c>
      <c r="Q43" s="135">
        <v>5.0</v>
      </c>
      <c r="R43" s="134" t="s">
        <v>2672</v>
      </c>
      <c r="S43" s="134" t="s">
        <v>2673</v>
      </c>
      <c r="T43" s="136">
        <f>+573137844705</f>
        <v>573137844705</v>
      </c>
      <c r="U43" s="134" t="s">
        <v>75</v>
      </c>
      <c r="V43" s="134" t="s">
        <v>2570</v>
      </c>
    </row>
    <row r="44">
      <c r="A44" s="135">
        <v>9.13339213658038E14</v>
      </c>
      <c r="B44" s="137">
        <v>45607.0</v>
      </c>
      <c r="C44" s="134" t="s">
        <v>2637</v>
      </c>
      <c r="D44" s="134" t="s">
        <v>2638</v>
      </c>
      <c r="E44" s="134" t="s">
        <v>2639</v>
      </c>
      <c r="F44" s="134" t="s">
        <v>620</v>
      </c>
      <c r="G44" s="134" t="s">
        <v>2640</v>
      </c>
      <c r="H44" s="134" t="s">
        <v>622</v>
      </c>
      <c r="I44" s="134" t="s">
        <v>2641</v>
      </c>
      <c r="J44" s="134" t="s">
        <v>2642</v>
      </c>
      <c r="K44" s="134" t="b">
        <v>0</v>
      </c>
      <c r="L44" s="134" t="s">
        <v>53</v>
      </c>
      <c r="M44" s="134" t="s">
        <v>54</v>
      </c>
      <c r="N44" s="134" t="s">
        <v>137</v>
      </c>
      <c r="O44" s="134" t="s">
        <v>56</v>
      </c>
      <c r="P44" s="134" t="s">
        <v>762</v>
      </c>
      <c r="Q44" s="135">
        <v>10.0</v>
      </c>
      <c r="R44" s="134" t="s">
        <v>1211</v>
      </c>
      <c r="S44" s="134" t="s">
        <v>2674</v>
      </c>
      <c r="T44" s="136">
        <f>+573102340589</f>
        <v>573102340589</v>
      </c>
      <c r="U44" s="134" t="s">
        <v>75</v>
      </c>
      <c r="V44" s="134" t="s">
        <v>2570</v>
      </c>
    </row>
    <row r="45">
      <c r="A45" s="134" t="s">
        <v>2675</v>
      </c>
      <c r="B45" s="137">
        <v>45607.0</v>
      </c>
      <c r="C45" s="134" t="s">
        <v>2637</v>
      </c>
      <c r="D45" s="134" t="s">
        <v>2638</v>
      </c>
      <c r="E45" s="134" t="s">
        <v>2639</v>
      </c>
      <c r="F45" s="134" t="s">
        <v>620</v>
      </c>
      <c r="G45" s="134" t="s">
        <v>2640</v>
      </c>
      <c r="H45" s="134" t="s">
        <v>622</v>
      </c>
      <c r="I45" s="134" t="s">
        <v>2641</v>
      </c>
      <c r="J45" s="134" t="s">
        <v>2642</v>
      </c>
      <c r="K45" s="134" t="b">
        <v>0</v>
      </c>
      <c r="L45" s="134" t="s">
        <v>53</v>
      </c>
      <c r="M45" s="134" t="s">
        <v>54</v>
      </c>
      <c r="N45" s="134" t="s">
        <v>85</v>
      </c>
      <c r="O45" s="134" t="s">
        <v>56</v>
      </c>
      <c r="P45" s="134" t="s">
        <v>2676</v>
      </c>
      <c r="Q45" s="135">
        <v>10.0</v>
      </c>
      <c r="R45" s="134" t="s">
        <v>173</v>
      </c>
      <c r="S45" s="134" t="s">
        <v>2677</v>
      </c>
      <c r="T45" s="136">
        <f>+573178333405</f>
        <v>573178333405</v>
      </c>
      <c r="U45" s="134" t="s">
        <v>61</v>
      </c>
      <c r="V45" s="134" t="s">
        <v>2570</v>
      </c>
    </row>
    <row r="46">
      <c r="A46" s="134" t="s">
        <v>2678</v>
      </c>
      <c r="B46" s="137">
        <v>45607.0</v>
      </c>
      <c r="C46" s="134" t="s">
        <v>2637</v>
      </c>
      <c r="D46" s="134" t="s">
        <v>2638</v>
      </c>
      <c r="E46" s="134" t="s">
        <v>2639</v>
      </c>
      <c r="F46" s="134" t="s">
        <v>620</v>
      </c>
      <c r="G46" s="134" t="s">
        <v>2640</v>
      </c>
      <c r="H46" s="134" t="s">
        <v>622</v>
      </c>
      <c r="I46" s="134" t="s">
        <v>2641</v>
      </c>
      <c r="J46" s="134" t="s">
        <v>2642</v>
      </c>
      <c r="K46" s="134" t="b">
        <v>0</v>
      </c>
      <c r="L46" s="134" t="s">
        <v>53</v>
      </c>
      <c r="M46" s="134" t="s">
        <v>54</v>
      </c>
      <c r="N46" s="134" t="s">
        <v>85</v>
      </c>
      <c r="O46" s="134" t="s">
        <v>70</v>
      </c>
      <c r="P46" s="134" t="s">
        <v>2679</v>
      </c>
      <c r="Q46" s="135">
        <v>7.0</v>
      </c>
      <c r="R46" s="134" t="s">
        <v>679</v>
      </c>
      <c r="S46" s="134" t="s">
        <v>2680</v>
      </c>
      <c r="T46" s="136">
        <f>+573003175359</f>
        <v>573003175359</v>
      </c>
      <c r="U46" s="134" t="s">
        <v>75</v>
      </c>
      <c r="V46" s="134" t="s">
        <v>2570</v>
      </c>
    </row>
    <row r="47">
      <c r="A47" s="135">
        <v>5.87478347177319E14</v>
      </c>
      <c r="B47" s="137">
        <v>45607.0</v>
      </c>
      <c r="C47" s="134" t="s">
        <v>2637</v>
      </c>
      <c r="D47" s="134" t="s">
        <v>2638</v>
      </c>
      <c r="E47" s="134" t="s">
        <v>2639</v>
      </c>
      <c r="F47" s="134" t="s">
        <v>620</v>
      </c>
      <c r="G47" s="134" t="s">
        <v>2640</v>
      </c>
      <c r="H47" s="134" t="s">
        <v>622</v>
      </c>
      <c r="I47" s="134" t="s">
        <v>2641</v>
      </c>
      <c r="J47" s="134" t="s">
        <v>2642</v>
      </c>
      <c r="K47" s="134" t="b">
        <v>0</v>
      </c>
      <c r="L47" s="134" t="s">
        <v>53</v>
      </c>
      <c r="M47" s="134" t="s">
        <v>54</v>
      </c>
      <c r="N47" s="134" t="s">
        <v>85</v>
      </c>
      <c r="O47" s="134" t="s">
        <v>56</v>
      </c>
      <c r="P47" s="134" t="s">
        <v>770</v>
      </c>
      <c r="Q47" s="135">
        <v>10.0</v>
      </c>
      <c r="R47" s="134" t="s">
        <v>2681</v>
      </c>
      <c r="S47" s="134" t="s">
        <v>2682</v>
      </c>
      <c r="T47" s="136">
        <f>+573004776501</f>
        <v>573004776501</v>
      </c>
      <c r="U47" s="134" t="s">
        <v>75</v>
      </c>
      <c r="V47" s="134" t="s">
        <v>2570</v>
      </c>
    </row>
    <row r="48">
      <c r="A48" s="135">
        <v>8.23817903061281E14</v>
      </c>
      <c r="B48" s="137">
        <v>45576.0</v>
      </c>
      <c r="C48" s="134" t="s">
        <v>2637</v>
      </c>
      <c r="D48" s="134" t="s">
        <v>2638</v>
      </c>
      <c r="E48" s="134" t="s">
        <v>2639</v>
      </c>
      <c r="F48" s="134" t="s">
        <v>620</v>
      </c>
      <c r="G48" s="134" t="s">
        <v>2640</v>
      </c>
      <c r="H48" s="134" t="s">
        <v>622</v>
      </c>
      <c r="I48" s="134" t="s">
        <v>2641</v>
      </c>
      <c r="J48" s="134" t="s">
        <v>2642</v>
      </c>
      <c r="K48" s="134" t="b">
        <v>0</v>
      </c>
      <c r="L48" s="134" t="s">
        <v>53</v>
      </c>
      <c r="M48" s="134" t="s">
        <v>69</v>
      </c>
      <c r="N48" s="134" t="s">
        <v>55</v>
      </c>
      <c r="O48" s="134" t="s">
        <v>70</v>
      </c>
      <c r="P48" s="134" t="s">
        <v>2683</v>
      </c>
      <c r="Q48" s="135">
        <v>10.0</v>
      </c>
      <c r="R48" s="134" t="s">
        <v>2105</v>
      </c>
      <c r="S48" s="134" t="s">
        <v>2684</v>
      </c>
      <c r="T48" s="136">
        <f>+573004331073</f>
        <v>573004331073</v>
      </c>
      <c r="U48" s="134" t="s">
        <v>61</v>
      </c>
      <c r="V48" s="134" t="s">
        <v>2570</v>
      </c>
    </row>
    <row r="49">
      <c r="A49" s="134" t="s">
        <v>2685</v>
      </c>
      <c r="B49" s="137">
        <v>45576.0</v>
      </c>
      <c r="C49" s="134" t="s">
        <v>2637</v>
      </c>
      <c r="D49" s="134" t="s">
        <v>2638</v>
      </c>
      <c r="E49" s="134" t="s">
        <v>2639</v>
      </c>
      <c r="F49" s="134" t="s">
        <v>620</v>
      </c>
      <c r="G49" s="134" t="s">
        <v>2640</v>
      </c>
      <c r="H49" s="134" t="s">
        <v>622</v>
      </c>
      <c r="I49" s="134" t="s">
        <v>2641</v>
      </c>
      <c r="J49" s="134" t="s">
        <v>2642</v>
      </c>
      <c r="K49" s="134" t="b">
        <v>0</v>
      </c>
      <c r="L49" s="134" t="s">
        <v>84</v>
      </c>
      <c r="M49" s="134" t="s">
        <v>54</v>
      </c>
      <c r="N49" s="134" t="s">
        <v>85</v>
      </c>
      <c r="O49" s="134" t="s">
        <v>70</v>
      </c>
      <c r="P49" s="134" t="s">
        <v>1440</v>
      </c>
      <c r="Q49" s="135">
        <v>4.0</v>
      </c>
      <c r="R49" s="134" t="s">
        <v>2686</v>
      </c>
      <c r="S49" s="134" t="s">
        <v>2687</v>
      </c>
      <c r="T49" s="136">
        <f>+573183205068</f>
        <v>573183205068</v>
      </c>
      <c r="U49" s="134" t="s">
        <v>75</v>
      </c>
      <c r="V49" s="134" t="s">
        <v>2570</v>
      </c>
    </row>
    <row r="50">
      <c r="A50" s="134" t="s">
        <v>2688</v>
      </c>
      <c r="B50" s="137">
        <v>45576.0</v>
      </c>
      <c r="C50" s="134" t="s">
        <v>2637</v>
      </c>
      <c r="D50" s="134" t="s">
        <v>2638</v>
      </c>
      <c r="E50" s="134" t="s">
        <v>2639</v>
      </c>
      <c r="F50" s="134" t="s">
        <v>620</v>
      </c>
      <c r="G50" s="134" t="s">
        <v>2640</v>
      </c>
      <c r="H50" s="134" t="s">
        <v>622</v>
      </c>
      <c r="I50" s="134" t="s">
        <v>2641</v>
      </c>
      <c r="J50" s="134" t="s">
        <v>2642</v>
      </c>
      <c r="K50" s="134" t="b">
        <v>0</v>
      </c>
      <c r="L50" s="134" t="s">
        <v>53</v>
      </c>
      <c r="M50" s="134" t="s">
        <v>54</v>
      </c>
      <c r="N50" s="134" t="s">
        <v>55</v>
      </c>
      <c r="O50" s="134" t="s">
        <v>86</v>
      </c>
      <c r="P50" s="134" t="s">
        <v>2689</v>
      </c>
      <c r="Q50" s="135">
        <v>10.0</v>
      </c>
      <c r="R50" s="134" t="s">
        <v>173</v>
      </c>
      <c r="S50" s="134" t="s">
        <v>2690</v>
      </c>
      <c r="T50" s="136">
        <f>+573165379578</f>
        <v>573165379578</v>
      </c>
      <c r="U50" s="134" t="s">
        <v>75</v>
      </c>
      <c r="V50" s="134" t="s">
        <v>2570</v>
      </c>
    </row>
    <row r="51">
      <c r="A51" s="135">
        <v>8.84284510511061E14</v>
      </c>
      <c r="B51" s="137">
        <v>45546.0</v>
      </c>
      <c r="C51" s="134" t="s">
        <v>2637</v>
      </c>
      <c r="D51" s="134" t="s">
        <v>2638</v>
      </c>
      <c r="E51" s="134" t="s">
        <v>2639</v>
      </c>
      <c r="F51" s="134" t="s">
        <v>620</v>
      </c>
      <c r="G51" s="134" t="s">
        <v>2640</v>
      </c>
      <c r="H51" s="134" t="s">
        <v>622</v>
      </c>
      <c r="I51" s="134" t="s">
        <v>2641</v>
      </c>
      <c r="J51" s="134" t="s">
        <v>2642</v>
      </c>
      <c r="K51" s="134" t="b">
        <v>0</v>
      </c>
      <c r="L51" s="134" t="s">
        <v>53</v>
      </c>
      <c r="M51" s="134" t="s">
        <v>69</v>
      </c>
      <c r="N51" s="134" t="s">
        <v>137</v>
      </c>
      <c r="O51" s="134" t="s">
        <v>70</v>
      </c>
      <c r="P51" s="134" t="s">
        <v>577</v>
      </c>
      <c r="Q51" s="135">
        <v>10.0</v>
      </c>
      <c r="R51" s="134" t="s">
        <v>100</v>
      </c>
      <c r="S51" s="134" t="s">
        <v>2691</v>
      </c>
      <c r="T51" s="136">
        <f>+573014232432</f>
        <v>573014232432</v>
      </c>
      <c r="U51" s="134" t="s">
        <v>61</v>
      </c>
      <c r="V51" s="134" t="s">
        <v>2570</v>
      </c>
    </row>
    <row r="52">
      <c r="A52" s="135">
        <v>5.78608684621193E14</v>
      </c>
      <c r="B52" s="137">
        <v>45546.0</v>
      </c>
      <c r="C52" s="134" t="s">
        <v>2637</v>
      </c>
      <c r="D52" s="134" t="s">
        <v>2638</v>
      </c>
      <c r="E52" s="134" t="s">
        <v>2639</v>
      </c>
      <c r="F52" s="134" t="s">
        <v>620</v>
      </c>
      <c r="G52" s="134" t="s">
        <v>2640</v>
      </c>
      <c r="H52" s="134" t="s">
        <v>622</v>
      </c>
      <c r="I52" s="134" t="s">
        <v>2641</v>
      </c>
      <c r="J52" s="134" t="s">
        <v>2642</v>
      </c>
      <c r="K52" s="134" t="b">
        <v>0</v>
      </c>
      <c r="L52" s="134" t="s">
        <v>84</v>
      </c>
      <c r="M52" s="134" t="s">
        <v>69</v>
      </c>
      <c r="N52" s="134" t="s">
        <v>55</v>
      </c>
      <c r="O52" s="134" t="s">
        <v>70</v>
      </c>
      <c r="P52" s="134" t="s">
        <v>2692</v>
      </c>
      <c r="Q52" s="135">
        <v>10.0</v>
      </c>
      <c r="R52" s="134" t="s">
        <v>608</v>
      </c>
      <c r="S52" s="134" t="s">
        <v>2693</v>
      </c>
      <c r="T52" s="136">
        <f>+573193068499</f>
        <v>573193068499</v>
      </c>
      <c r="U52" s="134" t="s">
        <v>75</v>
      </c>
      <c r="V52" s="134" t="s">
        <v>2570</v>
      </c>
    </row>
    <row r="53">
      <c r="A53" s="134" t="s">
        <v>2694</v>
      </c>
      <c r="B53" s="137">
        <v>45546.0</v>
      </c>
      <c r="C53" s="134" t="s">
        <v>2637</v>
      </c>
      <c r="D53" s="134" t="s">
        <v>2638</v>
      </c>
      <c r="E53" s="134" t="s">
        <v>2639</v>
      </c>
      <c r="F53" s="134" t="s">
        <v>620</v>
      </c>
      <c r="G53" s="134" t="s">
        <v>2640</v>
      </c>
      <c r="H53" s="134" t="s">
        <v>622</v>
      </c>
      <c r="I53" s="134" t="s">
        <v>2641</v>
      </c>
      <c r="J53" s="134" t="s">
        <v>2642</v>
      </c>
      <c r="K53" s="134" t="b">
        <v>0</v>
      </c>
      <c r="L53" s="134" t="s">
        <v>84</v>
      </c>
      <c r="M53" s="134" t="s">
        <v>54</v>
      </c>
      <c r="N53" s="134" t="s">
        <v>55</v>
      </c>
      <c r="O53" s="134" t="s">
        <v>56</v>
      </c>
      <c r="P53" s="134" t="s">
        <v>2695</v>
      </c>
      <c r="Q53" s="135">
        <v>8.0</v>
      </c>
      <c r="R53" s="134" t="s">
        <v>2696</v>
      </c>
      <c r="S53" s="134" t="s">
        <v>2697</v>
      </c>
      <c r="T53" s="136">
        <f>+573105116312</f>
        <v>573105116312</v>
      </c>
      <c r="U53" s="134" t="s">
        <v>75</v>
      </c>
      <c r="V53" s="134" t="s">
        <v>2570</v>
      </c>
    </row>
    <row r="54">
      <c r="A54" s="134" t="s">
        <v>2698</v>
      </c>
      <c r="B54" s="137">
        <v>45546.0</v>
      </c>
      <c r="C54" s="134" t="s">
        <v>2637</v>
      </c>
      <c r="D54" s="134" t="s">
        <v>2638</v>
      </c>
      <c r="E54" s="134" t="s">
        <v>2639</v>
      </c>
      <c r="F54" s="134" t="s">
        <v>620</v>
      </c>
      <c r="G54" s="134" t="s">
        <v>2640</v>
      </c>
      <c r="H54" s="134" t="s">
        <v>622</v>
      </c>
      <c r="I54" s="134" t="s">
        <v>2641</v>
      </c>
      <c r="J54" s="134" t="s">
        <v>2642</v>
      </c>
      <c r="K54" s="134" t="b">
        <v>0</v>
      </c>
      <c r="L54" s="134" t="s">
        <v>53</v>
      </c>
      <c r="M54" s="134" t="s">
        <v>54</v>
      </c>
      <c r="N54" s="134" t="s">
        <v>85</v>
      </c>
      <c r="O54" s="134" t="s">
        <v>70</v>
      </c>
      <c r="P54" s="134" t="s">
        <v>1842</v>
      </c>
      <c r="Q54" s="135">
        <v>9.0</v>
      </c>
      <c r="R54" s="134" t="s">
        <v>173</v>
      </c>
      <c r="S54" s="134" t="s">
        <v>2699</v>
      </c>
      <c r="T54" s="135">
        <v>3.12766031E9</v>
      </c>
      <c r="U54" s="134" t="s">
        <v>61</v>
      </c>
      <c r="V54" s="134" t="s">
        <v>2570</v>
      </c>
    </row>
    <row r="55">
      <c r="A55" s="134" t="s">
        <v>2700</v>
      </c>
      <c r="B55" s="137">
        <v>45546.0</v>
      </c>
      <c r="C55" s="134" t="s">
        <v>2637</v>
      </c>
      <c r="D55" s="134" t="s">
        <v>2638</v>
      </c>
      <c r="E55" s="134" t="s">
        <v>2639</v>
      </c>
      <c r="F55" s="134" t="s">
        <v>620</v>
      </c>
      <c r="G55" s="134" t="s">
        <v>2640</v>
      </c>
      <c r="H55" s="134" t="s">
        <v>622</v>
      </c>
      <c r="I55" s="134" t="s">
        <v>2641</v>
      </c>
      <c r="J55" s="134" t="s">
        <v>2642</v>
      </c>
      <c r="K55" s="134" t="b">
        <v>0</v>
      </c>
      <c r="L55" s="134" t="s">
        <v>53</v>
      </c>
      <c r="M55" s="134" t="s">
        <v>54</v>
      </c>
      <c r="N55" s="134" t="s">
        <v>55</v>
      </c>
      <c r="O55" s="134" t="s">
        <v>70</v>
      </c>
      <c r="P55" s="134" t="s">
        <v>232</v>
      </c>
      <c r="Q55" s="134" t="s">
        <v>2701</v>
      </c>
      <c r="R55" s="134" t="s">
        <v>628</v>
      </c>
      <c r="S55" s="134" t="s">
        <v>2702</v>
      </c>
      <c r="T55" s="136">
        <f>+573146283069</f>
        <v>573146283069</v>
      </c>
      <c r="U55" s="134" t="s">
        <v>75</v>
      </c>
      <c r="V55" s="134" t="s">
        <v>2570</v>
      </c>
    </row>
    <row r="56">
      <c r="A56" s="135">
        <v>5.93402580018319E14</v>
      </c>
      <c r="B56" s="137">
        <v>45515.0</v>
      </c>
      <c r="C56" s="134" t="s">
        <v>2637</v>
      </c>
      <c r="D56" s="134" t="s">
        <v>2638</v>
      </c>
      <c r="E56" s="134" t="s">
        <v>2639</v>
      </c>
      <c r="F56" s="134" t="s">
        <v>620</v>
      </c>
      <c r="G56" s="134" t="s">
        <v>2640</v>
      </c>
      <c r="H56" s="134" t="s">
        <v>622</v>
      </c>
      <c r="I56" s="134" t="s">
        <v>2641</v>
      </c>
      <c r="J56" s="134" t="s">
        <v>2642</v>
      </c>
      <c r="K56" s="134" t="b">
        <v>0</v>
      </c>
      <c r="L56" s="134" t="s">
        <v>53</v>
      </c>
      <c r="M56" s="134" t="s">
        <v>69</v>
      </c>
      <c r="N56" s="134" t="s">
        <v>55</v>
      </c>
      <c r="O56" s="134" t="s">
        <v>70</v>
      </c>
      <c r="P56" s="134" t="s">
        <v>132</v>
      </c>
      <c r="Q56" s="135">
        <v>8.0</v>
      </c>
      <c r="R56" s="134" t="s">
        <v>173</v>
      </c>
      <c r="S56" s="134" t="s">
        <v>2703</v>
      </c>
      <c r="T56" s="136">
        <f>+573113120539</f>
        <v>573113120539</v>
      </c>
      <c r="U56" s="134" t="s">
        <v>61</v>
      </c>
      <c r="V56" s="134" t="s">
        <v>2570</v>
      </c>
    </row>
    <row r="57">
      <c r="A57" s="135">
        <v>5.73716341997038E14</v>
      </c>
      <c r="B57" s="137">
        <v>45515.0</v>
      </c>
      <c r="C57" s="134" t="s">
        <v>2637</v>
      </c>
      <c r="D57" s="134" t="s">
        <v>2638</v>
      </c>
      <c r="E57" s="134" t="s">
        <v>2639</v>
      </c>
      <c r="F57" s="134" t="s">
        <v>620</v>
      </c>
      <c r="G57" s="134" t="s">
        <v>2640</v>
      </c>
      <c r="H57" s="134" t="s">
        <v>622</v>
      </c>
      <c r="I57" s="134" t="s">
        <v>2641</v>
      </c>
      <c r="J57" s="134" t="s">
        <v>2642</v>
      </c>
      <c r="K57" s="134" t="b">
        <v>0</v>
      </c>
      <c r="L57" s="134" t="s">
        <v>84</v>
      </c>
      <c r="M57" s="134" t="s">
        <v>54</v>
      </c>
      <c r="N57" s="134" t="s">
        <v>85</v>
      </c>
      <c r="O57" s="134" t="s">
        <v>70</v>
      </c>
      <c r="P57" s="134" t="s">
        <v>2704</v>
      </c>
      <c r="Q57" s="135">
        <v>4.0</v>
      </c>
      <c r="R57" s="134" t="s">
        <v>2705</v>
      </c>
      <c r="S57" s="134" t="s">
        <v>2488</v>
      </c>
      <c r="T57" s="136">
        <f>+573003362687</f>
        <v>573003362687</v>
      </c>
      <c r="U57" s="134" t="s">
        <v>75</v>
      </c>
      <c r="V57" s="134" t="s">
        <v>2570</v>
      </c>
    </row>
    <row r="58">
      <c r="A58" s="135">
        <v>9.44746270866485E14</v>
      </c>
      <c r="B58" s="137">
        <v>45484.0</v>
      </c>
      <c r="C58" s="134" t="s">
        <v>2637</v>
      </c>
      <c r="D58" s="134" t="s">
        <v>2638</v>
      </c>
      <c r="E58" s="134" t="s">
        <v>2639</v>
      </c>
      <c r="F58" s="134" t="s">
        <v>620</v>
      </c>
      <c r="G58" s="134" t="s">
        <v>2640</v>
      </c>
      <c r="H58" s="134" t="s">
        <v>622</v>
      </c>
      <c r="I58" s="134" t="s">
        <v>2641</v>
      </c>
      <c r="J58" s="134" t="s">
        <v>2642</v>
      </c>
      <c r="K58" s="134" t="b">
        <v>0</v>
      </c>
      <c r="L58" s="134" t="s">
        <v>53</v>
      </c>
      <c r="M58" s="134" t="s">
        <v>69</v>
      </c>
      <c r="N58" s="134" t="s">
        <v>85</v>
      </c>
      <c r="O58" s="134" t="s">
        <v>70</v>
      </c>
      <c r="P58" s="134" t="s">
        <v>1989</v>
      </c>
      <c r="Q58" s="135">
        <v>100.0</v>
      </c>
      <c r="R58" s="134" t="s">
        <v>512</v>
      </c>
      <c r="S58" s="134" t="s">
        <v>2706</v>
      </c>
      <c r="T58" s="136">
        <f>+573213888638</f>
        <v>573213888638</v>
      </c>
      <c r="U58" s="134" t="s">
        <v>61</v>
      </c>
      <c r="V58" s="134" t="s">
        <v>2570</v>
      </c>
    </row>
    <row r="59">
      <c r="A59" s="135">
        <v>5.40978748794378E14</v>
      </c>
      <c r="B59" s="137">
        <v>45484.0</v>
      </c>
      <c r="C59" s="134" t="s">
        <v>2637</v>
      </c>
      <c r="D59" s="134" t="s">
        <v>2638</v>
      </c>
      <c r="E59" s="134" t="s">
        <v>2639</v>
      </c>
      <c r="F59" s="134" t="s">
        <v>620</v>
      </c>
      <c r="G59" s="134" t="s">
        <v>2640</v>
      </c>
      <c r="H59" s="134" t="s">
        <v>622</v>
      </c>
      <c r="I59" s="134" t="s">
        <v>2641</v>
      </c>
      <c r="J59" s="134" t="s">
        <v>2642</v>
      </c>
      <c r="K59" s="134" t="b">
        <v>0</v>
      </c>
      <c r="L59" s="134" t="s">
        <v>53</v>
      </c>
      <c r="M59" s="134" t="s">
        <v>69</v>
      </c>
      <c r="N59" s="134" t="s">
        <v>137</v>
      </c>
      <c r="O59" s="134" t="s">
        <v>70</v>
      </c>
      <c r="P59" s="134" t="s">
        <v>2707</v>
      </c>
      <c r="Q59" s="135">
        <v>10.0</v>
      </c>
      <c r="R59" s="134" t="s">
        <v>904</v>
      </c>
      <c r="S59" s="134" t="s">
        <v>2708</v>
      </c>
      <c r="T59" s="136">
        <f>+573223112684</f>
        <v>573223112684</v>
      </c>
      <c r="U59" s="134" t="s">
        <v>61</v>
      </c>
      <c r="V59" s="134" t="s">
        <v>2570</v>
      </c>
    </row>
    <row r="60">
      <c r="A60" s="135">
        <v>4.54274034354576E14</v>
      </c>
      <c r="B60" s="137">
        <v>45454.0</v>
      </c>
      <c r="C60" s="134" t="s">
        <v>2637</v>
      </c>
      <c r="D60" s="134" t="s">
        <v>2638</v>
      </c>
      <c r="E60" s="134" t="s">
        <v>2639</v>
      </c>
      <c r="F60" s="134" t="s">
        <v>620</v>
      </c>
      <c r="G60" s="134" t="s">
        <v>2640</v>
      </c>
      <c r="H60" s="134" t="s">
        <v>622</v>
      </c>
      <c r="I60" s="134" t="s">
        <v>2641</v>
      </c>
      <c r="J60" s="134" t="s">
        <v>2642</v>
      </c>
      <c r="K60" s="134" t="b">
        <v>0</v>
      </c>
      <c r="L60" s="134" t="s">
        <v>53</v>
      </c>
      <c r="M60" s="134" t="s">
        <v>54</v>
      </c>
      <c r="N60" s="134" t="s">
        <v>85</v>
      </c>
      <c r="O60" s="134" t="s">
        <v>86</v>
      </c>
      <c r="P60" s="134" t="s">
        <v>182</v>
      </c>
      <c r="Q60" s="135">
        <v>10.0</v>
      </c>
      <c r="R60" s="134" t="s">
        <v>1917</v>
      </c>
      <c r="S60" s="134" t="s">
        <v>2709</v>
      </c>
      <c r="T60" s="136">
        <f>+573012896840</f>
        <v>573012896840</v>
      </c>
      <c r="U60" s="134" t="s">
        <v>75</v>
      </c>
      <c r="V60" s="134" t="s">
        <v>2570</v>
      </c>
    </row>
    <row r="61">
      <c r="A61" s="134" t="s">
        <v>2710</v>
      </c>
      <c r="B61" s="137">
        <v>45454.0</v>
      </c>
      <c r="C61" s="134" t="s">
        <v>2637</v>
      </c>
      <c r="D61" s="134" t="s">
        <v>2638</v>
      </c>
      <c r="E61" s="134" t="s">
        <v>2639</v>
      </c>
      <c r="F61" s="134" t="s">
        <v>620</v>
      </c>
      <c r="G61" s="134" t="s">
        <v>2640</v>
      </c>
      <c r="H61" s="134" t="s">
        <v>622</v>
      </c>
      <c r="I61" s="134" t="s">
        <v>2641</v>
      </c>
      <c r="J61" s="134" t="s">
        <v>2642</v>
      </c>
      <c r="K61" s="134" t="b">
        <v>0</v>
      </c>
      <c r="L61" s="134" t="s">
        <v>84</v>
      </c>
      <c r="M61" s="134" t="s">
        <v>54</v>
      </c>
      <c r="N61" s="134" t="s">
        <v>55</v>
      </c>
      <c r="O61" s="134" t="s">
        <v>70</v>
      </c>
      <c r="P61" s="134" t="s">
        <v>71</v>
      </c>
      <c r="Q61" s="135">
        <v>8.0</v>
      </c>
      <c r="R61" s="134" t="s">
        <v>1917</v>
      </c>
      <c r="S61" s="134" t="s">
        <v>2711</v>
      </c>
      <c r="T61" s="136">
        <f>+573145539974</f>
        <v>573145539974</v>
      </c>
      <c r="U61" s="134" t="s">
        <v>75</v>
      </c>
      <c r="V61" s="134" t="s">
        <v>2570</v>
      </c>
    </row>
    <row r="62">
      <c r="A62" s="134" t="s">
        <v>2712</v>
      </c>
      <c r="B62" s="137">
        <v>45454.0</v>
      </c>
      <c r="C62" s="134" t="s">
        <v>2637</v>
      </c>
      <c r="D62" s="134" t="s">
        <v>2638</v>
      </c>
      <c r="E62" s="134" t="s">
        <v>2639</v>
      </c>
      <c r="F62" s="134" t="s">
        <v>620</v>
      </c>
      <c r="G62" s="134" t="s">
        <v>2640</v>
      </c>
      <c r="H62" s="134" t="s">
        <v>622</v>
      </c>
      <c r="I62" s="134" t="s">
        <v>2641</v>
      </c>
      <c r="J62" s="134" t="s">
        <v>2642</v>
      </c>
      <c r="K62" s="134" t="b">
        <v>0</v>
      </c>
      <c r="L62" s="134" t="s">
        <v>53</v>
      </c>
      <c r="M62" s="134" t="s">
        <v>69</v>
      </c>
      <c r="N62" s="134" t="s">
        <v>55</v>
      </c>
      <c r="O62" s="134" t="s">
        <v>70</v>
      </c>
      <c r="P62" s="134" t="s">
        <v>211</v>
      </c>
      <c r="Q62" s="135">
        <v>8.0</v>
      </c>
      <c r="R62" s="134" t="s">
        <v>2713</v>
      </c>
      <c r="S62" s="134" t="s">
        <v>2714</v>
      </c>
      <c r="T62" s="136">
        <f>+573128535447</f>
        <v>573128535447</v>
      </c>
      <c r="U62" s="134" t="s">
        <v>61</v>
      </c>
      <c r="V62" s="134" t="s">
        <v>2570</v>
      </c>
    </row>
    <row r="63">
      <c r="A63" s="134" t="s">
        <v>2715</v>
      </c>
      <c r="B63" s="137">
        <v>45454.0</v>
      </c>
      <c r="C63" s="134" t="s">
        <v>2637</v>
      </c>
      <c r="D63" s="134" t="s">
        <v>2638</v>
      </c>
      <c r="E63" s="134" t="s">
        <v>2639</v>
      </c>
      <c r="F63" s="134" t="s">
        <v>620</v>
      </c>
      <c r="G63" s="134" t="s">
        <v>2640</v>
      </c>
      <c r="H63" s="134" t="s">
        <v>622</v>
      </c>
      <c r="I63" s="134" t="s">
        <v>2641</v>
      </c>
      <c r="J63" s="134" t="s">
        <v>2642</v>
      </c>
      <c r="K63" s="134" t="b">
        <v>0</v>
      </c>
      <c r="L63" s="134" t="s">
        <v>53</v>
      </c>
      <c r="M63" s="134" t="s">
        <v>69</v>
      </c>
      <c r="N63" s="134" t="s">
        <v>55</v>
      </c>
      <c r="O63" s="134" t="s">
        <v>70</v>
      </c>
      <c r="P63" s="134" t="s">
        <v>57</v>
      </c>
      <c r="Q63" s="135">
        <v>3.0</v>
      </c>
      <c r="R63" s="134" t="s">
        <v>1162</v>
      </c>
      <c r="S63" s="134" t="s">
        <v>2716</v>
      </c>
      <c r="T63" s="136">
        <f>+573007872432</f>
        <v>573007872432</v>
      </c>
      <c r="U63" s="134" t="s">
        <v>61</v>
      </c>
      <c r="V63" s="134" t="s">
        <v>2570</v>
      </c>
    </row>
    <row r="64">
      <c r="A64" s="134" t="s">
        <v>2717</v>
      </c>
      <c r="B64" s="137">
        <v>45454.0</v>
      </c>
      <c r="C64" s="134" t="s">
        <v>2637</v>
      </c>
      <c r="D64" s="134" t="s">
        <v>2638</v>
      </c>
      <c r="E64" s="134" t="s">
        <v>2639</v>
      </c>
      <c r="F64" s="134" t="s">
        <v>620</v>
      </c>
      <c r="G64" s="134" t="s">
        <v>2640</v>
      </c>
      <c r="H64" s="134" t="s">
        <v>622</v>
      </c>
      <c r="I64" s="134" t="s">
        <v>2641</v>
      </c>
      <c r="J64" s="134" t="s">
        <v>2642</v>
      </c>
      <c r="K64" s="134" t="b">
        <v>0</v>
      </c>
      <c r="L64" s="134" t="s">
        <v>84</v>
      </c>
      <c r="M64" s="134" t="s">
        <v>54</v>
      </c>
      <c r="N64" s="134" t="s">
        <v>55</v>
      </c>
      <c r="O64" s="134" t="s">
        <v>70</v>
      </c>
      <c r="P64" s="134" t="s">
        <v>308</v>
      </c>
      <c r="Q64" s="135">
        <v>8.0</v>
      </c>
      <c r="R64" s="135">
        <v>11.0</v>
      </c>
      <c r="S64" s="134" t="s">
        <v>2718</v>
      </c>
      <c r="T64" s="136">
        <f>+573022904382</f>
        <v>573022904382</v>
      </c>
      <c r="U64" s="134" t="s">
        <v>75</v>
      </c>
      <c r="V64" s="134" t="s">
        <v>2570</v>
      </c>
    </row>
    <row r="65">
      <c r="A65" s="135">
        <v>4.20034270973226E14</v>
      </c>
      <c r="B65" s="137">
        <v>45454.0</v>
      </c>
      <c r="C65" s="134" t="s">
        <v>2637</v>
      </c>
      <c r="D65" s="134" t="s">
        <v>2638</v>
      </c>
      <c r="E65" s="134" t="s">
        <v>2639</v>
      </c>
      <c r="F65" s="134" t="s">
        <v>620</v>
      </c>
      <c r="G65" s="134" t="s">
        <v>2640</v>
      </c>
      <c r="H65" s="134" t="s">
        <v>622</v>
      </c>
      <c r="I65" s="134" t="s">
        <v>2641</v>
      </c>
      <c r="J65" s="134" t="s">
        <v>2642</v>
      </c>
      <c r="K65" s="134" t="b">
        <v>0</v>
      </c>
      <c r="L65" s="134" t="s">
        <v>53</v>
      </c>
      <c r="M65" s="134" t="s">
        <v>54</v>
      </c>
      <c r="N65" s="134" t="s">
        <v>55</v>
      </c>
      <c r="O65" s="134" t="s">
        <v>70</v>
      </c>
      <c r="P65" s="134" t="s">
        <v>211</v>
      </c>
      <c r="Q65" s="135">
        <v>9.0</v>
      </c>
      <c r="R65" s="134" t="s">
        <v>2719</v>
      </c>
      <c r="S65" s="134" t="s">
        <v>2720</v>
      </c>
      <c r="T65" s="136">
        <f>+573125159449</f>
        <v>573125159449</v>
      </c>
      <c r="U65" s="134" t="s">
        <v>61</v>
      </c>
      <c r="V65" s="134" t="s">
        <v>2570</v>
      </c>
    </row>
    <row r="66">
      <c r="A66" s="135">
        <v>4.34124512776772E14</v>
      </c>
      <c r="B66" s="137">
        <v>45454.0</v>
      </c>
      <c r="C66" s="134" t="s">
        <v>2637</v>
      </c>
      <c r="D66" s="134" t="s">
        <v>2638</v>
      </c>
      <c r="E66" s="134" t="s">
        <v>2639</v>
      </c>
      <c r="F66" s="134" t="s">
        <v>620</v>
      </c>
      <c r="G66" s="134" t="s">
        <v>2640</v>
      </c>
      <c r="H66" s="134" t="s">
        <v>622</v>
      </c>
      <c r="I66" s="134" t="s">
        <v>2641</v>
      </c>
      <c r="J66" s="134" t="s">
        <v>2642</v>
      </c>
      <c r="K66" s="134" t="b">
        <v>0</v>
      </c>
      <c r="L66" s="134" t="s">
        <v>53</v>
      </c>
      <c r="M66" s="134" t="s">
        <v>69</v>
      </c>
      <c r="N66" s="134" t="s">
        <v>137</v>
      </c>
      <c r="O66" s="134" t="s">
        <v>70</v>
      </c>
      <c r="P66" s="134" t="s">
        <v>2721</v>
      </c>
      <c r="Q66" s="135">
        <v>8.0</v>
      </c>
      <c r="R66" s="135">
        <v>3.168649281E9</v>
      </c>
      <c r="S66" s="134" t="s">
        <v>2722</v>
      </c>
      <c r="T66" s="136">
        <f>+573168649281</f>
        <v>573168649281</v>
      </c>
      <c r="U66" s="134" t="s">
        <v>75</v>
      </c>
      <c r="V66" s="134" t="s">
        <v>2570</v>
      </c>
    </row>
    <row r="67">
      <c r="A67" s="135">
        <v>5.66062412478571E14</v>
      </c>
      <c r="B67" s="137">
        <v>45454.0</v>
      </c>
      <c r="C67" s="134" t="s">
        <v>2637</v>
      </c>
      <c r="D67" s="134" t="s">
        <v>2638</v>
      </c>
      <c r="E67" s="134" t="s">
        <v>2639</v>
      </c>
      <c r="F67" s="134" t="s">
        <v>620</v>
      </c>
      <c r="G67" s="134" t="s">
        <v>2640</v>
      </c>
      <c r="H67" s="134" t="s">
        <v>622</v>
      </c>
      <c r="I67" s="134" t="s">
        <v>2641</v>
      </c>
      <c r="J67" s="134" t="s">
        <v>2642</v>
      </c>
      <c r="K67" s="134" t="b">
        <v>0</v>
      </c>
      <c r="L67" s="134" t="s">
        <v>53</v>
      </c>
      <c r="M67" s="134" t="s">
        <v>69</v>
      </c>
      <c r="N67" s="134" t="s">
        <v>85</v>
      </c>
      <c r="O67" s="134" t="s">
        <v>70</v>
      </c>
      <c r="P67" s="134" t="s">
        <v>308</v>
      </c>
      <c r="Q67" s="135">
        <v>10.0</v>
      </c>
      <c r="R67" s="134" t="s">
        <v>2723</v>
      </c>
      <c r="S67" s="134" t="s">
        <v>2724</v>
      </c>
      <c r="T67" s="136">
        <f>+573008337437</f>
        <v>573008337437</v>
      </c>
      <c r="U67" s="134" t="s">
        <v>61</v>
      </c>
      <c r="V67" s="134" t="s">
        <v>2570</v>
      </c>
    </row>
    <row r="68">
      <c r="A68" s="134" t="s">
        <v>2725</v>
      </c>
      <c r="B68" s="137">
        <v>45423.0</v>
      </c>
      <c r="C68" s="134" t="s">
        <v>2637</v>
      </c>
      <c r="D68" s="134" t="s">
        <v>2638</v>
      </c>
      <c r="E68" s="134" t="s">
        <v>2639</v>
      </c>
      <c r="F68" s="134" t="s">
        <v>620</v>
      </c>
      <c r="G68" s="134" t="s">
        <v>2640</v>
      </c>
      <c r="H68" s="134" t="s">
        <v>622</v>
      </c>
      <c r="I68" s="134" t="s">
        <v>2641</v>
      </c>
      <c r="J68" s="134" t="s">
        <v>2642</v>
      </c>
      <c r="K68" s="134" t="b">
        <v>0</v>
      </c>
      <c r="L68" s="134" t="s">
        <v>53</v>
      </c>
      <c r="M68" s="134" t="s">
        <v>54</v>
      </c>
      <c r="N68" s="134" t="s">
        <v>55</v>
      </c>
      <c r="O68" s="134" t="s">
        <v>70</v>
      </c>
      <c r="P68" s="134" t="s">
        <v>2726</v>
      </c>
      <c r="Q68" s="135">
        <v>10.0</v>
      </c>
      <c r="R68" s="134" t="s">
        <v>2727</v>
      </c>
      <c r="S68" s="134" t="s">
        <v>2728</v>
      </c>
      <c r="T68" s="136">
        <f>+573008826336</f>
        <v>573008826336</v>
      </c>
      <c r="U68" s="134" t="s">
        <v>75</v>
      </c>
      <c r="V68" s="134" t="s">
        <v>2570</v>
      </c>
    </row>
    <row r="69">
      <c r="A69" s="134" t="s">
        <v>2729</v>
      </c>
      <c r="B69" s="137">
        <v>45423.0</v>
      </c>
      <c r="C69" s="134" t="s">
        <v>2637</v>
      </c>
      <c r="D69" s="134" t="s">
        <v>2638</v>
      </c>
      <c r="E69" s="134" t="s">
        <v>2639</v>
      </c>
      <c r="F69" s="134" t="s">
        <v>620</v>
      </c>
      <c r="G69" s="134" t="s">
        <v>2640</v>
      </c>
      <c r="H69" s="134" t="s">
        <v>622</v>
      </c>
      <c r="I69" s="134" t="s">
        <v>2641</v>
      </c>
      <c r="J69" s="134" t="s">
        <v>2642</v>
      </c>
      <c r="K69" s="134" t="b">
        <v>0</v>
      </c>
      <c r="L69" s="134" t="s">
        <v>53</v>
      </c>
      <c r="M69" s="134" t="s">
        <v>69</v>
      </c>
      <c r="N69" s="134" t="s">
        <v>85</v>
      </c>
      <c r="O69" s="134" t="s">
        <v>70</v>
      </c>
      <c r="P69" s="134" t="s">
        <v>232</v>
      </c>
      <c r="Q69" s="135">
        <v>10.0</v>
      </c>
      <c r="R69" s="134" t="s">
        <v>2730</v>
      </c>
      <c r="S69" s="134" t="s">
        <v>2589</v>
      </c>
      <c r="T69" s="136">
        <f>+573045790066</f>
        <v>573045790066</v>
      </c>
      <c r="U69" s="134" t="s">
        <v>61</v>
      </c>
      <c r="V69" s="134" t="s">
        <v>2570</v>
      </c>
    </row>
    <row r="70">
      <c r="A70" s="134" t="s">
        <v>2731</v>
      </c>
      <c r="B70" s="137">
        <v>45423.0</v>
      </c>
      <c r="C70" s="134" t="s">
        <v>2637</v>
      </c>
      <c r="D70" s="134" t="s">
        <v>2638</v>
      </c>
      <c r="E70" s="134" t="s">
        <v>2639</v>
      </c>
      <c r="F70" s="134" t="s">
        <v>620</v>
      </c>
      <c r="G70" s="134" t="s">
        <v>2640</v>
      </c>
      <c r="H70" s="134" t="s">
        <v>622</v>
      </c>
      <c r="I70" s="134" t="s">
        <v>2641</v>
      </c>
      <c r="J70" s="134" t="s">
        <v>2642</v>
      </c>
      <c r="K70" s="134" t="b">
        <v>0</v>
      </c>
      <c r="L70" s="134" t="s">
        <v>53</v>
      </c>
      <c r="M70" s="134" t="s">
        <v>54</v>
      </c>
      <c r="N70" s="134" t="s">
        <v>55</v>
      </c>
      <c r="O70" s="134" t="s">
        <v>70</v>
      </c>
      <c r="P70" s="134" t="s">
        <v>2732</v>
      </c>
      <c r="Q70" s="135">
        <v>10.0</v>
      </c>
      <c r="R70" s="134" t="s">
        <v>466</v>
      </c>
      <c r="S70" s="134" t="s">
        <v>2733</v>
      </c>
      <c r="T70" s="136">
        <f>+573104483733</f>
        <v>573104483733</v>
      </c>
      <c r="U70" s="134" t="s">
        <v>61</v>
      </c>
      <c r="V70" s="134" t="s">
        <v>2570</v>
      </c>
    </row>
    <row r="71">
      <c r="A71" s="135">
        <v>5.79156247823138E14</v>
      </c>
      <c r="B71" s="137">
        <v>45423.0</v>
      </c>
      <c r="C71" s="134" t="s">
        <v>2637</v>
      </c>
      <c r="D71" s="134" t="s">
        <v>2638</v>
      </c>
      <c r="E71" s="134" t="s">
        <v>2639</v>
      </c>
      <c r="F71" s="134" t="s">
        <v>620</v>
      </c>
      <c r="G71" s="134" t="s">
        <v>2640</v>
      </c>
      <c r="H71" s="134" t="s">
        <v>622</v>
      </c>
      <c r="I71" s="134" t="s">
        <v>2641</v>
      </c>
      <c r="J71" s="134" t="s">
        <v>2642</v>
      </c>
      <c r="K71" s="134" t="b">
        <v>0</v>
      </c>
      <c r="L71" s="134" t="s">
        <v>53</v>
      </c>
      <c r="M71" s="134" t="s">
        <v>54</v>
      </c>
      <c r="N71" s="134" t="s">
        <v>85</v>
      </c>
      <c r="O71" s="134" t="s">
        <v>56</v>
      </c>
      <c r="P71" s="134" t="s">
        <v>474</v>
      </c>
      <c r="Q71" s="135">
        <v>7.0</v>
      </c>
      <c r="R71" s="134" t="s">
        <v>2734</v>
      </c>
      <c r="S71" s="134" t="s">
        <v>2735</v>
      </c>
      <c r="T71" s="136">
        <f>+573017760774</f>
        <v>573017760774</v>
      </c>
      <c r="U71" s="134" t="s">
        <v>61</v>
      </c>
      <c r="V71" s="134" t="s">
        <v>2570</v>
      </c>
    </row>
    <row r="72">
      <c r="A72" s="134" t="s">
        <v>2736</v>
      </c>
      <c r="B72" s="137">
        <v>45423.0</v>
      </c>
      <c r="C72" s="134" t="s">
        <v>2637</v>
      </c>
      <c r="D72" s="134" t="s">
        <v>2638</v>
      </c>
      <c r="E72" s="134" t="s">
        <v>2639</v>
      </c>
      <c r="F72" s="134" t="s">
        <v>620</v>
      </c>
      <c r="G72" s="134" t="s">
        <v>2640</v>
      </c>
      <c r="H72" s="134" t="s">
        <v>622</v>
      </c>
      <c r="I72" s="134" t="s">
        <v>2641</v>
      </c>
      <c r="J72" s="134" t="s">
        <v>2642</v>
      </c>
      <c r="K72" s="134" t="b">
        <v>0</v>
      </c>
      <c r="L72" s="134" t="s">
        <v>53</v>
      </c>
      <c r="M72" s="134" t="s">
        <v>69</v>
      </c>
      <c r="N72" s="134" t="s">
        <v>55</v>
      </c>
      <c r="O72" s="134" t="s">
        <v>70</v>
      </c>
      <c r="P72" s="134" t="s">
        <v>57</v>
      </c>
      <c r="Q72" s="135">
        <v>10.0</v>
      </c>
      <c r="R72" s="134" t="s">
        <v>2737</v>
      </c>
      <c r="S72" s="134" t="s">
        <v>2738</v>
      </c>
      <c r="T72" s="136">
        <f>+573017482969</f>
        <v>573017482969</v>
      </c>
      <c r="U72" s="134" t="s">
        <v>75</v>
      </c>
      <c r="V72" s="134" t="s">
        <v>2570</v>
      </c>
    </row>
    <row r="73">
      <c r="A73" s="134" t="s">
        <v>2739</v>
      </c>
      <c r="B73" s="137">
        <v>45423.0</v>
      </c>
      <c r="C73" s="134" t="s">
        <v>2637</v>
      </c>
      <c r="D73" s="134" t="s">
        <v>2638</v>
      </c>
      <c r="E73" s="134" t="s">
        <v>2639</v>
      </c>
      <c r="F73" s="134" t="s">
        <v>620</v>
      </c>
      <c r="G73" s="134" t="s">
        <v>2640</v>
      </c>
      <c r="H73" s="134" t="s">
        <v>622</v>
      </c>
      <c r="I73" s="134" t="s">
        <v>2641</v>
      </c>
      <c r="J73" s="134" t="s">
        <v>2642</v>
      </c>
      <c r="K73" s="134" t="b">
        <v>0</v>
      </c>
      <c r="L73" s="134" t="s">
        <v>53</v>
      </c>
      <c r="M73" s="134" t="s">
        <v>54</v>
      </c>
      <c r="N73" s="134" t="s">
        <v>55</v>
      </c>
      <c r="O73" s="134" t="s">
        <v>70</v>
      </c>
      <c r="P73" s="134" t="s">
        <v>1555</v>
      </c>
      <c r="Q73" s="135">
        <v>7.0</v>
      </c>
      <c r="R73" s="134" t="s">
        <v>2740</v>
      </c>
      <c r="S73" s="134" t="s">
        <v>2741</v>
      </c>
      <c r="T73" s="136">
        <f>+573144693856</f>
        <v>573144693856</v>
      </c>
      <c r="U73" s="134" t="s">
        <v>61</v>
      </c>
      <c r="V73" s="134" t="s">
        <v>2570</v>
      </c>
    </row>
    <row r="74">
      <c r="A74" s="135">
        <v>5.44885628245304E14</v>
      </c>
      <c r="B74" s="137">
        <v>45423.0</v>
      </c>
      <c r="C74" s="134" t="s">
        <v>2637</v>
      </c>
      <c r="D74" s="134" t="s">
        <v>2638</v>
      </c>
      <c r="E74" s="134" t="s">
        <v>2639</v>
      </c>
      <c r="F74" s="134" t="s">
        <v>620</v>
      </c>
      <c r="G74" s="134" t="s">
        <v>2640</v>
      </c>
      <c r="H74" s="134" t="s">
        <v>622</v>
      </c>
      <c r="I74" s="134" t="s">
        <v>2641</v>
      </c>
      <c r="J74" s="134" t="s">
        <v>2642</v>
      </c>
      <c r="K74" s="134" t="b">
        <v>0</v>
      </c>
      <c r="L74" s="134" t="s">
        <v>84</v>
      </c>
      <c r="M74" s="134" t="s">
        <v>54</v>
      </c>
      <c r="N74" s="134" t="s">
        <v>55</v>
      </c>
      <c r="O74" s="134" t="s">
        <v>70</v>
      </c>
      <c r="P74" s="134" t="s">
        <v>2742</v>
      </c>
      <c r="Q74" s="135">
        <v>10.0</v>
      </c>
      <c r="R74" s="134" t="s">
        <v>2743</v>
      </c>
      <c r="S74" s="134" t="s">
        <v>2744</v>
      </c>
      <c r="T74" s="136">
        <f>+573505700170</f>
        <v>573505700170</v>
      </c>
      <c r="U74" s="134" t="s">
        <v>75</v>
      </c>
      <c r="V74" s="134" t="s">
        <v>2570</v>
      </c>
    </row>
    <row r="75">
      <c r="A75" s="134" t="s">
        <v>2745</v>
      </c>
      <c r="B75" s="137">
        <v>45393.0</v>
      </c>
      <c r="C75" s="134" t="s">
        <v>2637</v>
      </c>
      <c r="D75" s="134" t="s">
        <v>2638</v>
      </c>
      <c r="E75" s="134" t="s">
        <v>2639</v>
      </c>
      <c r="F75" s="134" t="s">
        <v>620</v>
      </c>
      <c r="G75" s="134" t="s">
        <v>2640</v>
      </c>
      <c r="H75" s="134" t="s">
        <v>622</v>
      </c>
      <c r="I75" s="134" t="s">
        <v>2641</v>
      </c>
      <c r="J75" s="134" t="s">
        <v>2642</v>
      </c>
      <c r="K75" s="134" t="b">
        <v>0</v>
      </c>
      <c r="L75" s="134" t="s">
        <v>53</v>
      </c>
      <c r="M75" s="134" t="s">
        <v>54</v>
      </c>
      <c r="N75" s="134" t="s">
        <v>55</v>
      </c>
      <c r="O75" s="134" t="s">
        <v>70</v>
      </c>
      <c r="P75" s="134" t="s">
        <v>706</v>
      </c>
      <c r="Q75" s="134" t="s">
        <v>2746</v>
      </c>
      <c r="R75" s="134" t="s">
        <v>2747</v>
      </c>
      <c r="S75" s="134" t="s">
        <v>2748</v>
      </c>
      <c r="T75" s="136">
        <f>+573183119493</f>
        <v>573183119493</v>
      </c>
      <c r="U75" s="134" t="s">
        <v>75</v>
      </c>
      <c r="V75" s="134" t="s">
        <v>2570</v>
      </c>
    </row>
    <row r="76">
      <c r="A76" s="135">
        <v>5.68932322265258E14</v>
      </c>
      <c r="B76" s="137">
        <v>45393.0</v>
      </c>
      <c r="C76" s="134" t="s">
        <v>2637</v>
      </c>
      <c r="D76" s="134" t="s">
        <v>2638</v>
      </c>
      <c r="E76" s="134" t="s">
        <v>2639</v>
      </c>
      <c r="F76" s="134" t="s">
        <v>620</v>
      </c>
      <c r="G76" s="134" t="s">
        <v>2640</v>
      </c>
      <c r="H76" s="134" t="s">
        <v>622</v>
      </c>
      <c r="I76" s="134" t="s">
        <v>2641</v>
      </c>
      <c r="J76" s="134" t="s">
        <v>2642</v>
      </c>
      <c r="K76" s="134" t="b">
        <v>0</v>
      </c>
      <c r="L76" s="134" t="s">
        <v>84</v>
      </c>
      <c r="M76" s="134" t="s">
        <v>54</v>
      </c>
      <c r="N76" s="134" t="s">
        <v>85</v>
      </c>
      <c r="O76" s="134" t="s">
        <v>86</v>
      </c>
      <c r="P76" s="134" t="s">
        <v>762</v>
      </c>
      <c r="Q76" s="135">
        <v>10.0</v>
      </c>
      <c r="R76" s="134" t="s">
        <v>2749</v>
      </c>
      <c r="S76" s="134" t="s">
        <v>2750</v>
      </c>
      <c r="T76" s="136">
        <f>+573117349879</f>
        <v>573117349879</v>
      </c>
      <c r="U76" s="134" t="s">
        <v>75</v>
      </c>
      <c r="V76" s="134" t="s">
        <v>2570</v>
      </c>
    </row>
    <row r="77">
      <c r="A77" s="134" t="s">
        <v>2751</v>
      </c>
      <c r="B77" s="137">
        <v>45393.0</v>
      </c>
      <c r="C77" s="134" t="s">
        <v>2637</v>
      </c>
      <c r="D77" s="134" t="s">
        <v>2638</v>
      </c>
      <c r="E77" s="134" t="s">
        <v>2639</v>
      </c>
      <c r="F77" s="134" t="s">
        <v>620</v>
      </c>
      <c r="G77" s="134" t="s">
        <v>2640</v>
      </c>
      <c r="H77" s="134" t="s">
        <v>622</v>
      </c>
      <c r="I77" s="134" t="s">
        <v>2641</v>
      </c>
      <c r="J77" s="134" t="s">
        <v>2642</v>
      </c>
      <c r="K77" s="134" t="b">
        <v>0</v>
      </c>
      <c r="L77" s="134" t="s">
        <v>53</v>
      </c>
      <c r="M77" s="134" t="s">
        <v>69</v>
      </c>
      <c r="N77" s="134" t="s">
        <v>85</v>
      </c>
      <c r="O77" s="134" t="s">
        <v>70</v>
      </c>
      <c r="P77" s="134" t="s">
        <v>2752</v>
      </c>
      <c r="Q77" s="135">
        <v>10.0</v>
      </c>
      <c r="R77" s="135">
        <v>6.0</v>
      </c>
      <c r="S77" s="134" t="s">
        <v>2753</v>
      </c>
      <c r="T77" s="135">
        <v>3.108227208E9</v>
      </c>
      <c r="U77" s="134" t="s">
        <v>75</v>
      </c>
      <c r="V77" s="134" t="s">
        <v>2570</v>
      </c>
    </row>
    <row r="78">
      <c r="A78" s="135">
        <v>5.71854501997008E14</v>
      </c>
      <c r="B78" s="137">
        <v>45393.0</v>
      </c>
      <c r="C78" s="134" t="s">
        <v>2637</v>
      </c>
      <c r="D78" s="134" t="s">
        <v>2638</v>
      </c>
      <c r="E78" s="134" t="s">
        <v>2639</v>
      </c>
      <c r="F78" s="134" t="s">
        <v>620</v>
      </c>
      <c r="G78" s="134" t="s">
        <v>2640</v>
      </c>
      <c r="H78" s="134" t="s">
        <v>622</v>
      </c>
      <c r="I78" s="134" t="s">
        <v>2641</v>
      </c>
      <c r="J78" s="134" t="s">
        <v>2642</v>
      </c>
      <c r="K78" s="134" t="b">
        <v>0</v>
      </c>
      <c r="L78" s="134" t="s">
        <v>53</v>
      </c>
      <c r="M78" s="134" t="s">
        <v>69</v>
      </c>
      <c r="N78" s="134" t="s">
        <v>55</v>
      </c>
      <c r="O78" s="134" t="s">
        <v>56</v>
      </c>
      <c r="P78" s="134" t="s">
        <v>282</v>
      </c>
      <c r="Q78" s="138">
        <v>45575.0</v>
      </c>
      <c r="R78" s="134" t="s">
        <v>2754</v>
      </c>
      <c r="S78" s="134" t="s">
        <v>2755</v>
      </c>
      <c r="T78" s="136">
        <f>+573225525257</f>
        <v>573225525257</v>
      </c>
      <c r="U78" s="134" t="s">
        <v>2756</v>
      </c>
      <c r="V78" s="134" t="s">
        <v>2570</v>
      </c>
    </row>
    <row r="79">
      <c r="A79" s="134">
        <v>1.76314518782183E15</v>
      </c>
      <c r="B79" s="137">
        <v>45393.0</v>
      </c>
      <c r="C79" s="134" t="s">
        <v>2637</v>
      </c>
      <c r="D79" s="134" t="s">
        <v>2638</v>
      </c>
      <c r="E79" s="134" t="s">
        <v>2639</v>
      </c>
      <c r="F79" s="134" t="s">
        <v>620</v>
      </c>
      <c r="G79" s="134" t="s">
        <v>2640</v>
      </c>
      <c r="H79" s="134" t="s">
        <v>622</v>
      </c>
      <c r="I79" s="134" t="s">
        <v>2641</v>
      </c>
      <c r="J79" s="134" t="s">
        <v>2642</v>
      </c>
      <c r="K79" s="134" t="b">
        <v>0</v>
      </c>
      <c r="L79" s="134" t="s">
        <v>84</v>
      </c>
      <c r="M79" s="134" t="s">
        <v>69</v>
      </c>
      <c r="N79" s="134" t="s">
        <v>85</v>
      </c>
      <c r="O79" s="134" t="s">
        <v>70</v>
      </c>
      <c r="P79" s="134" t="s">
        <v>2757</v>
      </c>
      <c r="Q79" s="135">
        <v>8.0</v>
      </c>
      <c r="R79" s="134" t="s">
        <v>148</v>
      </c>
      <c r="S79" s="134" t="s">
        <v>2758</v>
      </c>
      <c r="T79" s="136">
        <f>+573207825904</f>
        <v>573207825904</v>
      </c>
      <c r="U79" s="134" t="s">
        <v>75</v>
      </c>
      <c r="V79" s="134" t="s">
        <v>2570</v>
      </c>
    </row>
    <row r="80">
      <c r="A80" s="134" t="s">
        <v>2759</v>
      </c>
      <c r="B80" s="137">
        <v>45393.0</v>
      </c>
      <c r="C80" s="134" t="s">
        <v>2637</v>
      </c>
      <c r="D80" s="134" t="s">
        <v>2638</v>
      </c>
      <c r="E80" s="134" t="s">
        <v>2639</v>
      </c>
      <c r="F80" s="134" t="s">
        <v>620</v>
      </c>
      <c r="G80" s="134" t="s">
        <v>2640</v>
      </c>
      <c r="H80" s="134" t="s">
        <v>622</v>
      </c>
      <c r="I80" s="134" t="s">
        <v>2641</v>
      </c>
      <c r="J80" s="134" t="s">
        <v>2642</v>
      </c>
      <c r="K80" s="134" t="b">
        <v>0</v>
      </c>
      <c r="L80" s="134" t="s">
        <v>84</v>
      </c>
      <c r="M80" s="134" t="s">
        <v>54</v>
      </c>
      <c r="N80" s="134" t="s">
        <v>85</v>
      </c>
      <c r="O80" s="134" t="s">
        <v>70</v>
      </c>
      <c r="P80" s="134" t="s">
        <v>2760</v>
      </c>
      <c r="Q80" s="135">
        <v>8.0</v>
      </c>
      <c r="R80" s="134" t="s">
        <v>79</v>
      </c>
      <c r="S80" s="134" t="s">
        <v>2761</v>
      </c>
      <c r="T80" s="136">
        <f>+573126294243</f>
        <v>573126294243</v>
      </c>
      <c r="U80" s="134" t="s">
        <v>75</v>
      </c>
      <c r="V80" s="134" t="s">
        <v>2570</v>
      </c>
    </row>
    <row r="81">
      <c r="A81" s="135">
        <v>5.85370417180874E14</v>
      </c>
      <c r="B81" s="137">
        <v>45393.0</v>
      </c>
      <c r="C81" s="134" t="s">
        <v>2637</v>
      </c>
      <c r="D81" s="134" t="s">
        <v>2638</v>
      </c>
      <c r="E81" s="134" t="s">
        <v>2639</v>
      </c>
      <c r="F81" s="134" t="s">
        <v>620</v>
      </c>
      <c r="G81" s="134" t="s">
        <v>2640</v>
      </c>
      <c r="H81" s="134" t="s">
        <v>622</v>
      </c>
      <c r="I81" s="134" t="s">
        <v>2641</v>
      </c>
      <c r="J81" s="134" t="s">
        <v>2642</v>
      </c>
      <c r="K81" s="134" t="b">
        <v>0</v>
      </c>
      <c r="L81" s="134" t="s">
        <v>53</v>
      </c>
      <c r="M81" s="134" t="s">
        <v>54</v>
      </c>
      <c r="N81" s="134" t="s">
        <v>55</v>
      </c>
      <c r="O81" s="134" t="s">
        <v>56</v>
      </c>
      <c r="P81" s="134" t="s">
        <v>2445</v>
      </c>
      <c r="Q81" s="135">
        <v>10.0</v>
      </c>
      <c r="R81" s="134" t="s">
        <v>2762</v>
      </c>
      <c r="S81" s="134" t="s">
        <v>2763</v>
      </c>
      <c r="T81" s="135">
        <v>3.137592615E9</v>
      </c>
      <c r="U81" s="134" t="s">
        <v>75</v>
      </c>
      <c r="V81" s="134" t="s">
        <v>2570</v>
      </c>
    </row>
    <row r="82">
      <c r="A82" s="135">
        <v>5.75097781652859E14</v>
      </c>
      <c r="B82" s="137">
        <v>45393.0</v>
      </c>
      <c r="C82" s="134" t="s">
        <v>2637</v>
      </c>
      <c r="D82" s="134" t="s">
        <v>2638</v>
      </c>
      <c r="E82" s="134" t="s">
        <v>2639</v>
      </c>
      <c r="F82" s="134" t="s">
        <v>620</v>
      </c>
      <c r="G82" s="134" t="s">
        <v>2640</v>
      </c>
      <c r="H82" s="134" t="s">
        <v>622</v>
      </c>
      <c r="I82" s="134" t="s">
        <v>2641</v>
      </c>
      <c r="J82" s="134" t="s">
        <v>2642</v>
      </c>
      <c r="K82" s="134" t="b">
        <v>0</v>
      </c>
      <c r="L82" s="134" t="s">
        <v>53</v>
      </c>
      <c r="M82" s="134" t="s">
        <v>69</v>
      </c>
      <c r="N82" s="134" t="s">
        <v>137</v>
      </c>
      <c r="O82" s="134" t="s">
        <v>70</v>
      </c>
      <c r="P82" s="134" t="s">
        <v>1255</v>
      </c>
      <c r="Q82" s="135">
        <v>10.0</v>
      </c>
      <c r="R82" s="134" t="s">
        <v>914</v>
      </c>
      <c r="S82" s="134" t="s">
        <v>2764</v>
      </c>
      <c r="T82" s="136">
        <f>+573165352871</f>
        <v>573165352871</v>
      </c>
      <c r="U82" s="134" t="s">
        <v>61</v>
      </c>
      <c r="V82" s="134" t="s">
        <v>2570</v>
      </c>
    </row>
    <row r="83">
      <c r="A83" s="134">
        <v>1.25017635268902E15</v>
      </c>
      <c r="B83" s="137">
        <v>45393.0</v>
      </c>
      <c r="C83" s="134" t="s">
        <v>2637</v>
      </c>
      <c r="D83" s="134" t="s">
        <v>2638</v>
      </c>
      <c r="E83" s="134" t="s">
        <v>2639</v>
      </c>
      <c r="F83" s="134" t="s">
        <v>620</v>
      </c>
      <c r="G83" s="134" t="s">
        <v>2640</v>
      </c>
      <c r="H83" s="134" t="s">
        <v>622</v>
      </c>
      <c r="I83" s="134" t="s">
        <v>2641</v>
      </c>
      <c r="J83" s="134" t="s">
        <v>2642</v>
      </c>
      <c r="K83" s="134" t="b">
        <v>0</v>
      </c>
      <c r="L83" s="134" t="s">
        <v>53</v>
      </c>
      <c r="M83" s="134" t="s">
        <v>69</v>
      </c>
      <c r="N83" s="134" t="s">
        <v>55</v>
      </c>
      <c r="O83" s="134" t="s">
        <v>70</v>
      </c>
      <c r="P83" s="134" t="s">
        <v>2707</v>
      </c>
      <c r="Q83" s="135">
        <v>8.0</v>
      </c>
      <c r="R83" s="134" t="s">
        <v>466</v>
      </c>
      <c r="S83" s="134" t="s">
        <v>2765</v>
      </c>
      <c r="T83" s="136">
        <f>+573219791142</f>
        <v>573219791142</v>
      </c>
      <c r="U83" s="134" t="s">
        <v>61</v>
      </c>
      <c r="V83" s="134" t="s">
        <v>2570</v>
      </c>
    </row>
    <row r="84">
      <c r="A84" s="134" t="s">
        <v>2766</v>
      </c>
      <c r="B84" s="137">
        <v>45393.0</v>
      </c>
      <c r="C84" s="134" t="s">
        <v>2637</v>
      </c>
      <c r="D84" s="134" t="s">
        <v>2638</v>
      </c>
      <c r="E84" s="134" t="s">
        <v>2639</v>
      </c>
      <c r="F84" s="134" t="s">
        <v>620</v>
      </c>
      <c r="G84" s="134" t="s">
        <v>2640</v>
      </c>
      <c r="H84" s="134" t="s">
        <v>622</v>
      </c>
      <c r="I84" s="134" t="s">
        <v>2641</v>
      </c>
      <c r="J84" s="134" t="s">
        <v>2642</v>
      </c>
      <c r="K84" s="134" t="b">
        <v>0</v>
      </c>
      <c r="L84" s="134" t="s">
        <v>53</v>
      </c>
      <c r="M84" s="134" t="s">
        <v>54</v>
      </c>
      <c r="N84" s="134" t="s">
        <v>85</v>
      </c>
      <c r="O84" s="134" t="s">
        <v>70</v>
      </c>
      <c r="P84" s="134" t="s">
        <v>1260</v>
      </c>
      <c r="Q84" s="135">
        <v>10.0</v>
      </c>
      <c r="R84" s="134" t="s">
        <v>1454</v>
      </c>
      <c r="S84" s="134" t="s">
        <v>2767</v>
      </c>
      <c r="T84" s="136">
        <f>+573235161876</f>
        <v>573235161876</v>
      </c>
      <c r="U84" s="134" t="s">
        <v>61</v>
      </c>
      <c r="V84" s="134" t="s">
        <v>2570</v>
      </c>
    </row>
    <row r="85">
      <c r="A85" s="134" t="s">
        <v>2768</v>
      </c>
      <c r="B85" s="137">
        <v>45393.0</v>
      </c>
      <c r="C85" s="134" t="s">
        <v>2637</v>
      </c>
      <c r="D85" s="134" t="s">
        <v>2638</v>
      </c>
      <c r="E85" s="134" t="s">
        <v>2639</v>
      </c>
      <c r="F85" s="134" t="s">
        <v>620</v>
      </c>
      <c r="G85" s="134" t="s">
        <v>2640</v>
      </c>
      <c r="H85" s="134" t="s">
        <v>622</v>
      </c>
      <c r="I85" s="134" t="s">
        <v>2641</v>
      </c>
      <c r="J85" s="134" t="s">
        <v>2642</v>
      </c>
      <c r="K85" s="134" t="b">
        <v>0</v>
      </c>
      <c r="L85" s="134" t="s">
        <v>84</v>
      </c>
      <c r="M85" s="134" t="s">
        <v>54</v>
      </c>
      <c r="N85" s="134" t="s">
        <v>55</v>
      </c>
      <c r="O85" s="134" t="s">
        <v>56</v>
      </c>
      <c r="P85" s="134" t="s">
        <v>2769</v>
      </c>
      <c r="Q85" s="135">
        <v>8.0</v>
      </c>
      <c r="R85" s="135">
        <v>12.0</v>
      </c>
      <c r="S85" s="134" t="s">
        <v>2770</v>
      </c>
      <c r="T85" s="136">
        <f>+573124462362</f>
        <v>573124462362</v>
      </c>
      <c r="U85" s="134" t="s">
        <v>75</v>
      </c>
      <c r="V85" s="134" t="s">
        <v>2570</v>
      </c>
    </row>
    <row r="86">
      <c r="A86" s="135">
        <v>5.59929496686407E14</v>
      </c>
      <c r="B86" s="137">
        <v>45393.0</v>
      </c>
      <c r="C86" s="134" t="s">
        <v>2637</v>
      </c>
      <c r="D86" s="134" t="s">
        <v>2638</v>
      </c>
      <c r="E86" s="134" t="s">
        <v>2639</v>
      </c>
      <c r="F86" s="134" t="s">
        <v>620</v>
      </c>
      <c r="G86" s="134" t="s">
        <v>2640</v>
      </c>
      <c r="H86" s="134" t="s">
        <v>622</v>
      </c>
      <c r="I86" s="134" t="s">
        <v>2641</v>
      </c>
      <c r="J86" s="134" t="s">
        <v>2642</v>
      </c>
      <c r="K86" s="134" t="b">
        <v>0</v>
      </c>
      <c r="L86" s="134" t="s">
        <v>53</v>
      </c>
      <c r="M86" s="134" t="s">
        <v>69</v>
      </c>
      <c r="N86" s="134" t="s">
        <v>55</v>
      </c>
      <c r="O86" s="134" t="s">
        <v>70</v>
      </c>
      <c r="P86" s="134" t="s">
        <v>232</v>
      </c>
      <c r="Q86" s="135">
        <v>7.0</v>
      </c>
      <c r="R86" s="134" t="s">
        <v>2771</v>
      </c>
      <c r="S86" s="134" t="s">
        <v>2772</v>
      </c>
      <c r="T86" s="136">
        <f>+573207775489</f>
        <v>573207775489</v>
      </c>
      <c r="U86" s="134" t="s">
        <v>61</v>
      </c>
      <c r="V86" s="134" t="s">
        <v>2570</v>
      </c>
    </row>
    <row r="87">
      <c r="A87" s="134" t="s">
        <v>2773</v>
      </c>
      <c r="B87" s="137">
        <v>45393.0</v>
      </c>
      <c r="C87" s="134" t="s">
        <v>2637</v>
      </c>
      <c r="D87" s="134" t="s">
        <v>2638</v>
      </c>
      <c r="E87" s="134" t="s">
        <v>2639</v>
      </c>
      <c r="F87" s="134" t="s">
        <v>620</v>
      </c>
      <c r="G87" s="134" t="s">
        <v>2640</v>
      </c>
      <c r="H87" s="134" t="s">
        <v>622</v>
      </c>
      <c r="I87" s="134" t="s">
        <v>2641</v>
      </c>
      <c r="J87" s="134" t="s">
        <v>2642</v>
      </c>
      <c r="K87" s="134" t="b">
        <v>0</v>
      </c>
      <c r="L87" s="134" t="s">
        <v>53</v>
      </c>
      <c r="M87" s="134" t="s">
        <v>54</v>
      </c>
      <c r="N87" s="134" t="s">
        <v>85</v>
      </c>
      <c r="O87" s="134" t="s">
        <v>86</v>
      </c>
      <c r="P87" s="134" t="s">
        <v>110</v>
      </c>
      <c r="Q87" s="135">
        <v>8.0</v>
      </c>
      <c r="R87" s="134" t="s">
        <v>117</v>
      </c>
      <c r="S87" s="134" t="s">
        <v>2774</v>
      </c>
      <c r="T87" s="136">
        <f>+573118162991</f>
        <v>573118162991</v>
      </c>
      <c r="U87" s="134" t="s">
        <v>75</v>
      </c>
      <c r="V87" s="134" t="s">
        <v>2570</v>
      </c>
    </row>
    <row r="88">
      <c r="A88" s="134" t="s">
        <v>2775</v>
      </c>
      <c r="B88" s="137">
        <v>45393.0</v>
      </c>
      <c r="C88" s="134" t="s">
        <v>2637</v>
      </c>
      <c r="D88" s="134" t="s">
        <v>2638</v>
      </c>
      <c r="E88" s="134" t="s">
        <v>2639</v>
      </c>
      <c r="F88" s="134" t="s">
        <v>620</v>
      </c>
      <c r="G88" s="134" t="s">
        <v>2640</v>
      </c>
      <c r="H88" s="134" t="s">
        <v>622</v>
      </c>
      <c r="I88" s="134" t="s">
        <v>2641</v>
      </c>
      <c r="J88" s="134" t="s">
        <v>2642</v>
      </c>
      <c r="K88" s="134" t="b">
        <v>0</v>
      </c>
      <c r="L88" s="134" t="s">
        <v>53</v>
      </c>
      <c r="M88" s="134" t="s">
        <v>69</v>
      </c>
      <c r="N88" s="134" t="s">
        <v>55</v>
      </c>
      <c r="O88" s="134" t="s">
        <v>70</v>
      </c>
      <c r="P88" s="134" t="s">
        <v>141</v>
      </c>
      <c r="Q88" s="135">
        <v>4.0</v>
      </c>
      <c r="R88" s="134" t="s">
        <v>2776</v>
      </c>
      <c r="S88" s="134" t="s">
        <v>2777</v>
      </c>
      <c r="T88" s="136">
        <f>+573116997801</f>
        <v>573116997801</v>
      </c>
      <c r="U88" s="134" t="s">
        <v>2778</v>
      </c>
      <c r="V88" s="134" t="s">
        <v>2570</v>
      </c>
    </row>
    <row r="89">
      <c r="A89" s="135">
        <v>9.19396840067701E14</v>
      </c>
      <c r="B89" s="137">
        <v>45393.0</v>
      </c>
      <c r="C89" s="134" t="s">
        <v>2637</v>
      </c>
      <c r="D89" s="134" t="s">
        <v>2638</v>
      </c>
      <c r="E89" s="134" t="s">
        <v>2639</v>
      </c>
      <c r="F89" s="134" t="s">
        <v>620</v>
      </c>
      <c r="G89" s="134" t="s">
        <v>2640</v>
      </c>
      <c r="H89" s="134" t="s">
        <v>622</v>
      </c>
      <c r="I89" s="134" t="s">
        <v>2641</v>
      </c>
      <c r="J89" s="134" t="s">
        <v>2642</v>
      </c>
      <c r="K89" s="134" t="b">
        <v>0</v>
      </c>
      <c r="L89" s="134" t="s">
        <v>53</v>
      </c>
      <c r="M89" s="134" t="s">
        <v>69</v>
      </c>
      <c r="N89" s="134" t="s">
        <v>85</v>
      </c>
      <c r="O89" s="134" t="s">
        <v>70</v>
      </c>
      <c r="P89" s="134" t="s">
        <v>2779</v>
      </c>
      <c r="Q89" s="135">
        <v>3.0</v>
      </c>
      <c r="R89" s="134" t="s">
        <v>73</v>
      </c>
      <c r="S89" s="134" t="s">
        <v>2780</v>
      </c>
      <c r="T89" s="136">
        <f>+573002067500</f>
        <v>573002067500</v>
      </c>
      <c r="U89" s="134" t="s">
        <v>61</v>
      </c>
      <c r="V89" s="134" t="s">
        <v>2570</v>
      </c>
    </row>
    <row r="90">
      <c r="A90" s="134" t="s">
        <v>2781</v>
      </c>
      <c r="B90" s="137">
        <v>45393.0</v>
      </c>
      <c r="C90" s="134" t="s">
        <v>2637</v>
      </c>
      <c r="D90" s="134" t="s">
        <v>2638</v>
      </c>
      <c r="E90" s="134" t="s">
        <v>2639</v>
      </c>
      <c r="F90" s="134" t="s">
        <v>620</v>
      </c>
      <c r="G90" s="134" t="s">
        <v>2640</v>
      </c>
      <c r="H90" s="134" t="s">
        <v>622</v>
      </c>
      <c r="I90" s="134" t="s">
        <v>2641</v>
      </c>
      <c r="J90" s="134" t="s">
        <v>2642</v>
      </c>
      <c r="K90" s="134" t="b">
        <v>0</v>
      </c>
      <c r="L90" s="134" t="s">
        <v>84</v>
      </c>
      <c r="M90" s="134" t="s">
        <v>69</v>
      </c>
      <c r="N90" s="134" t="s">
        <v>85</v>
      </c>
      <c r="O90" s="134" t="s">
        <v>70</v>
      </c>
      <c r="P90" s="134" t="s">
        <v>2782</v>
      </c>
      <c r="Q90" s="135">
        <v>10.0</v>
      </c>
      <c r="R90" s="134" t="s">
        <v>1721</v>
      </c>
      <c r="S90" s="134" t="s">
        <v>2783</v>
      </c>
      <c r="T90" s="136">
        <f>+573216035686</f>
        <v>573216035686</v>
      </c>
      <c r="U90" s="134" t="s">
        <v>75</v>
      </c>
      <c r="V90" s="134" t="s">
        <v>2570</v>
      </c>
    </row>
    <row r="91">
      <c r="A91" s="135">
        <v>4.76512872111654E14</v>
      </c>
      <c r="B91" s="137">
        <v>45362.0</v>
      </c>
      <c r="C91" s="134" t="s">
        <v>2637</v>
      </c>
      <c r="D91" s="134" t="s">
        <v>2638</v>
      </c>
      <c r="E91" s="134" t="s">
        <v>2639</v>
      </c>
      <c r="F91" s="134" t="s">
        <v>620</v>
      </c>
      <c r="G91" s="134" t="s">
        <v>2640</v>
      </c>
      <c r="H91" s="134" t="s">
        <v>622</v>
      </c>
      <c r="I91" s="134" t="s">
        <v>2641</v>
      </c>
      <c r="J91" s="134" t="s">
        <v>2642</v>
      </c>
      <c r="K91" s="134" t="b">
        <v>0</v>
      </c>
      <c r="L91" s="134" t="s">
        <v>84</v>
      </c>
      <c r="M91" s="134" t="s">
        <v>54</v>
      </c>
      <c r="N91" s="134" t="s">
        <v>85</v>
      </c>
      <c r="O91" s="134" t="s">
        <v>56</v>
      </c>
      <c r="P91" s="134" t="s">
        <v>734</v>
      </c>
      <c r="Q91" s="135">
        <v>10.0</v>
      </c>
      <c r="R91" s="134" t="s">
        <v>198</v>
      </c>
      <c r="S91" s="134" t="s">
        <v>2784</v>
      </c>
      <c r="T91" s="136">
        <f>+573022780629</f>
        <v>573022780629</v>
      </c>
      <c r="U91" s="134" t="s">
        <v>681</v>
      </c>
      <c r="V91" s="134" t="s">
        <v>2570</v>
      </c>
    </row>
    <row r="92">
      <c r="A92" s="135">
        <v>4.81500834908182E14</v>
      </c>
      <c r="B92" s="137">
        <v>45362.0</v>
      </c>
      <c r="C92" s="134" t="s">
        <v>2637</v>
      </c>
      <c r="D92" s="134" t="s">
        <v>2638</v>
      </c>
      <c r="E92" s="134" t="s">
        <v>2639</v>
      </c>
      <c r="F92" s="134" t="s">
        <v>620</v>
      </c>
      <c r="G92" s="134" t="s">
        <v>2640</v>
      </c>
      <c r="H92" s="134" t="s">
        <v>622</v>
      </c>
      <c r="I92" s="134" t="s">
        <v>2641</v>
      </c>
      <c r="J92" s="134" t="s">
        <v>2642</v>
      </c>
      <c r="K92" s="134" t="b">
        <v>0</v>
      </c>
      <c r="L92" s="134" t="s">
        <v>53</v>
      </c>
      <c r="M92" s="134" t="s">
        <v>54</v>
      </c>
      <c r="N92" s="134" t="s">
        <v>55</v>
      </c>
      <c r="O92" s="134" t="s">
        <v>70</v>
      </c>
      <c r="P92" s="134" t="s">
        <v>141</v>
      </c>
      <c r="Q92" s="135">
        <v>10.0</v>
      </c>
      <c r="R92" s="134" t="s">
        <v>207</v>
      </c>
      <c r="S92" s="134" t="s">
        <v>2785</v>
      </c>
      <c r="T92" s="136">
        <f>+573159273664</f>
        <v>573159273664</v>
      </c>
      <c r="U92" s="134" t="s">
        <v>61</v>
      </c>
      <c r="V92" s="134" t="s">
        <v>2570</v>
      </c>
    </row>
    <row r="93">
      <c r="A93" s="134" t="s">
        <v>2786</v>
      </c>
      <c r="B93" s="137">
        <v>45362.0</v>
      </c>
      <c r="C93" s="134" t="s">
        <v>2637</v>
      </c>
      <c r="D93" s="134" t="s">
        <v>2638</v>
      </c>
      <c r="E93" s="134" t="s">
        <v>2639</v>
      </c>
      <c r="F93" s="134" t="s">
        <v>620</v>
      </c>
      <c r="G93" s="134" t="s">
        <v>2640</v>
      </c>
      <c r="H93" s="134" t="s">
        <v>622</v>
      </c>
      <c r="I93" s="134" t="s">
        <v>2641</v>
      </c>
      <c r="J93" s="134" t="s">
        <v>2642</v>
      </c>
      <c r="K93" s="134" t="b">
        <v>0</v>
      </c>
      <c r="L93" s="134" t="s">
        <v>53</v>
      </c>
      <c r="M93" s="134" t="s">
        <v>54</v>
      </c>
      <c r="N93" s="134" t="s">
        <v>55</v>
      </c>
      <c r="O93" s="134" t="s">
        <v>70</v>
      </c>
      <c r="P93" s="134" t="s">
        <v>211</v>
      </c>
      <c r="Q93" s="135">
        <v>10.0</v>
      </c>
      <c r="R93" s="134" t="s">
        <v>207</v>
      </c>
      <c r="S93" s="134" t="s">
        <v>2787</v>
      </c>
      <c r="T93" s="136">
        <f>+573006607095</f>
        <v>573006607095</v>
      </c>
      <c r="U93" s="134" t="s">
        <v>61</v>
      </c>
      <c r="V93" s="134" t="s">
        <v>2570</v>
      </c>
    </row>
    <row r="94">
      <c r="A94" s="134" t="s">
        <v>2788</v>
      </c>
      <c r="B94" s="137">
        <v>45362.0</v>
      </c>
      <c r="C94" s="134" t="s">
        <v>2637</v>
      </c>
      <c r="D94" s="134" t="s">
        <v>2638</v>
      </c>
      <c r="E94" s="134" t="s">
        <v>2639</v>
      </c>
      <c r="F94" s="134" t="s">
        <v>620</v>
      </c>
      <c r="G94" s="134" t="s">
        <v>2640</v>
      </c>
      <c r="H94" s="134" t="s">
        <v>622</v>
      </c>
      <c r="I94" s="134" t="s">
        <v>2641</v>
      </c>
      <c r="J94" s="134" t="s">
        <v>2642</v>
      </c>
      <c r="K94" s="134" t="b">
        <v>0</v>
      </c>
      <c r="L94" s="134" t="s">
        <v>53</v>
      </c>
      <c r="M94" s="134" t="s">
        <v>69</v>
      </c>
      <c r="N94" s="134" t="s">
        <v>85</v>
      </c>
      <c r="O94" s="134" t="s">
        <v>70</v>
      </c>
      <c r="P94" s="134" t="s">
        <v>282</v>
      </c>
      <c r="Q94" s="135">
        <v>10.0</v>
      </c>
      <c r="R94" s="134" t="s">
        <v>173</v>
      </c>
      <c r="S94" s="134" t="s">
        <v>2789</v>
      </c>
      <c r="T94" s="136">
        <f>+573014579658</f>
        <v>573014579658</v>
      </c>
      <c r="U94" s="134" t="s">
        <v>61</v>
      </c>
      <c r="V94" s="134" t="s">
        <v>2570</v>
      </c>
    </row>
    <row r="95">
      <c r="A95" s="135">
        <v>9.16809176517468E14</v>
      </c>
      <c r="B95" s="137">
        <v>45362.0</v>
      </c>
      <c r="C95" s="134" t="s">
        <v>2637</v>
      </c>
      <c r="D95" s="134" t="s">
        <v>2638</v>
      </c>
      <c r="E95" s="134" t="s">
        <v>2639</v>
      </c>
      <c r="F95" s="134" t="s">
        <v>620</v>
      </c>
      <c r="G95" s="134" t="s">
        <v>2640</v>
      </c>
      <c r="H95" s="134" t="s">
        <v>622</v>
      </c>
      <c r="I95" s="134" t="s">
        <v>2641</v>
      </c>
      <c r="J95" s="134" t="s">
        <v>2642</v>
      </c>
      <c r="K95" s="134" t="b">
        <v>0</v>
      </c>
      <c r="L95" s="134" t="s">
        <v>53</v>
      </c>
      <c r="M95" s="134" t="s">
        <v>69</v>
      </c>
      <c r="N95" s="134" t="s">
        <v>85</v>
      </c>
      <c r="O95" s="134" t="s">
        <v>70</v>
      </c>
      <c r="P95" s="134" t="s">
        <v>211</v>
      </c>
      <c r="Q95" s="135">
        <v>7.0</v>
      </c>
      <c r="R95" s="134" t="s">
        <v>79</v>
      </c>
      <c r="S95" s="134" t="s">
        <v>2790</v>
      </c>
      <c r="T95" s="136">
        <f>+573137606241</f>
        <v>573137606241</v>
      </c>
      <c r="U95" s="134" t="s">
        <v>61</v>
      </c>
      <c r="V95" s="134" t="s">
        <v>2570</v>
      </c>
    </row>
    <row r="96">
      <c r="A96" s="135">
        <v>5.49018377886582E14</v>
      </c>
      <c r="B96" s="137">
        <v>45362.0</v>
      </c>
      <c r="C96" s="134" t="s">
        <v>2637</v>
      </c>
      <c r="D96" s="134" t="s">
        <v>2638</v>
      </c>
      <c r="E96" s="134" t="s">
        <v>2639</v>
      </c>
      <c r="F96" s="134" t="s">
        <v>620</v>
      </c>
      <c r="G96" s="134" t="s">
        <v>2640</v>
      </c>
      <c r="H96" s="134" t="s">
        <v>622</v>
      </c>
      <c r="I96" s="134" t="s">
        <v>2641</v>
      </c>
      <c r="J96" s="134" t="s">
        <v>2642</v>
      </c>
      <c r="K96" s="134" t="b">
        <v>0</v>
      </c>
      <c r="L96" s="134" t="s">
        <v>53</v>
      </c>
      <c r="M96" s="134" t="s">
        <v>54</v>
      </c>
      <c r="N96" s="134" t="s">
        <v>55</v>
      </c>
      <c r="O96" s="134" t="s">
        <v>70</v>
      </c>
      <c r="P96" s="134" t="s">
        <v>232</v>
      </c>
      <c r="Q96" s="135">
        <v>10.0</v>
      </c>
      <c r="R96" s="134" t="s">
        <v>2791</v>
      </c>
      <c r="S96" s="134" t="s">
        <v>2792</v>
      </c>
      <c r="T96" s="136">
        <f>+573127676987</f>
        <v>573127676987</v>
      </c>
      <c r="U96" s="134" t="s">
        <v>75</v>
      </c>
      <c r="V96" s="134" t="s">
        <v>2570</v>
      </c>
    </row>
    <row r="97">
      <c r="A97" s="134" t="s">
        <v>2793</v>
      </c>
      <c r="B97" s="137">
        <v>45362.0</v>
      </c>
      <c r="C97" s="134" t="s">
        <v>2637</v>
      </c>
      <c r="D97" s="134" t="s">
        <v>2638</v>
      </c>
      <c r="E97" s="134" t="s">
        <v>2639</v>
      </c>
      <c r="F97" s="134" t="s">
        <v>620</v>
      </c>
      <c r="G97" s="134" t="s">
        <v>2640</v>
      </c>
      <c r="H97" s="134" t="s">
        <v>622</v>
      </c>
      <c r="I97" s="134" t="s">
        <v>2641</v>
      </c>
      <c r="J97" s="134" t="s">
        <v>2642</v>
      </c>
      <c r="K97" s="134" t="b">
        <v>0</v>
      </c>
      <c r="L97" s="134" t="s">
        <v>53</v>
      </c>
      <c r="M97" s="134" t="s">
        <v>54</v>
      </c>
      <c r="N97" s="134" t="s">
        <v>85</v>
      </c>
      <c r="O97" s="134" t="s">
        <v>70</v>
      </c>
      <c r="P97" s="134" t="s">
        <v>211</v>
      </c>
      <c r="Q97" s="135">
        <v>3.0</v>
      </c>
      <c r="R97" s="134" t="s">
        <v>2794</v>
      </c>
      <c r="S97" s="134" t="s">
        <v>2795</v>
      </c>
      <c r="T97" s="135">
        <v>3.012902924E9</v>
      </c>
      <c r="U97" s="134" t="s">
        <v>75</v>
      </c>
      <c r="V97" s="134" t="s">
        <v>2570</v>
      </c>
    </row>
    <row r="98">
      <c r="A98" s="134" t="s">
        <v>2796</v>
      </c>
      <c r="B98" s="137">
        <v>45362.0</v>
      </c>
      <c r="C98" s="134" t="s">
        <v>2637</v>
      </c>
      <c r="D98" s="134" t="s">
        <v>2638</v>
      </c>
      <c r="E98" s="134" t="s">
        <v>2639</v>
      </c>
      <c r="F98" s="134" t="s">
        <v>620</v>
      </c>
      <c r="G98" s="134" t="s">
        <v>2640</v>
      </c>
      <c r="H98" s="134" t="s">
        <v>622</v>
      </c>
      <c r="I98" s="134" t="s">
        <v>2641</v>
      </c>
      <c r="J98" s="134" t="s">
        <v>2642</v>
      </c>
      <c r="K98" s="134" t="b">
        <v>0</v>
      </c>
      <c r="L98" s="134" t="s">
        <v>84</v>
      </c>
      <c r="M98" s="134" t="s">
        <v>54</v>
      </c>
      <c r="N98" s="134" t="s">
        <v>55</v>
      </c>
      <c r="O98" s="134" t="s">
        <v>56</v>
      </c>
      <c r="P98" s="134" t="s">
        <v>2797</v>
      </c>
      <c r="Q98" s="135">
        <v>10.0</v>
      </c>
      <c r="R98" s="134" t="s">
        <v>223</v>
      </c>
      <c r="S98" s="134" t="s">
        <v>2798</v>
      </c>
      <c r="T98" s="136">
        <f>+573188648844</f>
        <v>573188648844</v>
      </c>
      <c r="U98" s="134" t="s">
        <v>75</v>
      </c>
      <c r="V98" s="134" t="s">
        <v>2570</v>
      </c>
    </row>
    <row r="99">
      <c r="A99" s="135">
        <v>9.20261770025485E14</v>
      </c>
      <c r="B99" s="137">
        <v>45362.0</v>
      </c>
      <c r="C99" s="134" t="s">
        <v>2637</v>
      </c>
      <c r="D99" s="134" t="s">
        <v>2638</v>
      </c>
      <c r="E99" s="134" t="s">
        <v>2639</v>
      </c>
      <c r="F99" s="134" t="s">
        <v>620</v>
      </c>
      <c r="G99" s="134" t="s">
        <v>2640</v>
      </c>
      <c r="H99" s="134" t="s">
        <v>622</v>
      </c>
      <c r="I99" s="134" t="s">
        <v>2641</v>
      </c>
      <c r="J99" s="134" t="s">
        <v>2642</v>
      </c>
      <c r="K99" s="134" t="b">
        <v>0</v>
      </c>
      <c r="L99" s="134" t="s">
        <v>53</v>
      </c>
      <c r="M99" s="134" t="s">
        <v>54</v>
      </c>
      <c r="N99" s="134" t="s">
        <v>137</v>
      </c>
      <c r="O99" s="134" t="s">
        <v>86</v>
      </c>
      <c r="P99" s="134" t="s">
        <v>232</v>
      </c>
      <c r="Q99" s="135">
        <v>4.0</v>
      </c>
      <c r="R99" s="134" t="s">
        <v>73</v>
      </c>
      <c r="S99" s="134" t="s">
        <v>2799</v>
      </c>
      <c r="T99" s="136">
        <f>+573117023358</f>
        <v>573117023358</v>
      </c>
      <c r="U99" s="134" t="s">
        <v>75</v>
      </c>
      <c r="V99" s="134" t="s">
        <v>2570</v>
      </c>
    </row>
    <row r="100">
      <c r="A100" s="134" t="s">
        <v>2800</v>
      </c>
      <c r="B100" s="137">
        <v>45362.0</v>
      </c>
      <c r="C100" s="134" t="s">
        <v>2637</v>
      </c>
      <c r="D100" s="134" t="s">
        <v>2638</v>
      </c>
      <c r="E100" s="134" t="s">
        <v>2639</v>
      </c>
      <c r="F100" s="134" t="s">
        <v>620</v>
      </c>
      <c r="G100" s="134" t="s">
        <v>2640</v>
      </c>
      <c r="H100" s="134" t="s">
        <v>622</v>
      </c>
      <c r="I100" s="134" t="s">
        <v>2641</v>
      </c>
      <c r="J100" s="134" t="s">
        <v>2642</v>
      </c>
      <c r="K100" s="134" t="b">
        <v>0</v>
      </c>
      <c r="L100" s="134" t="s">
        <v>53</v>
      </c>
      <c r="M100" s="134" t="s">
        <v>54</v>
      </c>
      <c r="N100" s="134" t="s">
        <v>137</v>
      </c>
      <c r="O100" s="134" t="s">
        <v>70</v>
      </c>
      <c r="P100" s="134" t="s">
        <v>2801</v>
      </c>
      <c r="Q100" s="135">
        <v>6.0</v>
      </c>
      <c r="R100" s="134" t="s">
        <v>73</v>
      </c>
      <c r="S100" s="134" t="s">
        <v>2802</v>
      </c>
      <c r="T100" s="136">
        <f>+573217037014</f>
        <v>573217037014</v>
      </c>
      <c r="U100" s="134" t="s">
        <v>61</v>
      </c>
      <c r="V100" s="134" t="s">
        <v>2570</v>
      </c>
    </row>
    <row r="101">
      <c r="A101" s="134" t="s">
        <v>2803</v>
      </c>
      <c r="B101" s="137">
        <v>45362.0</v>
      </c>
      <c r="C101" s="134" t="s">
        <v>2637</v>
      </c>
      <c r="D101" s="134" t="s">
        <v>2638</v>
      </c>
      <c r="E101" s="134" t="s">
        <v>2639</v>
      </c>
      <c r="F101" s="134" t="s">
        <v>620</v>
      </c>
      <c r="G101" s="134" t="s">
        <v>2640</v>
      </c>
      <c r="H101" s="134" t="s">
        <v>622</v>
      </c>
      <c r="I101" s="134" t="s">
        <v>2641</v>
      </c>
      <c r="J101" s="134" t="s">
        <v>2642</v>
      </c>
      <c r="K101" s="134" t="b">
        <v>0</v>
      </c>
      <c r="L101" s="134" t="s">
        <v>53</v>
      </c>
      <c r="M101" s="134" t="s">
        <v>69</v>
      </c>
      <c r="N101" s="134" t="s">
        <v>55</v>
      </c>
      <c r="O101" s="134" t="s">
        <v>70</v>
      </c>
      <c r="P101" s="134" t="s">
        <v>71</v>
      </c>
      <c r="Q101" s="135">
        <v>10.0</v>
      </c>
      <c r="R101" s="134" t="s">
        <v>2804</v>
      </c>
      <c r="S101" s="134" t="s">
        <v>2805</v>
      </c>
      <c r="T101" s="136">
        <f>+573145848492</f>
        <v>573145848492</v>
      </c>
      <c r="U101" s="134" t="s">
        <v>61</v>
      </c>
      <c r="V101" s="134" t="s">
        <v>2570</v>
      </c>
    </row>
    <row r="102">
      <c r="A102" s="134" t="s">
        <v>2806</v>
      </c>
      <c r="B102" s="137">
        <v>45333.0</v>
      </c>
      <c r="C102" s="134" t="s">
        <v>2637</v>
      </c>
      <c r="D102" s="134" t="s">
        <v>2638</v>
      </c>
      <c r="E102" s="134" t="s">
        <v>2639</v>
      </c>
      <c r="F102" s="134" t="s">
        <v>620</v>
      </c>
      <c r="G102" s="134" t="s">
        <v>2640</v>
      </c>
      <c r="H102" s="134" t="s">
        <v>622</v>
      </c>
      <c r="I102" s="134" t="s">
        <v>2641</v>
      </c>
      <c r="J102" s="134" t="s">
        <v>2642</v>
      </c>
      <c r="K102" s="134" t="b">
        <v>0</v>
      </c>
      <c r="L102" s="134" t="s">
        <v>53</v>
      </c>
      <c r="M102" s="134" t="s">
        <v>69</v>
      </c>
      <c r="N102" s="134" t="s">
        <v>55</v>
      </c>
      <c r="O102" s="134" t="s">
        <v>70</v>
      </c>
      <c r="P102" s="134" t="s">
        <v>141</v>
      </c>
      <c r="Q102" s="135">
        <v>5.0</v>
      </c>
      <c r="R102" s="134" t="s">
        <v>79</v>
      </c>
      <c r="S102" s="134" t="s">
        <v>2807</v>
      </c>
      <c r="T102" s="136">
        <f>+573022973278</f>
        <v>573022973278</v>
      </c>
      <c r="U102" s="134" t="s">
        <v>61</v>
      </c>
      <c r="V102" s="134" t="s">
        <v>2570</v>
      </c>
    </row>
    <row r="103">
      <c r="A103" s="134" t="s">
        <v>2808</v>
      </c>
      <c r="B103" s="137">
        <v>45333.0</v>
      </c>
      <c r="C103" s="134" t="s">
        <v>2637</v>
      </c>
      <c r="D103" s="134" t="s">
        <v>2638</v>
      </c>
      <c r="E103" s="134" t="s">
        <v>2639</v>
      </c>
      <c r="F103" s="134" t="s">
        <v>620</v>
      </c>
      <c r="G103" s="134" t="s">
        <v>2640</v>
      </c>
      <c r="H103" s="134" t="s">
        <v>622</v>
      </c>
      <c r="I103" s="134" t="s">
        <v>2641</v>
      </c>
      <c r="J103" s="134" t="s">
        <v>2642</v>
      </c>
      <c r="K103" s="134" t="b">
        <v>0</v>
      </c>
      <c r="L103" s="134" t="s">
        <v>84</v>
      </c>
      <c r="M103" s="134" t="s">
        <v>69</v>
      </c>
      <c r="N103" s="134" t="s">
        <v>85</v>
      </c>
      <c r="O103" s="134" t="s">
        <v>70</v>
      </c>
      <c r="P103" s="134" t="s">
        <v>188</v>
      </c>
      <c r="Q103" s="135">
        <v>10.0</v>
      </c>
      <c r="R103" s="134" t="s">
        <v>414</v>
      </c>
      <c r="S103" s="134" t="s">
        <v>2809</v>
      </c>
      <c r="T103" s="136">
        <f>+573132104828</f>
        <v>573132104828</v>
      </c>
      <c r="U103" s="134" t="s">
        <v>75</v>
      </c>
      <c r="V103" s="134" t="s">
        <v>2570</v>
      </c>
    </row>
    <row r="104">
      <c r="A104" s="134">
        <v>1.21594776296125E15</v>
      </c>
      <c r="B104" s="137">
        <v>45333.0</v>
      </c>
      <c r="C104" s="134" t="s">
        <v>2637</v>
      </c>
      <c r="D104" s="134" t="s">
        <v>2638</v>
      </c>
      <c r="E104" s="134" t="s">
        <v>2639</v>
      </c>
      <c r="F104" s="134" t="s">
        <v>620</v>
      </c>
      <c r="G104" s="134" t="s">
        <v>2640</v>
      </c>
      <c r="H104" s="134" t="s">
        <v>622</v>
      </c>
      <c r="I104" s="134" t="s">
        <v>2641</v>
      </c>
      <c r="J104" s="134" t="s">
        <v>2642</v>
      </c>
      <c r="K104" s="134" t="b">
        <v>0</v>
      </c>
      <c r="L104" s="134" t="s">
        <v>84</v>
      </c>
      <c r="M104" s="134" t="s">
        <v>54</v>
      </c>
      <c r="N104" s="134" t="s">
        <v>55</v>
      </c>
      <c r="O104" s="134" t="s">
        <v>70</v>
      </c>
      <c r="P104" s="134" t="s">
        <v>1037</v>
      </c>
      <c r="Q104" s="135">
        <v>8.0</v>
      </c>
      <c r="R104" s="134" t="s">
        <v>198</v>
      </c>
      <c r="S104" s="134" t="s">
        <v>2810</v>
      </c>
      <c r="T104" s="136">
        <f>+573012887747</f>
        <v>573012887747</v>
      </c>
      <c r="U104" s="134" t="s">
        <v>2811</v>
      </c>
      <c r="V104" s="134" t="s">
        <v>2570</v>
      </c>
    </row>
    <row r="105">
      <c r="A105" s="135">
        <v>5.51546817477281E14</v>
      </c>
      <c r="B105" s="137">
        <v>45333.0</v>
      </c>
      <c r="C105" s="134" t="s">
        <v>2637</v>
      </c>
      <c r="D105" s="134" t="s">
        <v>2638</v>
      </c>
      <c r="E105" s="134" t="s">
        <v>2639</v>
      </c>
      <c r="F105" s="134" t="s">
        <v>620</v>
      </c>
      <c r="G105" s="134" t="s">
        <v>2640</v>
      </c>
      <c r="H105" s="134" t="s">
        <v>622</v>
      </c>
      <c r="I105" s="134" t="s">
        <v>2641</v>
      </c>
      <c r="J105" s="134" t="s">
        <v>2642</v>
      </c>
      <c r="K105" s="134" t="b">
        <v>0</v>
      </c>
      <c r="L105" s="134" t="s">
        <v>53</v>
      </c>
      <c r="M105" s="134" t="s">
        <v>54</v>
      </c>
      <c r="N105" s="134" t="s">
        <v>55</v>
      </c>
      <c r="O105" s="134" t="s">
        <v>70</v>
      </c>
      <c r="P105" s="134" t="s">
        <v>282</v>
      </c>
      <c r="Q105" s="135">
        <v>6.0</v>
      </c>
      <c r="R105" s="134" t="s">
        <v>1318</v>
      </c>
      <c r="S105" s="134" t="s">
        <v>2812</v>
      </c>
      <c r="T105" s="135">
        <v>3.002743371E9</v>
      </c>
      <c r="U105" s="134" t="s">
        <v>61</v>
      </c>
      <c r="V105" s="134" t="s">
        <v>2570</v>
      </c>
    </row>
    <row r="106">
      <c r="A106" s="134" t="s">
        <v>2813</v>
      </c>
      <c r="B106" s="137">
        <v>45333.0</v>
      </c>
      <c r="C106" s="134" t="s">
        <v>2637</v>
      </c>
      <c r="D106" s="134" t="s">
        <v>2638</v>
      </c>
      <c r="E106" s="134" t="s">
        <v>2639</v>
      </c>
      <c r="F106" s="134" t="s">
        <v>620</v>
      </c>
      <c r="G106" s="134" t="s">
        <v>2640</v>
      </c>
      <c r="H106" s="134" t="s">
        <v>622</v>
      </c>
      <c r="I106" s="134" t="s">
        <v>2641</v>
      </c>
      <c r="J106" s="134" t="s">
        <v>2642</v>
      </c>
      <c r="K106" s="134" t="b">
        <v>0</v>
      </c>
      <c r="L106" s="134" t="s">
        <v>53</v>
      </c>
      <c r="M106" s="134" t="s">
        <v>54</v>
      </c>
      <c r="N106" s="134" t="s">
        <v>85</v>
      </c>
      <c r="O106" s="134" t="s">
        <v>70</v>
      </c>
      <c r="P106" s="134" t="s">
        <v>2814</v>
      </c>
      <c r="Q106" s="135">
        <v>6.0</v>
      </c>
      <c r="R106" s="134" t="s">
        <v>2815</v>
      </c>
      <c r="S106" s="134" t="s">
        <v>2816</v>
      </c>
      <c r="T106" s="135">
        <v>3.102185324E9</v>
      </c>
      <c r="U106" s="134" t="s">
        <v>75</v>
      </c>
      <c r="V106" s="134" t="s">
        <v>2570</v>
      </c>
    </row>
    <row r="107">
      <c r="A107" s="134" t="s">
        <v>2817</v>
      </c>
      <c r="B107" s="137">
        <v>45333.0</v>
      </c>
      <c r="C107" s="134" t="s">
        <v>2637</v>
      </c>
      <c r="D107" s="134" t="s">
        <v>2638</v>
      </c>
      <c r="E107" s="134" t="s">
        <v>2639</v>
      </c>
      <c r="F107" s="134" t="s">
        <v>620</v>
      </c>
      <c r="G107" s="134" t="s">
        <v>2640</v>
      </c>
      <c r="H107" s="134" t="s">
        <v>622</v>
      </c>
      <c r="I107" s="134" t="s">
        <v>2641</v>
      </c>
      <c r="J107" s="134" t="s">
        <v>2642</v>
      </c>
      <c r="K107" s="134" t="b">
        <v>0</v>
      </c>
      <c r="L107" s="134" t="s">
        <v>53</v>
      </c>
      <c r="M107" s="134" t="s">
        <v>54</v>
      </c>
      <c r="N107" s="134" t="s">
        <v>55</v>
      </c>
      <c r="O107" s="134" t="s">
        <v>70</v>
      </c>
      <c r="P107" s="134" t="s">
        <v>1482</v>
      </c>
      <c r="Q107" s="135">
        <v>5.0</v>
      </c>
      <c r="R107" s="134" t="s">
        <v>73</v>
      </c>
      <c r="S107" s="134" t="s">
        <v>2818</v>
      </c>
      <c r="T107" s="136">
        <f>+573006388973</f>
        <v>573006388973</v>
      </c>
      <c r="U107" s="134" t="s">
        <v>75</v>
      </c>
      <c r="V107" s="134" t="s">
        <v>2570</v>
      </c>
    </row>
    <row r="108">
      <c r="A108" s="135">
        <v>5.30941373136638E14</v>
      </c>
      <c r="B108" s="137">
        <v>45333.0</v>
      </c>
      <c r="C108" s="134" t="s">
        <v>2637</v>
      </c>
      <c r="D108" s="134" t="s">
        <v>2638</v>
      </c>
      <c r="E108" s="134" t="s">
        <v>2639</v>
      </c>
      <c r="F108" s="134" t="s">
        <v>620</v>
      </c>
      <c r="G108" s="134" t="s">
        <v>2640</v>
      </c>
      <c r="H108" s="134" t="s">
        <v>622</v>
      </c>
      <c r="I108" s="134" t="s">
        <v>2641</v>
      </c>
      <c r="J108" s="134" t="s">
        <v>2642</v>
      </c>
      <c r="K108" s="134" t="b">
        <v>0</v>
      </c>
      <c r="L108" s="134" t="s">
        <v>53</v>
      </c>
      <c r="M108" s="134" t="s">
        <v>54</v>
      </c>
      <c r="N108" s="134" t="s">
        <v>55</v>
      </c>
      <c r="O108" s="134" t="s">
        <v>70</v>
      </c>
      <c r="P108" s="134" t="s">
        <v>211</v>
      </c>
      <c r="Q108" s="135">
        <v>10.0</v>
      </c>
      <c r="R108" s="134" t="s">
        <v>2819</v>
      </c>
      <c r="S108" s="134" t="s">
        <v>2820</v>
      </c>
      <c r="T108" s="136">
        <f>+573147984047</f>
        <v>573147984047</v>
      </c>
      <c r="U108" s="134" t="s">
        <v>61</v>
      </c>
      <c r="V108" s="134" t="s">
        <v>2570</v>
      </c>
    </row>
    <row r="109">
      <c r="A109" s="134" t="s">
        <v>2821</v>
      </c>
      <c r="B109" s="137">
        <v>45333.0</v>
      </c>
      <c r="C109" s="134" t="s">
        <v>2637</v>
      </c>
      <c r="D109" s="134" t="s">
        <v>2638</v>
      </c>
      <c r="E109" s="134" t="s">
        <v>2639</v>
      </c>
      <c r="F109" s="134" t="s">
        <v>620</v>
      </c>
      <c r="G109" s="134" t="s">
        <v>2640</v>
      </c>
      <c r="H109" s="134" t="s">
        <v>622</v>
      </c>
      <c r="I109" s="134" t="s">
        <v>2641</v>
      </c>
      <c r="J109" s="134" t="s">
        <v>2642</v>
      </c>
      <c r="K109" s="134" t="b">
        <v>0</v>
      </c>
      <c r="L109" s="134" t="s">
        <v>53</v>
      </c>
      <c r="M109" s="134" t="s">
        <v>69</v>
      </c>
      <c r="N109" s="134" t="s">
        <v>55</v>
      </c>
      <c r="O109" s="134" t="s">
        <v>70</v>
      </c>
      <c r="P109" s="134" t="s">
        <v>2822</v>
      </c>
      <c r="Q109" s="135">
        <v>9.0</v>
      </c>
      <c r="R109" s="134" t="s">
        <v>2823</v>
      </c>
      <c r="S109" s="134" t="s">
        <v>2824</v>
      </c>
      <c r="T109" s="135">
        <v>3.004525234E9</v>
      </c>
      <c r="U109" s="134" t="s">
        <v>225</v>
      </c>
      <c r="V109" s="134" t="s">
        <v>2570</v>
      </c>
    </row>
    <row r="110">
      <c r="A110" s="135">
        <v>8.85692203706043E14</v>
      </c>
      <c r="B110" s="137">
        <v>45333.0</v>
      </c>
      <c r="C110" s="134" t="s">
        <v>2637</v>
      </c>
      <c r="D110" s="134" t="s">
        <v>2638</v>
      </c>
      <c r="E110" s="134" t="s">
        <v>2639</v>
      </c>
      <c r="F110" s="134" t="s">
        <v>620</v>
      </c>
      <c r="G110" s="134" t="s">
        <v>2640</v>
      </c>
      <c r="H110" s="134" t="s">
        <v>622</v>
      </c>
      <c r="I110" s="134" t="s">
        <v>2641</v>
      </c>
      <c r="J110" s="134" t="s">
        <v>2642</v>
      </c>
      <c r="K110" s="134" t="b">
        <v>0</v>
      </c>
      <c r="L110" s="134" t="s">
        <v>84</v>
      </c>
      <c r="M110" s="134" t="s">
        <v>54</v>
      </c>
      <c r="N110" s="134" t="s">
        <v>85</v>
      </c>
      <c r="O110" s="134" t="s">
        <v>56</v>
      </c>
      <c r="P110" s="134" t="s">
        <v>2825</v>
      </c>
      <c r="Q110" s="135">
        <v>10.0</v>
      </c>
      <c r="R110" s="134" t="s">
        <v>184</v>
      </c>
      <c r="S110" s="134" t="s">
        <v>2826</v>
      </c>
      <c r="T110" s="136">
        <f>+573013277615</f>
        <v>573013277615</v>
      </c>
      <c r="U110" s="134" t="s">
        <v>681</v>
      </c>
      <c r="V110" s="134" t="s">
        <v>2570</v>
      </c>
    </row>
    <row r="111">
      <c r="A111" s="134" t="s">
        <v>2827</v>
      </c>
      <c r="B111" s="137">
        <v>45302.0</v>
      </c>
      <c r="C111" s="134" t="s">
        <v>2637</v>
      </c>
      <c r="D111" s="134" t="s">
        <v>2638</v>
      </c>
      <c r="E111" s="134" t="s">
        <v>2639</v>
      </c>
      <c r="F111" s="134" t="s">
        <v>620</v>
      </c>
      <c r="G111" s="134" t="s">
        <v>2640</v>
      </c>
      <c r="H111" s="134" t="s">
        <v>622</v>
      </c>
      <c r="I111" s="134" t="s">
        <v>2641</v>
      </c>
      <c r="J111" s="134" t="s">
        <v>2642</v>
      </c>
      <c r="K111" s="134" t="b">
        <v>0</v>
      </c>
      <c r="L111" s="134" t="s">
        <v>53</v>
      </c>
      <c r="M111" s="134" t="s">
        <v>54</v>
      </c>
      <c r="N111" s="134" t="s">
        <v>85</v>
      </c>
      <c r="O111" s="134" t="s">
        <v>70</v>
      </c>
      <c r="P111" s="134" t="s">
        <v>2828</v>
      </c>
      <c r="Q111" s="135">
        <v>4.0</v>
      </c>
      <c r="R111" s="134" t="s">
        <v>278</v>
      </c>
      <c r="S111" s="134" t="s">
        <v>2829</v>
      </c>
      <c r="T111" s="136">
        <f>+573188984402</f>
        <v>573188984402</v>
      </c>
      <c r="U111" s="134" t="s">
        <v>681</v>
      </c>
      <c r="V111" s="134" t="s">
        <v>2570</v>
      </c>
    </row>
    <row r="112">
      <c r="A112" s="135">
        <v>9.37318531577904E14</v>
      </c>
      <c r="B112" s="137">
        <v>45302.0</v>
      </c>
      <c r="C112" s="134" t="s">
        <v>2637</v>
      </c>
      <c r="D112" s="134" t="s">
        <v>2638</v>
      </c>
      <c r="E112" s="134" t="s">
        <v>2639</v>
      </c>
      <c r="F112" s="134" t="s">
        <v>620</v>
      </c>
      <c r="G112" s="134" t="s">
        <v>2640</v>
      </c>
      <c r="H112" s="134" t="s">
        <v>622</v>
      </c>
      <c r="I112" s="134" t="s">
        <v>2641</v>
      </c>
      <c r="J112" s="134" t="s">
        <v>2642</v>
      </c>
      <c r="K112" s="134" t="b">
        <v>0</v>
      </c>
      <c r="L112" s="134" t="s">
        <v>53</v>
      </c>
      <c r="M112" s="134" t="s">
        <v>54</v>
      </c>
      <c r="N112" s="134" t="s">
        <v>85</v>
      </c>
      <c r="O112" s="134" t="s">
        <v>70</v>
      </c>
      <c r="P112" s="134" t="s">
        <v>132</v>
      </c>
      <c r="Q112" s="135">
        <v>10.0</v>
      </c>
      <c r="R112" s="134" t="s">
        <v>2830</v>
      </c>
      <c r="S112" s="134" t="s">
        <v>2831</v>
      </c>
      <c r="T112" s="136">
        <f>+573001137305</f>
        <v>573001137305</v>
      </c>
      <c r="U112" s="134" t="s">
        <v>61</v>
      </c>
      <c r="V112" s="134" t="s">
        <v>2570</v>
      </c>
    </row>
    <row r="113">
      <c r="A113" s="134" t="s">
        <v>2832</v>
      </c>
      <c r="B113" s="137">
        <v>45302.0</v>
      </c>
      <c r="C113" s="134" t="s">
        <v>2637</v>
      </c>
      <c r="D113" s="134" t="s">
        <v>2638</v>
      </c>
      <c r="E113" s="134" t="s">
        <v>2639</v>
      </c>
      <c r="F113" s="134" t="s">
        <v>620</v>
      </c>
      <c r="G113" s="134" t="s">
        <v>2640</v>
      </c>
      <c r="H113" s="134" t="s">
        <v>622</v>
      </c>
      <c r="I113" s="134" t="s">
        <v>2641</v>
      </c>
      <c r="J113" s="134" t="s">
        <v>2642</v>
      </c>
      <c r="K113" s="134" t="b">
        <v>0</v>
      </c>
      <c r="L113" s="134" t="s">
        <v>84</v>
      </c>
      <c r="M113" s="134" t="s">
        <v>54</v>
      </c>
      <c r="N113" s="134" t="s">
        <v>85</v>
      </c>
      <c r="O113" s="134" t="s">
        <v>56</v>
      </c>
      <c r="P113" s="134" t="s">
        <v>2465</v>
      </c>
      <c r="Q113" s="135">
        <v>8.0</v>
      </c>
      <c r="R113" s="139">
        <v>0.75</v>
      </c>
      <c r="S113" s="134" t="s">
        <v>2833</v>
      </c>
      <c r="T113" s="136">
        <f>+573170705249</f>
        <v>573170705249</v>
      </c>
      <c r="U113" s="134" t="s">
        <v>75</v>
      </c>
      <c r="V113" s="134" t="s">
        <v>2570</v>
      </c>
    </row>
    <row r="114">
      <c r="A114" s="134" t="s">
        <v>2834</v>
      </c>
      <c r="B114" s="137">
        <v>45302.0</v>
      </c>
      <c r="C114" s="134" t="s">
        <v>2637</v>
      </c>
      <c r="D114" s="134" t="s">
        <v>2638</v>
      </c>
      <c r="E114" s="134" t="s">
        <v>2639</v>
      </c>
      <c r="F114" s="134" t="s">
        <v>620</v>
      </c>
      <c r="G114" s="134" t="s">
        <v>2640</v>
      </c>
      <c r="H114" s="134" t="s">
        <v>622</v>
      </c>
      <c r="I114" s="134" t="s">
        <v>2641</v>
      </c>
      <c r="J114" s="134" t="s">
        <v>2642</v>
      </c>
      <c r="K114" s="134" t="b">
        <v>0</v>
      </c>
      <c r="L114" s="134" t="s">
        <v>84</v>
      </c>
      <c r="M114" s="134" t="s">
        <v>69</v>
      </c>
      <c r="N114" s="134" t="s">
        <v>55</v>
      </c>
      <c r="O114" s="134" t="s">
        <v>70</v>
      </c>
      <c r="P114" s="134" t="s">
        <v>2835</v>
      </c>
      <c r="Q114" s="135">
        <v>8.0</v>
      </c>
      <c r="R114" s="134" t="s">
        <v>604</v>
      </c>
      <c r="S114" s="134" t="s">
        <v>2836</v>
      </c>
      <c r="T114" s="136">
        <f>+5219991159638</f>
        <v>5219991159638</v>
      </c>
      <c r="U114" s="134" t="s">
        <v>2101</v>
      </c>
      <c r="V114" s="134" t="s">
        <v>2570</v>
      </c>
    </row>
    <row r="115">
      <c r="A115" s="134" t="s">
        <v>2837</v>
      </c>
      <c r="B115" s="137">
        <v>45302.0</v>
      </c>
      <c r="C115" s="134" t="s">
        <v>2637</v>
      </c>
      <c r="D115" s="134" t="s">
        <v>2638</v>
      </c>
      <c r="E115" s="134" t="s">
        <v>2639</v>
      </c>
      <c r="F115" s="134" t="s">
        <v>620</v>
      </c>
      <c r="G115" s="134" t="s">
        <v>2640</v>
      </c>
      <c r="H115" s="134" t="s">
        <v>622</v>
      </c>
      <c r="I115" s="134" t="s">
        <v>2641</v>
      </c>
      <c r="J115" s="134" t="s">
        <v>2642</v>
      </c>
      <c r="K115" s="134" t="b">
        <v>0</v>
      </c>
      <c r="L115" s="134" t="s">
        <v>53</v>
      </c>
      <c r="M115" s="134" t="s">
        <v>54</v>
      </c>
      <c r="N115" s="134" t="s">
        <v>55</v>
      </c>
      <c r="O115" s="134" t="s">
        <v>70</v>
      </c>
      <c r="P115" s="134" t="s">
        <v>2838</v>
      </c>
      <c r="Q115" s="135">
        <v>7.0</v>
      </c>
      <c r="R115" s="134" t="s">
        <v>2839</v>
      </c>
      <c r="S115" s="134" t="s">
        <v>2840</v>
      </c>
      <c r="T115" s="136">
        <f>+573015397896</f>
        <v>573015397896</v>
      </c>
      <c r="U115" s="134" t="s">
        <v>75</v>
      </c>
      <c r="V115" s="134" t="s">
        <v>2570</v>
      </c>
    </row>
    <row r="116">
      <c r="A116" s="135">
        <v>8.90523849860002E14</v>
      </c>
      <c r="B116" s="137">
        <v>45302.0</v>
      </c>
      <c r="C116" s="134" t="s">
        <v>2637</v>
      </c>
      <c r="D116" s="134" t="s">
        <v>2638</v>
      </c>
      <c r="E116" s="134" t="s">
        <v>2639</v>
      </c>
      <c r="F116" s="134" t="s">
        <v>620</v>
      </c>
      <c r="G116" s="134" t="s">
        <v>2640</v>
      </c>
      <c r="H116" s="134" t="s">
        <v>622</v>
      </c>
      <c r="I116" s="134" t="s">
        <v>2641</v>
      </c>
      <c r="J116" s="134" t="s">
        <v>2642</v>
      </c>
      <c r="K116" s="134" t="b">
        <v>0</v>
      </c>
      <c r="L116" s="134" t="s">
        <v>84</v>
      </c>
      <c r="M116" s="134" t="s">
        <v>54</v>
      </c>
      <c r="N116" s="134" t="s">
        <v>55</v>
      </c>
      <c r="O116" s="134" t="s">
        <v>70</v>
      </c>
      <c r="P116" s="134" t="s">
        <v>317</v>
      </c>
      <c r="Q116" s="135">
        <v>5.0</v>
      </c>
      <c r="R116" s="134" t="s">
        <v>207</v>
      </c>
      <c r="S116" s="134" t="s">
        <v>2841</v>
      </c>
      <c r="T116" s="136">
        <f>+573017719086</f>
        <v>573017719086</v>
      </c>
      <c r="U116" s="134" t="s">
        <v>75</v>
      </c>
      <c r="V116" s="134" t="s">
        <v>2570</v>
      </c>
    </row>
    <row r="117">
      <c r="A117" s="135">
        <v>5.44811924828243E14</v>
      </c>
      <c r="B117" s="137">
        <v>45302.0</v>
      </c>
      <c r="C117" s="134" t="s">
        <v>2637</v>
      </c>
      <c r="D117" s="134" t="s">
        <v>2638</v>
      </c>
      <c r="E117" s="134" t="s">
        <v>2639</v>
      </c>
      <c r="F117" s="134" t="s">
        <v>620</v>
      </c>
      <c r="G117" s="134" t="s">
        <v>2640</v>
      </c>
      <c r="H117" s="134" t="s">
        <v>622</v>
      </c>
      <c r="I117" s="134" t="s">
        <v>2641</v>
      </c>
      <c r="J117" s="134" t="s">
        <v>2642</v>
      </c>
      <c r="K117" s="134" t="b">
        <v>0</v>
      </c>
      <c r="L117" s="134" t="s">
        <v>53</v>
      </c>
      <c r="M117" s="134" t="s">
        <v>69</v>
      </c>
      <c r="N117" s="134" t="s">
        <v>55</v>
      </c>
      <c r="O117" s="134" t="s">
        <v>70</v>
      </c>
      <c r="P117" s="134" t="s">
        <v>826</v>
      </c>
      <c r="Q117" s="135">
        <v>4.0</v>
      </c>
      <c r="R117" s="134" t="s">
        <v>2842</v>
      </c>
      <c r="S117" s="134" t="s">
        <v>2843</v>
      </c>
      <c r="T117" s="136">
        <f>+573206174313</f>
        <v>573206174313</v>
      </c>
      <c r="U117" s="134" t="s">
        <v>61</v>
      </c>
      <c r="V117" s="134" t="s">
        <v>2570</v>
      </c>
    </row>
    <row r="118">
      <c r="A118" s="134" t="s">
        <v>2844</v>
      </c>
      <c r="B118" s="137">
        <v>45302.0</v>
      </c>
      <c r="C118" s="134" t="s">
        <v>2637</v>
      </c>
      <c r="D118" s="134" t="s">
        <v>2638</v>
      </c>
      <c r="E118" s="134" t="s">
        <v>2639</v>
      </c>
      <c r="F118" s="134" t="s">
        <v>620</v>
      </c>
      <c r="G118" s="134" t="s">
        <v>2640</v>
      </c>
      <c r="H118" s="134" t="s">
        <v>622</v>
      </c>
      <c r="I118" s="134" t="s">
        <v>2641</v>
      </c>
      <c r="J118" s="134" t="s">
        <v>2642</v>
      </c>
      <c r="K118" s="134" t="b">
        <v>0</v>
      </c>
      <c r="L118" s="134" t="s">
        <v>53</v>
      </c>
      <c r="M118" s="134" t="s">
        <v>69</v>
      </c>
      <c r="N118" s="134" t="s">
        <v>55</v>
      </c>
      <c r="O118" s="134" t="s">
        <v>70</v>
      </c>
      <c r="P118" s="134" t="s">
        <v>141</v>
      </c>
      <c r="Q118" s="135">
        <v>10.0</v>
      </c>
      <c r="R118" s="134" t="s">
        <v>2845</v>
      </c>
      <c r="S118" s="134" t="s">
        <v>2846</v>
      </c>
      <c r="T118" s="136">
        <f>+573188482272</f>
        <v>573188482272</v>
      </c>
      <c r="U118" s="134" t="s">
        <v>75</v>
      </c>
      <c r="V118" s="134" t="s">
        <v>2570</v>
      </c>
    </row>
    <row r="119">
      <c r="A119" s="134" t="s">
        <v>2847</v>
      </c>
      <c r="B119" s="137">
        <v>45302.0</v>
      </c>
      <c r="C119" s="134" t="s">
        <v>2637</v>
      </c>
      <c r="D119" s="134" t="s">
        <v>2638</v>
      </c>
      <c r="E119" s="134" t="s">
        <v>2639</v>
      </c>
      <c r="F119" s="134" t="s">
        <v>620</v>
      </c>
      <c r="G119" s="134" t="s">
        <v>2640</v>
      </c>
      <c r="H119" s="134" t="s">
        <v>622</v>
      </c>
      <c r="I119" s="134" t="s">
        <v>2641</v>
      </c>
      <c r="J119" s="134" t="s">
        <v>2642</v>
      </c>
      <c r="K119" s="134" t="b">
        <v>0</v>
      </c>
      <c r="L119" s="134" t="s">
        <v>53</v>
      </c>
      <c r="M119" s="134" t="s">
        <v>54</v>
      </c>
      <c r="N119" s="134" t="s">
        <v>137</v>
      </c>
      <c r="O119" s="134" t="s">
        <v>70</v>
      </c>
      <c r="P119" s="134" t="s">
        <v>2848</v>
      </c>
      <c r="Q119" s="134" t="s">
        <v>2849</v>
      </c>
      <c r="R119" s="134" t="s">
        <v>2850</v>
      </c>
      <c r="S119" s="134" t="s">
        <v>2851</v>
      </c>
      <c r="T119" s="136">
        <f>+573195279858</f>
        <v>573195279858</v>
      </c>
      <c r="U119" s="134" t="s">
        <v>75</v>
      </c>
      <c r="V119" s="134" t="s">
        <v>2570</v>
      </c>
    </row>
    <row r="120">
      <c r="A120" s="134" t="s">
        <v>2852</v>
      </c>
      <c r="B120" s="137">
        <v>45302.0</v>
      </c>
      <c r="C120" s="134" t="s">
        <v>2637</v>
      </c>
      <c r="D120" s="134" t="s">
        <v>2638</v>
      </c>
      <c r="E120" s="134" t="s">
        <v>2639</v>
      </c>
      <c r="F120" s="134" t="s">
        <v>620</v>
      </c>
      <c r="G120" s="134" t="s">
        <v>2640</v>
      </c>
      <c r="H120" s="134" t="s">
        <v>622</v>
      </c>
      <c r="I120" s="134" t="s">
        <v>2641</v>
      </c>
      <c r="J120" s="134" t="s">
        <v>2642</v>
      </c>
      <c r="K120" s="134" t="b">
        <v>0</v>
      </c>
      <c r="L120" s="134" t="s">
        <v>84</v>
      </c>
      <c r="M120" s="134" t="s">
        <v>54</v>
      </c>
      <c r="N120" s="134" t="s">
        <v>55</v>
      </c>
      <c r="O120" s="134" t="s">
        <v>70</v>
      </c>
      <c r="P120" s="134" t="s">
        <v>1037</v>
      </c>
      <c r="Q120" s="135">
        <v>10.0</v>
      </c>
      <c r="R120" s="134" t="s">
        <v>148</v>
      </c>
      <c r="S120" s="134" t="s">
        <v>2853</v>
      </c>
      <c r="T120" s="136">
        <f>+573007218745</f>
        <v>573007218745</v>
      </c>
      <c r="U120" s="134" t="s">
        <v>75</v>
      </c>
      <c r="V120" s="134" t="s">
        <v>2570</v>
      </c>
    </row>
    <row r="121">
      <c r="A121" s="135">
        <v>5.87611687038392E14</v>
      </c>
      <c r="B121" s="137">
        <v>45302.0</v>
      </c>
      <c r="C121" s="134" t="s">
        <v>2637</v>
      </c>
      <c r="D121" s="134" t="s">
        <v>2638</v>
      </c>
      <c r="E121" s="134" t="s">
        <v>2639</v>
      </c>
      <c r="F121" s="134" t="s">
        <v>620</v>
      </c>
      <c r="G121" s="134" t="s">
        <v>2640</v>
      </c>
      <c r="H121" s="134" t="s">
        <v>622</v>
      </c>
      <c r="I121" s="134" t="s">
        <v>2641</v>
      </c>
      <c r="J121" s="134" t="s">
        <v>2642</v>
      </c>
      <c r="K121" s="134" t="b">
        <v>0</v>
      </c>
      <c r="L121" s="134" t="s">
        <v>53</v>
      </c>
      <c r="M121" s="134" t="s">
        <v>54</v>
      </c>
      <c r="N121" s="134" t="s">
        <v>85</v>
      </c>
      <c r="O121" s="134" t="s">
        <v>70</v>
      </c>
      <c r="P121" s="134" t="s">
        <v>141</v>
      </c>
      <c r="Q121" s="135">
        <v>5.0</v>
      </c>
      <c r="R121" s="134" t="s">
        <v>2854</v>
      </c>
      <c r="S121" s="134" t="s">
        <v>2855</v>
      </c>
      <c r="T121" s="136">
        <f>+573007826587</f>
        <v>573007826587</v>
      </c>
      <c r="U121" s="134" t="s">
        <v>75</v>
      </c>
      <c r="V121" s="134" t="s">
        <v>2570</v>
      </c>
    </row>
    <row r="122">
      <c r="A122" s="134" t="s">
        <v>2856</v>
      </c>
      <c r="B122" s="137">
        <v>45302.0</v>
      </c>
      <c r="C122" s="134" t="s">
        <v>2637</v>
      </c>
      <c r="D122" s="134" t="s">
        <v>2638</v>
      </c>
      <c r="E122" s="134" t="s">
        <v>2639</v>
      </c>
      <c r="F122" s="134" t="s">
        <v>620</v>
      </c>
      <c r="G122" s="134" t="s">
        <v>2640</v>
      </c>
      <c r="H122" s="134" t="s">
        <v>622</v>
      </c>
      <c r="I122" s="134" t="s">
        <v>2641</v>
      </c>
      <c r="J122" s="134" t="s">
        <v>2642</v>
      </c>
      <c r="K122" s="134" t="b">
        <v>0</v>
      </c>
      <c r="L122" s="134" t="s">
        <v>53</v>
      </c>
      <c r="M122" s="134" t="s">
        <v>54</v>
      </c>
      <c r="N122" s="134" t="s">
        <v>85</v>
      </c>
      <c r="O122" s="134" t="s">
        <v>70</v>
      </c>
      <c r="P122" s="134" t="s">
        <v>182</v>
      </c>
      <c r="Q122" s="135">
        <v>8.0</v>
      </c>
      <c r="R122" s="134" t="s">
        <v>466</v>
      </c>
      <c r="S122" s="134" t="s">
        <v>2857</v>
      </c>
      <c r="T122" s="136">
        <f>+573023009810</f>
        <v>573023009810</v>
      </c>
      <c r="U122" s="134" t="s">
        <v>61</v>
      </c>
      <c r="V122" s="134" t="s">
        <v>2570</v>
      </c>
    </row>
    <row r="125">
      <c r="A125" s="19" t="s">
        <v>2858</v>
      </c>
    </row>
    <row r="126">
      <c r="A126" s="140" t="s">
        <v>2859</v>
      </c>
      <c r="B126" s="29" t="s">
        <v>2860</v>
      </c>
      <c r="C126" s="29" t="s">
        <v>2861</v>
      </c>
      <c r="D126" s="29" t="s">
        <v>2862</v>
      </c>
      <c r="E126" s="141" t="s">
        <v>2863</v>
      </c>
      <c r="F126" s="29" t="s">
        <v>2864</v>
      </c>
      <c r="G126" s="29" t="s">
        <v>2865</v>
      </c>
      <c r="H126" s="29" t="s">
        <v>2866</v>
      </c>
      <c r="I126" s="29" t="s">
        <v>2867</v>
      </c>
      <c r="J126" s="29" t="s">
        <v>2868</v>
      </c>
      <c r="K126" s="29" t="s">
        <v>2869</v>
      </c>
    </row>
    <row r="127">
      <c r="A127" s="142">
        <v>45551.8247118287</v>
      </c>
      <c r="B127" s="29" t="s">
        <v>2870</v>
      </c>
      <c r="C127" s="29" t="s">
        <v>2871</v>
      </c>
      <c r="D127" s="29" t="s">
        <v>2872</v>
      </c>
      <c r="E127" s="29" t="s">
        <v>104</v>
      </c>
      <c r="F127" s="143">
        <v>6.0</v>
      </c>
      <c r="G127" s="29" t="s">
        <v>466</v>
      </c>
      <c r="H127" s="29" t="s">
        <v>2873</v>
      </c>
      <c r="I127" s="29" t="s">
        <v>61</v>
      </c>
      <c r="J127" s="143">
        <v>3.145822943E9</v>
      </c>
      <c r="K127" s="29"/>
    </row>
    <row r="128">
      <c r="A128" s="142">
        <v>45588.20035010416</v>
      </c>
      <c r="B128" s="29" t="s">
        <v>2870</v>
      </c>
      <c r="C128" s="29" t="s">
        <v>288</v>
      </c>
      <c r="D128" s="144" t="s">
        <v>2874</v>
      </c>
      <c r="E128" s="144" t="s">
        <v>71</v>
      </c>
      <c r="F128" s="145">
        <v>10.0</v>
      </c>
      <c r="G128" s="144" t="s">
        <v>2875</v>
      </c>
      <c r="H128" s="144" t="s">
        <v>2876</v>
      </c>
      <c r="I128" s="144" t="s">
        <v>61</v>
      </c>
      <c r="J128" s="145">
        <v>3.057818444E9</v>
      </c>
      <c r="K128" s="144" t="s">
        <v>2877</v>
      </c>
    </row>
    <row r="129">
      <c r="A129" s="142">
        <v>45532.49691700231</v>
      </c>
      <c r="B129" s="29" t="s">
        <v>2870</v>
      </c>
      <c r="C129" s="29" t="s">
        <v>2871</v>
      </c>
      <c r="D129" s="29" t="s">
        <v>2872</v>
      </c>
      <c r="E129" s="29" t="s">
        <v>2878</v>
      </c>
      <c r="F129" s="143">
        <v>6.0</v>
      </c>
      <c r="G129" s="29" t="s">
        <v>2879</v>
      </c>
      <c r="H129" s="29" t="s">
        <v>2880</v>
      </c>
      <c r="I129" s="29" t="s">
        <v>61</v>
      </c>
      <c r="J129" s="143">
        <v>3.016291599E9</v>
      </c>
      <c r="K129" s="29"/>
    </row>
    <row r="130">
      <c r="A130" s="142">
        <v>45548.64832760417</v>
      </c>
      <c r="B130" s="29" t="s">
        <v>2870</v>
      </c>
      <c r="C130" s="29" t="s">
        <v>2871</v>
      </c>
      <c r="D130" s="29" t="s">
        <v>2874</v>
      </c>
      <c r="E130" s="29" t="s">
        <v>2881</v>
      </c>
      <c r="F130" s="143">
        <v>10.0</v>
      </c>
      <c r="G130" s="29" t="s">
        <v>117</v>
      </c>
      <c r="H130" s="29" t="s">
        <v>2882</v>
      </c>
      <c r="I130" s="29" t="s">
        <v>61</v>
      </c>
      <c r="J130" s="143">
        <v>3.183402798E9</v>
      </c>
      <c r="K130" s="29"/>
    </row>
    <row r="131">
      <c r="A131" s="142">
        <v>45546.614354641206</v>
      </c>
      <c r="B131" s="29" t="s">
        <v>2870</v>
      </c>
      <c r="C131" s="29" t="s">
        <v>2871</v>
      </c>
      <c r="D131" s="29" t="s">
        <v>2883</v>
      </c>
      <c r="E131" s="29" t="s">
        <v>2884</v>
      </c>
      <c r="F131" s="143">
        <v>10.0</v>
      </c>
      <c r="G131" s="29" t="s">
        <v>173</v>
      </c>
      <c r="H131" s="29" t="s">
        <v>2885</v>
      </c>
      <c r="I131" s="29" t="s">
        <v>61</v>
      </c>
      <c r="J131" s="143">
        <v>3.00672814E9</v>
      </c>
      <c r="K131" s="29"/>
    </row>
    <row r="132">
      <c r="A132" s="142">
        <v>45591.4059803125</v>
      </c>
      <c r="B132" s="29" t="s">
        <v>2870</v>
      </c>
      <c r="C132" s="29" t="s">
        <v>288</v>
      </c>
      <c r="D132" s="144" t="s">
        <v>2883</v>
      </c>
      <c r="E132" s="144" t="s">
        <v>2886</v>
      </c>
      <c r="F132" s="145">
        <v>7.0</v>
      </c>
      <c r="G132" s="144" t="s">
        <v>2887</v>
      </c>
      <c r="H132" s="144" t="s">
        <v>2888</v>
      </c>
      <c r="I132" s="144" t="s">
        <v>61</v>
      </c>
      <c r="J132" s="144" t="s">
        <v>2889</v>
      </c>
      <c r="K132" s="144" t="s">
        <v>2877</v>
      </c>
    </row>
    <row r="133">
      <c r="A133" s="142">
        <v>45549.45195076389</v>
      </c>
      <c r="B133" s="29" t="s">
        <v>2870</v>
      </c>
      <c r="C133" s="29" t="s">
        <v>288</v>
      </c>
      <c r="D133" s="29" t="s">
        <v>2874</v>
      </c>
      <c r="E133" s="29" t="s">
        <v>2890</v>
      </c>
      <c r="F133" s="143">
        <v>7.0</v>
      </c>
      <c r="G133" s="29" t="s">
        <v>2891</v>
      </c>
      <c r="H133" s="29" t="s">
        <v>2892</v>
      </c>
      <c r="I133" s="29" t="s">
        <v>61</v>
      </c>
      <c r="J133" s="143">
        <v>3.175010711E9</v>
      </c>
      <c r="K133" s="29"/>
    </row>
    <row r="134">
      <c r="A134" s="142">
        <v>45553.57075857639</v>
      </c>
      <c r="B134" s="29" t="s">
        <v>2870</v>
      </c>
      <c r="C134" s="29" t="s">
        <v>2871</v>
      </c>
      <c r="D134" s="29" t="s">
        <v>2883</v>
      </c>
      <c r="E134" s="29" t="s">
        <v>500</v>
      </c>
      <c r="F134" s="143">
        <v>7.0</v>
      </c>
      <c r="G134" s="29" t="s">
        <v>2893</v>
      </c>
      <c r="H134" s="29" t="s">
        <v>2894</v>
      </c>
      <c r="I134" s="29" t="s">
        <v>61</v>
      </c>
      <c r="J134" s="143">
        <v>3.223854511E9</v>
      </c>
      <c r="K134" s="29"/>
    </row>
    <row r="135">
      <c r="A135" s="142">
        <v>45560.28834060185</v>
      </c>
      <c r="B135" s="29" t="s">
        <v>2870</v>
      </c>
      <c r="C135" s="29" t="s">
        <v>288</v>
      </c>
      <c r="D135" s="144" t="s">
        <v>2883</v>
      </c>
      <c r="E135" s="144" t="s">
        <v>500</v>
      </c>
      <c r="F135" s="145">
        <v>7.0</v>
      </c>
      <c r="G135" s="144" t="s">
        <v>168</v>
      </c>
      <c r="H135" s="144" t="s">
        <v>2895</v>
      </c>
      <c r="I135" s="144" t="s">
        <v>61</v>
      </c>
      <c r="J135" s="145">
        <v>3.178474864E9</v>
      </c>
      <c r="K135" s="144" t="s">
        <v>2877</v>
      </c>
    </row>
    <row r="136">
      <c r="A136" s="142">
        <v>45551.89462413194</v>
      </c>
      <c r="B136" s="29" t="s">
        <v>2870</v>
      </c>
      <c r="C136" s="29" t="s">
        <v>2871</v>
      </c>
      <c r="D136" s="29" t="s">
        <v>2874</v>
      </c>
      <c r="E136" s="29" t="s">
        <v>2896</v>
      </c>
      <c r="F136" s="143">
        <v>10.0</v>
      </c>
      <c r="G136" s="29" t="s">
        <v>2897</v>
      </c>
      <c r="H136" s="29" t="s">
        <v>2898</v>
      </c>
      <c r="I136" s="29" t="s">
        <v>61</v>
      </c>
      <c r="J136" s="143">
        <v>3.122934002E9</v>
      </c>
      <c r="K136" s="29"/>
    </row>
    <row r="137">
      <c r="A137" s="142">
        <v>45591.60388569444</v>
      </c>
      <c r="B137" s="29" t="s">
        <v>2870</v>
      </c>
      <c r="C137" s="29" t="s">
        <v>288</v>
      </c>
      <c r="D137" s="144" t="s">
        <v>2872</v>
      </c>
      <c r="E137" s="144" t="s">
        <v>2896</v>
      </c>
      <c r="F137" s="145">
        <v>6.0</v>
      </c>
      <c r="G137" s="144" t="s">
        <v>508</v>
      </c>
      <c r="H137" s="144" t="s">
        <v>2899</v>
      </c>
      <c r="I137" s="144" t="s">
        <v>61</v>
      </c>
      <c r="J137" s="145">
        <v>3.023585606E9</v>
      </c>
      <c r="K137" s="144" t="s">
        <v>2877</v>
      </c>
    </row>
    <row r="138">
      <c r="A138" s="142">
        <v>45540.08751125</v>
      </c>
      <c r="B138" s="29" t="s">
        <v>2870</v>
      </c>
      <c r="C138" s="29" t="s">
        <v>2871</v>
      </c>
      <c r="D138" s="29" t="s">
        <v>2874</v>
      </c>
      <c r="E138" s="146" t="s">
        <v>573</v>
      </c>
      <c r="F138" s="143">
        <v>10.0</v>
      </c>
      <c r="G138" s="29" t="s">
        <v>2900</v>
      </c>
      <c r="H138" s="29" t="s">
        <v>2901</v>
      </c>
      <c r="I138" s="29" t="s">
        <v>61</v>
      </c>
      <c r="J138" s="143">
        <v>3.166181362E9</v>
      </c>
      <c r="K138" s="29"/>
    </row>
    <row r="139">
      <c r="A139" s="142">
        <v>45590.8364274537</v>
      </c>
      <c r="B139" s="29" t="s">
        <v>2870</v>
      </c>
      <c r="C139" s="29" t="s">
        <v>2871</v>
      </c>
      <c r="D139" s="144" t="s">
        <v>2872</v>
      </c>
      <c r="E139" s="147" t="s">
        <v>2902</v>
      </c>
      <c r="F139" s="145">
        <v>10.0</v>
      </c>
      <c r="G139" s="144" t="s">
        <v>2903</v>
      </c>
      <c r="H139" s="144" t="s">
        <v>2904</v>
      </c>
      <c r="I139" s="144" t="s">
        <v>61</v>
      </c>
      <c r="J139" s="144" t="s">
        <v>2905</v>
      </c>
      <c r="K139" s="144" t="s">
        <v>2877</v>
      </c>
    </row>
    <row r="140">
      <c r="A140" s="142">
        <v>45554.49677491898</v>
      </c>
      <c r="B140" s="29" t="s">
        <v>2870</v>
      </c>
      <c r="C140" s="29" t="s">
        <v>288</v>
      </c>
      <c r="D140" s="29" t="s">
        <v>2883</v>
      </c>
      <c r="E140" s="146" t="s">
        <v>2906</v>
      </c>
      <c r="F140" s="143">
        <v>10.0</v>
      </c>
      <c r="G140" s="29" t="s">
        <v>2907</v>
      </c>
      <c r="H140" s="29" t="s">
        <v>2908</v>
      </c>
      <c r="I140" s="29" t="s">
        <v>61</v>
      </c>
      <c r="J140" s="143">
        <v>3.219039953E9</v>
      </c>
      <c r="K140" s="29"/>
    </row>
    <row r="141">
      <c r="A141" s="142">
        <v>45560.847161770835</v>
      </c>
      <c r="B141" s="29" t="s">
        <v>2870</v>
      </c>
      <c r="C141" s="29" t="s">
        <v>2871</v>
      </c>
      <c r="D141" s="144" t="s">
        <v>2883</v>
      </c>
      <c r="E141" s="147" t="s">
        <v>2909</v>
      </c>
      <c r="F141" s="145">
        <v>8.0</v>
      </c>
      <c r="G141" s="144" t="s">
        <v>2910</v>
      </c>
      <c r="H141" s="144" t="s">
        <v>2911</v>
      </c>
      <c r="I141" s="144" t="s">
        <v>61</v>
      </c>
      <c r="J141" s="145">
        <v>3.113781055E9</v>
      </c>
      <c r="K141" s="144" t="s">
        <v>2877</v>
      </c>
    </row>
    <row r="142">
      <c r="A142" s="142">
        <v>45537.623686527775</v>
      </c>
      <c r="B142" s="29" t="s">
        <v>2870</v>
      </c>
      <c r="C142" s="29" t="s">
        <v>2871</v>
      </c>
      <c r="D142" s="29" t="s">
        <v>2872</v>
      </c>
      <c r="E142" s="146" t="s">
        <v>2912</v>
      </c>
      <c r="F142" s="143">
        <v>10.0</v>
      </c>
      <c r="G142" s="29" t="s">
        <v>2893</v>
      </c>
      <c r="H142" s="29" t="s">
        <v>2913</v>
      </c>
      <c r="I142" s="29" t="s">
        <v>61</v>
      </c>
      <c r="J142" s="143">
        <v>3.115006505E9</v>
      </c>
      <c r="K142" s="29"/>
    </row>
    <row r="143">
      <c r="A143" s="142">
        <v>45554.50299328704</v>
      </c>
      <c r="B143" s="29" t="s">
        <v>2870</v>
      </c>
      <c r="C143" s="29" t="s">
        <v>2871</v>
      </c>
      <c r="D143" s="29" t="s">
        <v>2874</v>
      </c>
      <c r="E143" s="146" t="s">
        <v>2914</v>
      </c>
      <c r="F143" s="143">
        <v>6.0</v>
      </c>
      <c r="G143" s="29" t="s">
        <v>2915</v>
      </c>
      <c r="H143" s="29" t="s">
        <v>2916</v>
      </c>
      <c r="I143" s="29" t="s">
        <v>61</v>
      </c>
      <c r="J143" s="143">
        <v>3.205799358E9</v>
      </c>
      <c r="K143" s="29"/>
      <c r="U143" s="148"/>
    </row>
    <row r="144">
      <c r="A144" s="142">
        <v>45560.73988284722</v>
      </c>
      <c r="B144" s="29" t="s">
        <v>2870</v>
      </c>
      <c r="C144" s="29" t="s">
        <v>2871</v>
      </c>
      <c r="D144" s="144" t="s">
        <v>2872</v>
      </c>
      <c r="E144" s="144" t="s">
        <v>2917</v>
      </c>
      <c r="F144" s="145">
        <v>7.0</v>
      </c>
      <c r="G144" s="144" t="s">
        <v>2918</v>
      </c>
      <c r="H144" s="144" t="s">
        <v>2919</v>
      </c>
      <c r="I144" s="144" t="s">
        <v>61</v>
      </c>
      <c r="J144" s="145">
        <v>3.126700614E9</v>
      </c>
      <c r="K144" s="144" t="s">
        <v>2877</v>
      </c>
    </row>
    <row r="145">
      <c r="A145" s="142">
        <v>45590.42178700231</v>
      </c>
      <c r="B145" s="29" t="s">
        <v>2870</v>
      </c>
      <c r="C145" s="29" t="s">
        <v>2871</v>
      </c>
      <c r="D145" s="144" t="s">
        <v>2872</v>
      </c>
      <c r="E145" s="144" t="s">
        <v>2920</v>
      </c>
      <c r="F145" s="145">
        <v>8.0</v>
      </c>
      <c r="G145" s="144" t="s">
        <v>2921</v>
      </c>
      <c r="H145" s="144" t="s">
        <v>2922</v>
      </c>
      <c r="I145" s="144" t="s">
        <v>61</v>
      </c>
      <c r="J145" s="145">
        <v>3.113702578E9</v>
      </c>
      <c r="K145" s="144" t="s">
        <v>2877</v>
      </c>
    </row>
    <row r="146">
      <c r="A146" s="142">
        <v>45548.636259328705</v>
      </c>
      <c r="B146" s="29" t="s">
        <v>2870</v>
      </c>
      <c r="C146" s="29" t="s">
        <v>288</v>
      </c>
      <c r="D146" s="29" t="s">
        <v>2883</v>
      </c>
      <c r="E146" s="29" t="s">
        <v>2923</v>
      </c>
      <c r="F146" s="143">
        <v>6.0</v>
      </c>
      <c r="G146" s="29" t="s">
        <v>288</v>
      </c>
      <c r="H146" s="29" t="s">
        <v>2924</v>
      </c>
      <c r="I146" s="29" t="s">
        <v>61</v>
      </c>
      <c r="J146" s="143">
        <v>3.046258602E9</v>
      </c>
      <c r="K146" s="29"/>
    </row>
    <row r="147">
      <c r="A147" s="142">
        <v>45506.97396644676</v>
      </c>
      <c r="B147" s="29" t="s">
        <v>2925</v>
      </c>
      <c r="C147" s="29" t="s">
        <v>288</v>
      </c>
      <c r="D147" s="29" t="s">
        <v>2872</v>
      </c>
      <c r="E147" s="29" t="s">
        <v>2926</v>
      </c>
      <c r="F147" s="143">
        <v>10.0</v>
      </c>
      <c r="G147" s="29" t="s">
        <v>2927</v>
      </c>
      <c r="H147" s="29" t="s">
        <v>2928</v>
      </c>
      <c r="I147" s="29" t="s">
        <v>61</v>
      </c>
      <c r="J147" s="143">
        <v>3.008701934E9</v>
      </c>
      <c r="K147" s="29"/>
    </row>
    <row r="148">
      <c r="A148" s="142">
        <v>45561.7314828588</v>
      </c>
      <c r="B148" s="29" t="s">
        <v>2870</v>
      </c>
      <c r="C148" s="29" t="s">
        <v>288</v>
      </c>
      <c r="D148" s="35" t="s">
        <v>2872</v>
      </c>
      <c r="E148" s="35" t="s">
        <v>762</v>
      </c>
      <c r="F148" s="149">
        <v>11.0</v>
      </c>
      <c r="G148" s="35" t="s">
        <v>2929</v>
      </c>
      <c r="H148" s="35" t="s">
        <v>2930</v>
      </c>
      <c r="I148" s="35" t="s">
        <v>61</v>
      </c>
      <c r="J148" s="35" t="s">
        <v>2931</v>
      </c>
      <c r="K148" s="35" t="s">
        <v>2932</v>
      </c>
    </row>
    <row r="149">
      <c r="A149" s="142">
        <v>45574.76410814815</v>
      </c>
      <c r="B149" s="29" t="s">
        <v>2870</v>
      </c>
      <c r="C149" s="29" t="s">
        <v>2871</v>
      </c>
      <c r="D149" s="144" t="s">
        <v>2874</v>
      </c>
      <c r="E149" s="144" t="s">
        <v>2933</v>
      </c>
      <c r="F149" s="145">
        <v>10.0</v>
      </c>
      <c r="G149" s="144" t="s">
        <v>154</v>
      </c>
      <c r="H149" s="144" t="s">
        <v>2934</v>
      </c>
      <c r="I149" s="144" t="s">
        <v>61</v>
      </c>
      <c r="J149" s="145">
        <v>3.167952208E9</v>
      </c>
      <c r="K149" s="144" t="s">
        <v>2877</v>
      </c>
    </row>
    <row r="150">
      <c r="A150" s="142">
        <v>45548.72584049769</v>
      </c>
      <c r="B150" s="29" t="s">
        <v>2870</v>
      </c>
      <c r="C150" s="29" t="s">
        <v>2871</v>
      </c>
      <c r="D150" s="29" t="s">
        <v>2872</v>
      </c>
      <c r="E150" s="29" t="s">
        <v>1279</v>
      </c>
      <c r="F150" s="143">
        <v>8.0</v>
      </c>
      <c r="G150" s="29" t="s">
        <v>223</v>
      </c>
      <c r="H150" s="29" t="s">
        <v>2935</v>
      </c>
      <c r="I150" s="29" t="s">
        <v>61</v>
      </c>
      <c r="J150" s="143">
        <v>3.176390735E9</v>
      </c>
      <c r="K150" s="29"/>
    </row>
    <row r="151">
      <c r="A151" s="142">
        <v>45564.441875069446</v>
      </c>
      <c r="B151" s="29" t="s">
        <v>2870</v>
      </c>
      <c r="C151" s="29" t="s">
        <v>2871</v>
      </c>
      <c r="D151" s="144" t="s">
        <v>2872</v>
      </c>
      <c r="E151" s="144" t="s">
        <v>1279</v>
      </c>
      <c r="F151" s="145">
        <v>8.0</v>
      </c>
      <c r="G151" s="144" t="s">
        <v>2936</v>
      </c>
      <c r="H151" s="144" t="s">
        <v>2937</v>
      </c>
      <c r="I151" s="144" t="s">
        <v>61</v>
      </c>
      <c r="J151" s="145">
        <v>3.176390735E9</v>
      </c>
      <c r="K151" s="144" t="s">
        <v>2877</v>
      </c>
    </row>
    <row r="152">
      <c r="A152" s="142">
        <v>45547.886956365735</v>
      </c>
      <c r="B152" s="29" t="s">
        <v>2870</v>
      </c>
      <c r="C152" s="29" t="s">
        <v>288</v>
      </c>
      <c r="D152" s="29" t="s">
        <v>2872</v>
      </c>
      <c r="E152" s="29" t="s">
        <v>2938</v>
      </c>
      <c r="F152" s="143">
        <v>10.0</v>
      </c>
      <c r="G152" s="29" t="s">
        <v>2939</v>
      </c>
      <c r="H152" s="29" t="s">
        <v>2940</v>
      </c>
      <c r="I152" s="29" t="s">
        <v>61</v>
      </c>
      <c r="J152" s="143">
        <v>3.23528156E9</v>
      </c>
      <c r="K152" s="29"/>
    </row>
    <row r="153">
      <c r="A153" s="142">
        <v>45556.48371699074</v>
      </c>
      <c r="B153" s="29" t="s">
        <v>2870</v>
      </c>
      <c r="C153" s="29" t="s">
        <v>288</v>
      </c>
      <c r="D153" s="29" t="s">
        <v>2872</v>
      </c>
      <c r="E153" s="29" t="s">
        <v>1215</v>
      </c>
      <c r="F153" s="143">
        <v>10.0</v>
      </c>
      <c r="G153" s="29" t="s">
        <v>223</v>
      </c>
      <c r="H153" s="29" t="s">
        <v>2941</v>
      </c>
      <c r="I153" s="29" t="s">
        <v>61</v>
      </c>
      <c r="J153" s="143">
        <v>3.108711129E9</v>
      </c>
      <c r="K153" s="29"/>
    </row>
    <row r="154">
      <c r="A154" s="142">
        <v>45589.91116923611</v>
      </c>
      <c r="B154" s="29" t="s">
        <v>2870</v>
      </c>
      <c r="C154" s="29" t="s">
        <v>288</v>
      </c>
      <c r="D154" s="144" t="s">
        <v>2883</v>
      </c>
      <c r="E154" s="144" t="s">
        <v>1215</v>
      </c>
      <c r="F154" s="145">
        <v>8.0</v>
      </c>
      <c r="G154" s="144" t="s">
        <v>2942</v>
      </c>
      <c r="H154" s="144" t="s">
        <v>2943</v>
      </c>
      <c r="I154" s="144" t="s">
        <v>61</v>
      </c>
      <c r="J154" s="145">
        <v>3.164514396E9</v>
      </c>
      <c r="K154" s="144" t="s">
        <v>2877</v>
      </c>
    </row>
    <row r="155">
      <c r="A155" s="142">
        <v>45583.69379587963</v>
      </c>
      <c r="B155" s="29" t="s">
        <v>2870</v>
      </c>
      <c r="C155" s="29" t="s">
        <v>288</v>
      </c>
      <c r="D155" s="29" t="s">
        <v>2872</v>
      </c>
      <c r="E155" s="29" t="s">
        <v>2658</v>
      </c>
      <c r="F155" s="143">
        <v>7.0</v>
      </c>
      <c r="G155" s="29" t="s">
        <v>2944</v>
      </c>
      <c r="H155" s="29" t="s">
        <v>2945</v>
      </c>
      <c r="I155" s="29" t="s">
        <v>61</v>
      </c>
      <c r="J155" s="143">
        <v>3.222932285E9</v>
      </c>
      <c r="K155" s="29" t="s">
        <v>2932</v>
      </c>
    </row>
    <row r="156">
      <c r="A156" s="142">
        <v>45594.85525438657</v>
      </c>
      <c r="B156" s="29" t="s">
        <v>2870</v>
      </c>
      <c r="C156" s="29" t="s">
        <v>288</v>
      </c>
      <c r="D156" s="144" t="s">
        <v>2872</v>
      </c>
      <c r="E156" s="144" t="s">
        <v>2946</v>
      </c>
      <c r="F156" s="145">
        <v>1.0</v>
      </c>
      <c r="G156" s="144" t="s">
        <v>207</v>
      </c>
      <c r="H156" s="144" t="s">
        <v>2947</v>
      </c>
      <c r="I156" s="144" t="s">
        <v>61</v>
      </c>
      <c r="J156" s="145">
        <v>3.218539173E9</v>
      </c>
      <c r="K156" s="144" t="s">
        <v>2877</v>
      </c>
    </row>
    <row r="157">
      <c r="A157" s="142">
        <v>45549.99840229166</v>
      </c>
      <c r="B157" s="29" t="s">
        <v>2870</v>
      </c>
      <c r="C157" s="29" t="s">
        <v>288</v>
      </c>
      <c r="D157" s="29" t="s">
        <v>2874</v>
      </c>
      <c r="E157" s="29" t="s">
        <v>2946</v>
      </c>
      <c r="F157" s="143">
        <v>10.0</v>
      </c>
      <c r="G157" s="29" t="s">
        <v>2948</v>
      </c>
      <c r="H157" s="29" t="s">
        <v>2949</v>
      </c>
      <c r="I157" s="29" t="s">
        <v>61</v>
      </c>
      <c r="J157" s="143">
        <v>3.18406135E9</v>
      </c>
      <c r="K157" s="29"/>
    </row>
    <row r="158">
      <c r="A158" s="142">
        <v>45586.44398079861</v>
      </c>
      <c r="B158" s="29" t="s">
        <v>2870</v>
      </c>
      <c r="C158" s="29" t="s">
        <v>288</v>
      </c>
      <c r="D158" s="144" t="s">
        <v>2874</v>
      </c>
      <c r="E158" s="144" t="s">
        <v>277</v>
      </c>
      <c r="F158" s="145">
        <v>8.0</v>
      </c>
      <c r="G158" s="145">
        <v>14.0</v>
      </c>
      <c r="H158" s="144" t="s">
        <v>2950</v>
      </c>
      <c r="I158" s="144" t="s">
        <v>61</v>
      </c>
      <c r="J158" s="145">
        <v>3.156142205E9</v>
      </c>
      <c r="K158" s="144" t="s">
        <v>2877</v>
      </c>
    </row>
    <row r="159">
      <c r="A159" s="142">
        <v>45561.57776980324</v>
      </c>
      <c r="B159" s="29" t="s">
        <v>2870</v>
      </c>
      <c r="C159" s="29" t="s">
        <v>2871</v>
      </c>
      <c r="D159" s="144" t="s">
        <v>2883</v>
      </c>
      <c r="E159" s="144" t="s">
        <v>277</v>
      </c>
      <c r="F159" s="145">
        <v>9.0</v>
      </c>
      <c r="G159" s="144" t="s">
        <v>2951</v>
      </c>
      <c r="H159" s="144" t="s">
        <v>2952</v>
      </c>
      <c r="I159" s="144" t="s">
        <v>61</v>
      </c>
      <c r="J159" s="145">
        <v>3.108216619E9</v>
      </c>
      <c r="K159" s="144" t="s">
        <v>2877</v>
      </c>
    </row>
    <row r="160">
      <c r="A160" s="142">
        <v>45557.48495608797</v>
      </c>
      <c r="B160" s="29" t="s">
        <v>2870</v>
      </c>
      <c r="C160" s="29" t="s">
        <v>2871</v>
      </c>
      <c r="D160" s="29" t="s">
        <v>2874</v>
      </c>
      <c r="E160" s="29" t="s">
        <v>2953</v>
      </c>
      <c r="F160" s="143">
        <v>6.0</v>
      </c>
      <c r="G160" s="29" t="s">
        <v>142</v>
      </c>
      <c r="H160" s="29" t="s">
        <v>2954</v>
      </c>
      <c r="I160" s="29" t="s">
        <v>61</v>
      </c>
      <c r="J160" s="143">
        <v>3.148340861E9</v>
      </c>
      <c r="K160" s="29"/>
    </row>
    <row r="161">
      <c r="A161" s="142">
        <v>45592.68892246528</v>
      </c>
      <c r="B161" s="29" t="s">
        <v>2870</v>
      </c>
      <c r="C161" s="29" t="s">
        <v>288</v>
      </c>
      <c r="D161" s="144" t="s">
        <v>2874</v>
      </c>
      <c r="E161" s="144" t="s">
        <v>2955</v>
      </c>
      <c r="F161" s="145">
        <v>7.0</v>
      </c>
      <c r="G161" s="144" t="s">
        <v>79</v>
      </c>
      <c r="H161" s="144" t="s">
        <v>2956</v>
      </c>
      <c r="I161" s="144" t="s">
        <v>61</v>
      </c>
      <c r="J161" s="145">
        <v>3.014830546E9</v>
      </c>
      <c r="K161" s="144" t="s">
        <v>2877</v>
      </c>
    </row>
    <row r="162">
      <c r="A162" s="142">
        <v>45554.295638055555</v>
      </c>
      <c r="B162" s="29" t="s">
        <v>2870</v>
      </c>
      <c r="C162" s="29" t="s">
        <v>288</v>
      </c>
      <c r="D162" s="29" t="s">
        <v>2872</v>
      </c>
      <c r="E162" s="29" t="s">
        <v>2957</v>
      </c>
      <c r="F162" s="29" t="s">
        <v>2958</v>
      </c>
      <c r="G162" s="29" t="s">
        <v>2959</v>
      </c>
      <c r="H162" s="29" t="s">
        <v>2960</v>
      </c>
      <c r="I162" s="29" t="s">
        <v>61</v>
      </c>
      <c r="J162" s="143">
        <v>3.108955827E9</v>
      </c>
      <c r="K162" s="29"/>
    </row>
    <row r="163">
      <c r="A163" s="142">
        <v>45592.32304046296</v>
      </c>
      <c r="B163" s="29" t="s">
        <v>2870</v>
      </c>
      <c r="C163" s="29" t="s">
        <v>2871</v>
      </c>
      <c r="D163" s="144" t="s">
        <v>2872</v>
      </c>
      <c r="E163" s="144" t="s">
        <v>2961</v>
      </c>
      <c r="F163" s="145">
        <v>7.0</v>
      </c>
      <c r="G163" s="144" t="s">
        <v>2962</v>
      </c>
      <c r="H163" s="144" t="s">
        <v>2963</v>
      </c>
      <c r="I163" s="144" t="s">
        <v>61</v>
      </c>
      <c r="J163" s="145">
        <v>3.012538766E9</v>
      </c>
      <c r="K163" s="144" t="s">
        <v>2877</v>
      </c>
    </row>
    <row r="164">
      <c r="A164" s="142">
        <v>45553.414133541664</v>
      </c>
      <c r="B164" s="29" t="s">
        <v>2870</v>
      </c>
      <c r="C164" s="29" t="s">
        <v>288</v>
      </c>
      <c r="D164" s="144" t="s">
        <v>2874</v>
      </c>
      <c r="E164" s="144" t="s">
        <v>2964</v>
      </c>
      <c r="F164" s="145">
        <v>10.0</v>
      </c>
      <c r="G164" s="144" t="s">
        <v>2965</v>
      </c>
      <c r="H164" s="144" t="s">
        <v>2966</v>
      </c>
      <c r="I164" s="144" t="s">
        <v>61</v>
      </c>
      <c r="J164" s="145">
        <v>3.219567043E9</v>
      </c>
      <c r="K164" s="144"/>
    </row>
    <row r="165">
      <c r="A165" s="142">
        <v>45597.7611496875</v>
      </c>
      <c r="B165" s="29" t="s">
        <v>2870</v>
      </c>
      <c r="C165" s="29" t="s">
        <v>2871</v>
      </c>
      <c r="D165" s="144" t="s">
        <v>2872</v>
      </c>
      <c r="E165" s="144" t="s">
        <v>762</v>
      </c>
      <c r="F165" s="145">
        <v>10.0</v>
      </c>
      <c r="G165" s="144" t="s">
        <v>148</v>
      </c>
      <c r="H165" s="144" t="s">
        <v>2967</v>
      </c>
      <c r="I165" s="144" t="s">
        <v>61</v>
      </c>
      <c r="J165" s="144" t="s">
        <v>2968</v>
      </c>
      <c r="K165" s="144" t="s">
        <v>2877</v>
      </c>
    </row>
    <row r="166">
      <c r="A166" s="142">
        <v>45599.667072881944</v>
      </c>
      <c r="B166" s="29" t="s">
        <v>2870</v>
      </c>
      <c r="C166" s="29" t="s">
        <v>288</v>
      </c>
      <c r="D166" s="144" t="s">
        <v>2874</v>
      </c>
      <c r="E166" s="144" t="s">
        <v>2969</v>
      </c>
      <c r="F166" s="145">
        <v>8.0</v>
      </c>
      <c r="G166" s="144" t="s">
        <v>940</v>
      </c>
      <c r="H166" s="144" t="s">
        <v>2970</v>
      </c>
      <c r="I166" s="144" t="s">
        <v>61</v>
      </c>
      <c r="J166" s="145">
        <v>3.148273957E9</v>
      </c>
      <c r="K166" s="144" t="s">
        <v>2877</v>
      </c>
    </row>
    <row r="167">
      <c r="A167" s="142">
        <v>45599.72634471065</v>
      </c>
      <c r="B167" s="29" t="s">
        <v>2870</v>
      </c>
      <c r="C167" s="29" t="s">
        <v>288</v>
      </c>
      <c r="D167" s="101" t="s">
        <v>2874</v>
      </c>
      <c r="E167" s="101" t="s">
        <v>2971</v>
      </c>
      <c r="F167" s="150">
        <v>9.0</v>
      </c>
      <c r="G167" s="101" t="s">
        <v>2972</v>
      </c>
      <c r="H167" s="101" t="s">
        <v>2973</v>
      </c>
      <c r="I167" s="101" t="s">
        <v>2974</v>
      </c>
      <c r="J167" s="150">
        <v>3.186524016E9</v>
      </c>
      <c r="K167" s="101" t="s">
        <v>2932</v>
      </c>
    </row>
    <row r="168">
      <c r="A168" s="142">
        <v>45600.989049641204</v>
      </c>
      <c r="B168" s="29" t="s">
        <v>2870</v>
      </c>
      <c r="C168" s="29" t="s">
        <v>2871</v>
      </c>
      <c r="D168" s="144" t="s">
        <v>2872</v>
      </c>
      <c r="E168" s="144" t="s">
        <v>2957</v>
      </c>
      <c r="F168" s="145">
        <v>10.0</v>
      </c>
      <c r="G168" s="144" t="s">
        <v>2975</v>
      </c>
      <c r="H168" s="144" t="s">
        <v>2976</v>
      </c>
      <c r="I168" s="144" t="s">
        <v>61</v>
      </c>
      <c r="J168" s="145">
        <v>3.045392169E9</v>
      </c>
      <c r="K168" s="144" t="s">
        <v>2877</v>
      </c>
    </row>
    <row r="169">
      <c r="A169" s="142">
        <v>45601.56084525463</v>
      </c>
      <c r="B169" s="29" t="s">
        <v>2870</v>
      </c>
      <c r="C169" s="29" t="s">
        <v>2871</v>
      </c>
      <c r="D169" s="101" t="s">
        <v>2874</v>
      </c>
      <c r="E169" s="101" t="s">
        <v>2977</v>
      </c>
      <c r="F169" s="150">
        <v>10.0</v>
      </c>
      <c r="G169" s="101" t="s">
        <v>2978</v>
      </c>
      <c r="H169" s="101" t="s">
        <v>2979</v>
      </c>
      <c r="I169" s="101" t="s">
        <v>2974</v>
      </c>
      <c r="J169" s="101" t="s">
        <v>2980</v>
      </c>
      <c r="K169" s="101" t="s">
        <v>2877</v>
      </c>
    </row>
    <row r="170">
      <c r="A170" s="142">
        <v>45601.65598101851</v>
      </c>
      <c r="B170" s="29" t="s">
        <v>2870</v>
      </c>
      <c r="C170" s="29" t="s">
        <v>2871</v>
      </c>
      <c r="D170" s="144" t="s">
        <v>2872</v>
      </c>
      <c r="E170" s="144" t="s">
        <v>2981</v>
      </c>
      <c r="F170" s="145">
        <v>10.0</v>
      </c>
      <c r="G170" s="144" t="s">
        <v>2982</v>
      </c>
      <c r="H170" s="144" t="s">
        <v>2983</v>
      </c>
      <c r="I170" s="144" t="s">
        <v>61</v>
      </c>
      <c r="J170" s="145">
        <v>3.183809603E9</v>
      </c>
      <c r="K170" s="144" t="s">
        <v>2877</v>
      </c>
    </row>
    <row r="171">
      <c r="A171" s="142">
        <v>45602.459189120375</v>
      </c>
      <c r="B171" s="29" t="s">
        <v>2870</v>
      </c>
      <c r="C171" s="29" t="s">
        <v>288</v>
      </c>
      <c r="D171" s="29" t="s">
        <v>2883</v>
      </c>
      <c r="E171" s="29" t="s">
        <v>2923</v>
      </c>
      <c r="F171" s="143">
        <v>7.0</v>
      </c>
      <c r="G171" s="29" t="s">
        <v>2984</v>
      </c>
      <c r="H171" s="29" t="s">
        <v>2985</v>
      </c>
      <c r="I171" s="29" t="s">
        <v>61</v>
      </c>
      <c r="J171" s="143">
        <v>3.042117605E9</v>
      </c>
      <c r="K171" s="29" t="s">
        <v>2877</v>
      </c>
    </row>
    <row r="172">
      <c r="A172" s="142">
        <v>45603.04205446759</v>
      </c>
      <c r="B172" s="29" t="s">
        <v>2870</v>
      </c>
      <c r="C172" s="29" t="s">
        <v>2871</v>
      </c>
      <c r="D172" s="144" t="s">
        <v>2874</v>
      </c>
      <c r="E172" s="144" t="s">
        <v>1555</v>
      </c>
      <c r="F172" s="145">
        <v>10.0</v>
      </c>
      <c r="G172" s="144" t="s">
        <v>2986</v>
      </c>
      <c r="H172" s="144" t="s">
        <v>2987</v>
      </c>
      <c r="I172" s="144" t="s">
        <v>61</v>
      </c>
      <c r="J172" s="145">
        <v>3.008673383E9</v>
      </c>
      <c r="K172" s="144" t="s">
        <v>2877</v>
      </c>
    </row>
    <row r="173">
      <c r="A173" s="142">
        <v>45604.34618221065</v>
      </c>
      <c r="B173" s="29" t="s">
        <v>2870</v>
      </c>
      <c r="C173" s="29" t="s">
        <v>288</v>
      </c>
      <c r="D173" s="144" t="s">
        <v>2872</v>
      </c>
      <c r="E173" s="144" t="s">
        <v>141</v>
      </c>
      <c r="F173" s="145">
        <v>10.0</v>
      </c>
      <c r="G173" s="144" t="s">
        <v>207</v>
      </c>
      <c r="H173" s="144" t="s">
        <v>2988</v>
      </c>
      <c r="I173" s="144" t="s">
        <v>61</v>
      </c>
      <c r="J173" s="145">
        <v>3.013517017E9</v>
      </c>
      <c r="K173" s="144" t="s">
        <v>2877</v>
      </c>
    </row>
    <row r="174">
      <c r="A174" s="142">
        <v>45604.706439745365</v>
      </c>
      <c r="B174" s="29" t="s">
        <v>2870</v>
      </c>
      <c r="C174" s="29" t="s">
        <v>288</v>
      </c>
      <c r="D174" s="101" t="s">
        <v>2872</v>
      </c>
      <c r="E174" s="101" t="s">
        <v>2981</v>
      </c>
      <c r="F174" s="150">
        <v>10.0</v>
      </c>
      <c r="G174" s="101" t="s">
        <v>2989</v>
      </c>
      <c r="H174" s="101" t="s">
        <v>2990</v>
      </c>
      <c r="I174" s="101" t="s">
        <v>2974</v>
      </c>
      <c r="J174" s="101" t="s">
        <v>2991</v>
      </c>
      <c r="K174" s="101" t="s">
        <v>2877</v>
      </c>
    </row>
    <row r="175">
      <c r="A175" s="142">
        <v>45604.78873835648</v>
      </c>
      <c r="B175" s="29" t="s">
        <v>2870</v>
      </c>
      <c r="C175" s="29" t="s">
        <v>288</v>
      </c>
      <c r="D175" s="101" t="s">
        <v>2874</v>
      </c>
      <c r="E175" s="101" t="s">
        <v>57</v>
      </c>
      <c r="F175" s="150">
        <v>10.0</v>
      </c>
      <c r="G175" s="101" t="s">
        <v>2992</v>
      </c>
      <c r="H175" s="101" t="s">
        <v>2993</v>
      </c>
      <c r="I175" s="101" t="s">
        <v>2974</v>
      </c>
      <c r="J175" s="150">
        <v>1.8296506832E10</v>
      </c>
      <c r="K175" s="101" t="s">
        <v>2932</v>
      </c>
    </row>
    <row r="176">
      <c r="A176" s="142">
        <v>45607.391301157404</v>
      </c>
      <c r="B176" s="29" t="s">
        <v>2870</v>
      </c>
      <c r="C176" s="29" t="s">
        <v>2871</v>
      </c>
      <c r="D176" s="144" t="s">
        <v>2874</v>
      </c>
      <c r="E176" s="144" t="s">
        <v>2412</v>
      </c>
      <c r="F176" s="145">
        <v>10.0</v>
      </c>
      <c r="G176" s="144" t="s">
        <v>512</v>
      </c>
      <c r="H176" s="144" t="s">
        <v>2994</v>
      </c>
      <c r="I176" s="144" t="s">
        <v>61</v>
      </c>
      <c r="J176" s="145">
        <v>3.205712786E9</v>
      </c>
      <c r="K176" s="144" t="s">
        <v>2877</v>
      </c>
    </row>
    <row r="177">
      <c r="A177" s="142">
        <v>45610.46296005787</v>
      </c>
      <c r="B177" s="29" t="s">
        <v>2870</v>
      </c>
      <c r="C177" s="29" t="s">
        <v>2871</v>
      </c>
      <c r="D177" s="29" t="s">
        <v>2874</v>
      </c>
      <c r="E177" s="29" t="s">
        <v>2995</v>
      </c>
      <c r="F177" s="143">
        <v>7.0</v>
      </c>
      <c r="G177" s="29" t="s">
        <v>117</v>
      </c>
      <c r="H177" s="29" t="s">
        <v>2996</v>
      </c>
      <c r="I177" s="29" t="s">
        <v>2974</v>
      </c>
      <c r="J177" s="29" t="s">
        <v>2997</v>
      </c>
      <c r="K177" s="29" t="s">
        <v>2877</v>
      </c>
    </row>
  </sheetData>
  <drawing r:id="rId1"/>
</worksheet>
</file>